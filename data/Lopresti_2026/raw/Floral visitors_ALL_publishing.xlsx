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mescookuniversity.sharepoint.com/sites/gr000196-Laura/Shared Documents/Laura PhD/Paper - Pollinators/"/>
    </mc:Choice>
  </mc:AlternateContent>
  <xr:revisionPtr revIDLastSave="2217" documentId="8_{55F01761-5DF4-4ABE-B10C-7CDDC324259A}" xr6:coauthVersionLast="47" xr6:coauthVersionMax="47" xr10:uidLastSave="{866CA5DB-3654-46BF-9151-F5EB1005E601}"/>
  <bookViews>
    <workbookView xWindow="-120" yWindow="-16320" windowWidth="29040" windowHeight="15720" xr2:uid="{AEDDAB29-1084-4D8F-AC05-0B7FC7AF4CB4}"/>
  </bookViews>
  <sheets>
    <sheet name="Metadata" sheetId="2" r:id="rId1"/>
    <sheet name="Floral visitors_ALL" sheetId="1" r:id="rId2"/>
    <sheet name="Floral_visitors_ALL duplicate" sheetId="27" r:id="rId3"/>
    <sheet name="Table 1 Lindsey" sheetId="25" r:id="rId4"/>
    <sheet name="Table S5" sheetId="28" r:id="rId5"/>
    <sheet name="Fig 3 data" sheetId="21" r:id="rId6"/>
    <sheet name="Fig 3 calcs." sheetId="22" r:id="rId7"/>
    <sheet name="Behaviours" sheetId="11" r:id="rId8"/>
    <sheet name="visitorfrequency_Rcalculation" sheetId="13" r:id="rId9"/>
  </sheets>
  <definedNames>
    <definedName name="_xlnm._FilterDatabase" localSheetId="5" hidden="1">'Fig 3 data'!$A$1:$AI$331</definedName>
    <definedName name="_xlnm._FilterDatabase" localSheetId="1" hidden="1">'Floral visitors_ALL'!$A$1:$AI$925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28" l="1"/>
  <c r="Q23" i="28"/>
  <c r="S23" i="28" s="1"/>
  <c r="P23" i="28"/>
  <c r="M23" i="28"/>
  <c r="M22" i="28"/>
  <c r="M21" i="28"/>
  <c r="M19" i="28"/>
  <c r="M18" i="28"/>
  <c r="Q14" i="28"/>
  <c r="S14" i="28" s="1"/>
  <c r="M14" i="28"/>
  <c r="M13" i="28"/>
  <c r="M11" i="28"/>
  <c r="M10" i="28"/>
  <c r="M9" i="28"/>
  <c r="M8" i="28"/>
  <c r="M5" i="28"/>
  <c r="I925" i="27"/>
  <c r="I924" i="27"/>
  <c r="I923" i="27"/>
  <c r="I922" i="27"/>
  <c r="I921" i="27"/>
  <c r="I920" i="27"/>
  <c r="I919" i="27"/>
  <c r="I918" i="27"/>
  <c r="I917" i="27"/>
  <c r="I916" i="27"/>
  <c r="I915" i="27"/>
  <c r="I914" i="27"/>
  <c r="I913" i="27"/>
  <c r="I912" i="27"/>
  <c r="I911" i="27"/>
  <c r="I910" i="27"/>
  <c r="I909" i="27"/>
  <c r="I908" i="27"/>
  <c r="I907" i="27"/>
  <c r="I906" i="27"/>
  <c r="I905" i="27"/>
  <c r="I904" i="27"/>
  <c r="I903" i="27"/>
  <c r="I902" i="27"/>
  <c r="I901" i="27"/>
  <c r="I900" i="27"/>
  <c r="I899" i="27"/>
  <c r="I898" i="27"/>
  <c r="I897" i="27"/>
  <c r="I896" i="27"/>
  <c r="I893" i="27"/>
  <c r="I892" i="27"/>
  <c r="I891" i="27"/>
  <c r="I890" i="27"/>
  <c r="I889" i="27"/>
  <c r="I888" i="27"/>
  <c r="I887" i="27"/>
  <c r="I886" i="27"/>
  <c r="I885" i="27"/>
  <c r="I884" i="27"/>
  <c r="I883" i="27"/>
  <c r="I882" i="27"/>
  <c r="I881" i="27"/>
  <c r="I880" i="27"/>
  <c r="I879" i="27"/>
  <c r="I878" i="27"/>
  <c r="I877" i="27"/>
  <c r="I876" i="27"/>
  <c r="I875" i="27"/>
  <c r="I874" i="27"/>
  <c r="I873" i="27"/>
  <c r="I872" i="27"/>
  <c r="I871" i="27"/>
  <c r="I870" i="27"/>
  <c r="I869" i="27"/>
  <c r="I868" i="27"/>
  <c r="I867" i="27"/>
  <c r="I866" i="27"/>
  <c r="I865" i="27"/>
  <c r="I864" i="27"/>
  <c r="I863" i="27"/>
  <c r="I862" i="27"/>
  <c r="I861" i="27"/>
  <c r="I860" i="27"/>
  <c r="I859" i="27"/>
  <c r="I858" i="27"/>
  <c r="I857" i="27"/>
  <c r="I856" i="27"/>
  <c r="I855" i="27"/>
  <c r="I854" i="27"/>
  <c r="I853" i="27"/>
  <c r="I852" i="27"/>
  <c r="I851" i="27"/>
  <c r="I850" i="27"/>
  <c r="I849" i="27"/>
  <c r="I848" i="27"/>
  <c r="I847" i="27"/>
  <c r="I846" i="27"/>
  <c r="I845" i="27"/>
  <c r="I844" i="27"/>
  <c r="I843" i="27"/>
  <c r="I842" i="27"/>
  <c r="I841" i="27"/>
  <c r="I840" i="27"/>
  <c r="I839" i="27"/>
  <c r="I838" i="27"/>
  <c r="I837" i="27"/>
  <c r="I836" i="27"/>
  <c r="I835" i="27"/>
  <c r="I834" i="27"/>
  <c r="I833" i="27"/>
  <c r="I832" i="27"/>
  <c r="I831" i="27"/>
  <c r="I830" i="27"/>
  <c r="I829" i="27"/>
  <c r="I828" i="27"/>
  <c r="I827" i="27"/>
  <c r="I826" i="27"/>
  <c r="I825" i="27"/>
  <c r="I824" i="27"/>
  <c r="I823" i="27"/>
  <c r="I822" i="27"/>
  <c r="I821" i="27"/>
  <c r="I820" i="27"/>
  <c r="I819" i="27"/>
  <c r="I818" i="27"/>
  <c r="I817" i="27"/>
  <c r="I816" i="27"/>
  <c r="I815" i="27"/>
  <c r="I814" i="27"/>
  <c r="I813" i="27"/>
  <c r="I812" i="27"/>
  <c r="I811" i="27"/>
  <c r="I810" i="27"/>
  <c r="I809" i="27"/>
  <c r="I808" i="27"/>
  <c r="I807" i="27"/>
  <c r="I806" i="27"/>
  <c r="I805" i="27"/>
  <c r="I804" i="27"/>
  <c r="I803" i="27"/>
  <c r="I802" i="27"/>
  <c r="I801" i="27"/>
  <c r="I800" i="27"/>
  <c r="I799" i="27"/>
  <c r="I798" i="27"/>
  <c r="I797" i="27"/>
  <c r="I796" i="27"/>
  <c r="I795" i="27"/>
  <c r="I794" i="27"/>
  <c r="I793" i="27"/>
  <c r="I792" i="27"/>
  <c r="I791" i="27"/>
  <c r="I790" i="27"/>
  <c r="I789" i="27"/>
  <c r="I788" i="27"/>
  <c r="I787" i="27"/>
  <c r="I786" i="27"/>
  <c r="I785" i="27"/>
  <c r="I784" i="27"/>
  <c r="I783" i="27"/>
  <c r="I782" i="27"/>
  <c r="I781" i="27"/>
  <c r="I780" i="27"/>
  <c r="I779" i="27"/>
  <c r="I778" i="27"/>
  <c r="I777" i="27"/>
  <c r="I776" i="27"/>
  <c r="I775" i="27"/>
  <c r="I774" i="27"/>
  <c r="I773" i="27"/>
  <c r="I772" i="27"/>
  <c r="I771" i="27"/>
  <c r="I770" i="27"/>
  <c r="I769" i="27"/>
  <c r="I768" i="27"/>
  <c r="I767" i="27"/>
  <c r="I766" i="27"/>
  <c r="I765" i="27"/>
  <c r="I764" i="27"/>
  <c r="I763" i="27"/>
  <c r="I762" i="27"/>
  <c r="I761" i="27"/>
  <c r="I760" i="27"/>
  <c r="I759" i="27"/>
  <c r="I758" i="27"/>
  <c r="I757" i="27"/>
  <c r="I756" i="27"/>
  <c r="I755" i="27"/>
  <c r="I754" i="27"/>
  <c r="I753" i="27"/>
  <c r="I752" i="27"/>
  <c r="I751" i="27"/>
  <c r="I750" i="27"/>
  <c r="I749" i="27"/>
  <c r="I748" i="27"/>
  <c r="I747" i="27"/>
  <c r="I746" i="27"/>
  <c r="I745" i="27"/>
  <c r="I744" i="27"/>
  <c r="I743" i="27"/>
  <c r="I742" i="27"/>
  <c r="I741" i="27"/>
  <c r="I740" i="27"/>
  <c r="I739" i="27"/>
  <c r="I738" i="27"/>
  <c r="I737" i="27"/>
  <c r="I736" i="27"/>
  <c r="I735" i="27"/>
  <c r="I734" i="27"/>
  <c r="I733" i="27"/>
  <c r="I732" i="27"/>
  <c r="I731" i="27"/>
  <c r="I730" i="27"/>
  <c r="I729" i="27"/>
  <c r="I728" i="27"/>
  <c r="I727" i="27"/>
  <c r="I726" i="27"/>
  <c r="I725" i="27"/>
  <c r="I724" i="27"/>
  <c r="I723" i="27"/>
  <c r="I722" i="27"/>
  <c r="I721" i="27"/>
  <c r="I720" i="27"/>
  <c r="I719" i="27"/>
  <c r="I718" i="27"/>
  <c r="I717" i="27"/>
  <c r="I716" i="27"/>
  <c r="I715" i="27"/>
  <c r="I714" i="27"/>
  <c r="I713" i="27"/>
  <c r="I712" i="27"/>
  <c r="I711" i="27"/>
  <c r="I710" i="27"/>
  <c r="I709" i="27"/>
  <c r="I708" i="27"/>
  <c r="I707" i="27"/>
  <c r="I706" i="27"/>
  <c r="I705" i="27"/>
  <c r="I704" i="27"/>
  <c r="I703" i="27"/>
  <c r="I702" i="27"/>
  <c r="I701" i="27"/>
  <c r="I700" i="27"/>
  <c r="I699" i="27"/>
  <c r="I698" i="27"/>
  <c r="I697" i="27"/>
  <c r="I696" i="27"/>
  <c r="I695" i="27"/>
  <c r="I694" i="27"/>
  <c r="I693" i="27"/>
  <c r="I692" i="27"/>
  <c r="I691" i="27"/>
  <c r="I690" i="27"/>
  <c r="I689" i="27"/>
  <c r="I688" i="27"/>
  <c r="I687" i="27"/>
  <c r="I686" i="27"/>
  <c r="I685" i="27"/>
  <c r="I684" i="27"/>
  <c r="I683" i="27"/>
  <c r="I682" i="27"/>
  <c r="I681" i="27"/>
  <c r="I680" i="27"/>
  <c r="I679" i="27"/>
  <c r="I678" i="27"/>
  <c r="I677" i="27"/>
  <c r="I676" i="27"/>
  <c r="I675" i="27"/>
  <c r="I674" i="27"/>
  <c r="I673" i="27"/>
  <c r="I672" i="27"/>
  <c r="I671" i="27"/>
  <c r="I670" i="27"/>
  <c r="I669" i="27"/>
  <c r="I668" i="27"/>
  <c r="I667" i="27"/>
  <c r="I666" i="27"/>
  <c r="I665" i="27"/>
  <c r="I664" i="27"/>
  <c r="I663" i="27"/>
  <c r="I662" i="27"/>
  <c r="I661" i="27"/>
  <c r="I660" i="27"/>
  <c r="I659" i="27"/>
  <c r="I658" i="27"/>
  <c r="I657" i="27"/>
  <c r="I656" i="27"/>
  <c r="I655" i="27"/>
  <c r="I654" i="27"/>
  <c r="I653" i="27"/>
  <c r="I652" i="27"/>
  <c r="I651" i="27"/>
  <c r="I650" i="27"/>
  <c r="I649" i="27"/>
  <c r="I648" i="27"/>
  <c r="I647" i="27"/>
  <c r="I646" i="27"/>
  <c r="I645" i="27"/>
  <c r="I644" i="27"/>
  <c r="I643" i="27"/>
  <c r="I642" i="27"/>
  <c r="I641" i="27"/>
  <c r="I640" i="27"/>
  <c r="I639" i="27"/>
  <c r="I638" i="27"/>
  <c r="I637" i="27"/>
  <c r="I636" i="27"/>
  <c r="I635" i="27"/>
  <c r="I634" i="27"/>
  <c r="I633" i="27"/>
  <c r="I632" i="27"/>
  <c r="I631" i="27"/>
  <c r="I630" i="27"/>
  <c r="I629" i="27"/>
  <c r="I628" i="27"/>
  <c r="I627" i="27"/>
  <c r="I626" i="27"/>
  <c r="I625" i="27"/>
  <c r="I624" i="27"/>
  <c r="I623" i="27"/>
  <c r="I622" i="27"/>
  <c r="I621" i="27"/>
  <c r="I620" i="27"/>
  <c r="I619" i="27"/>
  <c r="I618" i="27"/>
  <c r="I617" i="27"/>
  <c r="I616" i="27"/>
  <c r="I615" i="27"/>
  <c r="I614" i="27"/>
  <c r="I613" i="27"/>
  <c r="I612" i="27"/>
  <c r="I611" i="27"/>
  <c r="I610" i="27"/>
  <c r="I609" i="27"/>
  <c r="I608" i="27"/>
  <c r="I607" i="27"/>
  <c r="I606" i="27"/>
  <c r="I605" i="27"/>
  <c r="I604" i="27"/>
  <c r="I603" i="27"/>
  <c r="I602" i="27"/>
  <c r="I601" i="27"/>
  <c r="I600" i="27"/>
  <c r="I599" i="27"/>
  <c r="I598" i="27"/>
  <c r="I597" i="27"/>
  <c r="I596" i="27"/>
  <c r="I595" i="27"/>
  <c r="I594" i="27"/>
  <c r="I593" i="27"/>
  <c r="I592" i="27"/>
  <c r="I591" i="27"/>
  <c r="I590" i="27"/>
  <c r="I589" i="27"/>
  <c r="I588" i="27"/>
  <c r="I587" i="27"/>
  <c r="I586" i="27"/>
  <c r="I585" i="27"/>
  <c r="I584" i="27"/>
  <c r="I583" i="27"/>
  <c r="I582" i="27"/>
  <c r="I581" i="27"/>
  <c r="I580" i="27"/>
  <c r="I579" i="27"/>
  <c r="I578" i="27"/>
  <c r="I577" i="27"/>
  <c r="I576" i="27"/>
  <c r="I575" i="27"/>
  <c r="I574" i="27"/>
  <c r="I573" i="27"/>
  <c r="I572" i="27"/>
  <c r="I571" i="27"/>
  <c r="I570" i="27"/>
  <c r="I569" i="27"/>
  <c r="I568" i="27"/>
  <c r="I567" i="27"/>
  <c r="I566" i="27"/>
  <c r="I565" i="27"/>
  <c r="I564" i="27"/>
  <c r="I563" i="27"/>
  <c r="I562" i="27"/>
  <c r="I561" i="27"/>
  <c r="I560" i="27"/>
  <c r="I559" i="27"/>
  <c r="I558" i="27"/>
  <c r="I557" i="27"/>
  <c r="I556" i="27"/>
  <c r="I555" i="27"/>
  <c r="I554" i="27"/>
  <c r="I553" i="27"/>
  <c r="I552" i="27"/>
  <c r="I551" i="27"/>
  <c r="I550" i="27"/>
  <c r="I549" i="27"/>
  <c r="I548" i="27"/>
  <c r="I547" i="27"/>
  <c r="I546" i="27"/>
  <c r="I545" i="27"/>
  <c r="I544" i="27"/>
  <c r="I543" i="27"/>
  <c r="I542" i="27"/>
  <c r="I541" i="27"/>
  <c r="I540" i="27"/>
  <c r="I539" i="27"/>
  <c r="I538" i="27"/>
  <c r="I537" i="27"/>
  <c r="I536" i="27"/>
  <c r="I535" i="27"/>
  <c r="I534" i="27"/>
  <c r="I533" i="27"/>
  <c r="I532" i="27"/>
  <c r="I531" i="27"/>
  <c r="I530" i="27"/>
  <c r="I529" i="27"/>
  <c r="I528" i="27"/>
  <c r="I527" i="27"/>
  <c r="I526" i="27"/>
  <c r="I525" i="27"/>
  <c r="I524" i="27"/>
  <c r="I523" i="27"/>
  <c r="I522" i="27"/>
  <c r="I521" i="27"/>
  <c r="I520" i="27"/>
  <c r="I519" i="27"/>
  <c r="I518" i="27"/>
  <c r="I517" i="27"/>
  <c r="I516" i="27"/>
  <c r="I515" i="27"/>
  <c r="I514" i="27"/>
  <c r="I513" i="27"/>
  <c r="I512" i="27"/>
  <c r="I511" i="27"/>
  <c r="I510" i="27"/>
  <c r="I509" i="27"/>
  <c r="I508" i="27"/>
  <c r="I507" i="27"/>
  <c r="I506" i="27"/>
  <c r="I505" i="27"/>
  <c r="I504" i="27"/>
  <c r="I503" i="27"/>
  <c r="I502" i="27"/>
  <c r="I501" i="27"/>
  <c r="I500" i="27"/>
  <c r="I499" i="27"/>
  <c r="I498" i="27"/>
  <c r="I497" i="27"/>
  <c r="I496" i="27"/>
  <c r="I495" i="27"/>
  <c r="I494" i="27"/>
  <c r="I493" i="27"/>
  <c r="I492" i="27"/>
  <c r="I491" i="27"/>
  <c r="I490" i="27"/>
  <c r="I489" i="27"/>
  <c r="I488" i="27"/>
  <c r="I487" i="27"/>
  <c r="I486" i="27"/>
  <c r="I485" i="27"/>
  <c r="I484" i="27"/>
  <c r="I483" i="27"/>
  <c r="I482" i="27"/>
  <c r="I481" i="27"/>
  <c r="I480" i="27"/>
  <c r="I479" i="27"/>
  <c r="I478" i="27"/>
  <c r="I477" i="27"/>
  <c r="I476" i="27"/>
  <c r="I475" i="27"/>
  <c r="I474" i="27"/>
  <c r="I473" i="27"/>
  <c r="I472" i="27"/>
  <c r="I471" i="27"/>
  <c r="I470" i="27"/>
  <c r="I469" i="27"/>
  <c r="I468" i="27"/>
  <c r="I467" i="27"/>
  <c r="I466" i="27"/>
  <c r="I465" i="27"/>
  <c r="I464" i="27"/>
  <c r="I463" i="27"/>
  <c r="I462" i="27"/>
  <c r="I461" i="27"/>
  <c r="I460" i="27"/>
  <c r="I459" i="27"/>
  <c r="I458" i="27"/>
  <c r="I457" i="27"/>
  <c r="I456" i="27"/>
  <c r="I455" i="27"/>
  <c r="I454" i="27"/>
  <c r="I453" i="27"/>
  <c r="I452" i="27"/>
  <c r="I451" i="27"/>
  <c r="I450" i="27"/>
  <c r="I449" i="27"/>
  <c r="I448" i="27"/>
  <c r="I447" i="27"/>
  <c r="I446" i="27"/>
  <c r="I445" i="27"/>
  <c r="I444" i="27"/>
  <c r="I443" i="27"/>
  <c r="I442" i="27"/>
  <c r="I441" i="27"/>
  <c r="I440" i="27"/>
  <c r="I439" i="27"/>
  <c r="I438" i="27"/>
  <c r="I437" i="27"/>
  <c r="I436" i="27"/>
  <c r="I435" i="27"/>
  <c r="I434" i="27"/>
  <c r="I433" i="27"/>
  <c r="I432" i="27"/>
  <c r="I431" i="27"/>
  <c r="I430" i="27"/>
  <c r="I429" i="27"/>
  <c r="I428" i="27"/>
  <c r="I427" i="27"/>
  <c r="I426" i="27"/>
  <c r="I425" i="27"/>
  <c r="I424" i="27"/>
  <c r="I423" i="27"/>
  <c r="I422" i="27"/>
  <c r="I421" i="27"/>
  <c r="I420" i="27"/>
  <c r="I419" i="27"/>
  <c r="I418" i="27"/>
  <c r="I417" i="27"/>
  <c r="I416" i="27"/>
  <c r="I415" i="27"/>
  <c r="I414" i="27"/>
  <c r="I413" i="27"/>
  <c r="I412" i="27"/>
  <c r="I411" i="27"/>
  <c r="I410" i="27"/>
  <c r="I409" i="27"/>
  <c r="I408" i="27"/>
  <c r="I407" i="27"/>
  <c r="I406" i="27"/>
  <c r="I405" i="27"/>
  <c r="I404" i="27"/>
  <c r="I403" i="27"/>
  <c r="I402" i="27"/>
  <c r="I401" i="27"/>
  <c r="I400" i="27"/>
  <c r="I399" i="27"/>
  <c r="I398" i="27"/>
  <c r="I397" i="27"/>
  <c r="I396" i="27"/>
  <c r="I395" i="27"/>
  <c r="I394" i="27"/>
  <c r="I393" i="27"/>
  <c r="I392" i="27"/>
  <c r="I391" i="27"/>
  <c r="I390" i="27"/>
  <c r="I389" i="27"/>
  <c r="I388" i="27"/>
  <c r="I387" i="27"/>
  <c r="I386" i="27"/>
  <c r="I385" i="27"/>
  <c r="I384" i="27"/>
  <c r="I383" i="27"/>
  <c r="I382" i="27"/>
  <c r="I381" i="27"/>
  <c r="I380" i="27"/>
  <c r="I379" i="27"/>
  <c r="I378" i="27"/>
  <c r="I377" i="27"/>
  <c r="I376" i="27"/>
  <c r="I375" i="27"/>
  <c r="I374" i="27"/>
  <c r="I373" i="27"/>
  <c r="I372" i="27"/>
  <c r="I371" i="27"/>
  <c r="I370" i="27"/>
  <c r="I369" i="27"/>
  <c r="I368" i="27"/>
  <c r="I367" i="27"/>
  <c r="I366" i="27"/>
  <c r="I365" i="27"/>
  <c r="I364" i="27"/>
  <c r="I363" i="27"/>
  <c r="I362" i="27"/>
  <c r="I361" i="27"/>
  <c r="I360" i="27"/>
  <c r="I359" i="27"/>
  <c r="I358" i="27"/>
  <c r="I357" i="27"/>
  <c r="I356" i="27"/>
  <c r="I355" i="27"/>
  <c r="I354" i="27"/>
  <c r="I353" i="27"/>
  <c r="I352" i="27"/>
  <c r="I351" i="27"/>
  <c r="I350" i="27"/>
  <c r="I349" i="27"/>
  <c r="I348" i="27"/>
  <c r="I347" i="27"/>
  <c r="I346" i="27"/>
  <c r="I345" i="27"/>
  <c r="I344" i="27"/>
  <c r="I343" i="27"/>
  <c r="I342" i="27"/>
  <c r="I341" i="27"/>
  <c r="I340" i="27"/>
  <c r="I339" i="27"/>
  <c r="I338" i="27"/>
  <c r="I337" i="27"/>
  <c r="I336" i="27"/>
  <c r="I335" i="27"/>
  <c r="I334" i="27"/>
  <c r="I333" i="27"/>
  <c r="I332" i="27"/>
  <c r="I331" i="27"/>
  <c r="I330" i="27"/>
  <c r="I329" i="27"/>
  <c r="I328" i="27"/>
  <c r="I327" i="27"/>
  <c r="I326" i="27"/>
  <c r="I325" i="27"/>
  <c r="I324" i="27"/>
  <c r="I323" i="27"/>
  <c r="I322" i="27"/>
  <c r="I321" i="27"/>
  <c r="I320" i="27"/>
  <c r="I319" i="27"/>
  <c r="I318" i="27"/>
  <c r="I317" i="27"/>
  <c r="I316" i="27"/>
  <c r="I315" i="27"/>
  <c r="I314" i="27"/>
  <c r="I313" i="27"/>
  <c r="I312" i="27"/>
  <c r="I311" i="27"/>
  <c r="I310" i="27"/>
  <c r="I309" i="27"/>
  <c r="I308" i="27"/>
  <c r="I307" i="27"/>
  <c r="I306" i="27"/>
  <c r="I305" i="27"/>
  <c r="I304" i="27"/>
  <c r="I303" i="27"/>
  <c r="I302" i="27"/>
  <c r="I301" i="27"/>
  <c r="I300" i="27"/>
  <c r="I299" i="27"/>
  <c r="I298" i="27"/>
  <c r="I297" i="27"/>
  <c r="I296" i="27"/>
  <c r="I295" i="27"/>
  <c r="I294" i="27"/>
  <c r="I292" i="27"/>
  <c r="I291" i="27"/>
  <c r="I290" i="27"/>
  <c r="I289" i="27"/>
  <c r="I288" i="27"/>
  <c r="I287" i="27"/>
  <c r="I286" i="27"/>
  <c r="I285" i="27"/>
  <c r="I284" i="27"/>
  <c r="I283" i="27"/>
  <c r="I282" i="27"/>
  <c r="I281" i="27"/>
  <c r="I280" i="27"/>
  <c r="I279" i="27"/>
  <c r="I278" i="27"/>
  <c r="I277" i="27"/>
  <c r="I276" i="27"/>
  <c r="I275" i="27"/>
  <c r="I274" i="27"/>
  <c r="I273" i="27"/>
  <c r="I272" i="27"/>
  <c r="I271" i="27"/>
  <c r="I266" i="27"/>
  <c r="I265" i="27"/>
  <c r="I264" i="27"/>
  <c r="I242" i="27"/>
  <c r="I241" i="27"/>
  <c r="I240" i="27"/>
  <c r="I239" i="27"/>
  <c r="I234" i="27"/>
  <c r="I233" i="27"/>
  <c r="I232" i="27"/>
  <c r="I231" i="27"/>
  <c r="I230" i="27"/>
  <c r="I229" i="27"/>
  <c r="I228" i="27"/>
  <c r="I227" i="27"/>
  <c r="I226" i="27"/>
  <c r="I225" i="27"/>
  <c r="I224" i="27"/>
  <c r="I223" i="27"/>
  <c r="I222" i="27"/>
  <c r="I221" i="27"/>
  <c r="I220" i="27"/>
  <c r="I219" i="27"/>
  <c r="I218" i="27"/>
  <c r="I217" i="27"/>
  <c r="I216" i="27"/>
  <c r="I215" i="27"/>
  <c r="I214" i="27"/>
  <c r="I213" i="27"/>
  <c r="I212" i="27"/>
  <c r="I211" i="27"/>
  <c r="I207" i="27"/>
  <c r="I206" i="27"/>
  <c r="I205" i="27"/>
  <c r="I204" i="27"/>
  <c r="I203" i="27"/>
  <c r="I202" i="27"/>
  <c r="I201" i="27"/>
  <c r="I200" i="27"/>
  <c r="I199" i="27"/>
  <c r="I198" i="27"/>
  <c r="I197" i="27"/>
  <c r="I196" i="27"/>
  <c r="I195" i="27"/>
  <c r="I194" i="27"/>
  <c r="I193" i="27"/>
  <c r="I192" i="27"/>
  <c r="I191" i="27"/>
  <c r="I190" i="27"/>
  <c r="I189" i="27"/>
  <c r="I188" i="27"/>
  <c r="I187" i="27"/>
  <c r="I186" i="27"/>
  <c r="I185" i="27"/>
  <c r="I184" i="27"/>
  <c r="I183" i="27"/>
  <c r="I182" i="27"/>
  <c r="I181" i="27"/>
  <c r="I180" i="27"/>
  <c r="I179" i="27"/>
  <c r="I178" i="27"/>
  <c r="I177" i="27"/>
  <c r="I176" i="27"/>
  <c r="I175" i="27"/>
  <c r="I174" i="27"/>
  <c r="I173" i="27"/>
  <c r="I172" i="27"/>
  <c r="I171" i="27"/>
  <c r="I170" i="27"/>
  <c r="I169" i="27"/>
  <c r="I168" i="27"/>
  <c r="I167" i="27"/>
  <c r="I166" i="27"/>
  <c r="I165" i="27"/>
  <c r="I164" i="27"/>
  <c r="I163" i="27"/>
  <c r="I162" i="27"/>
  <c r="I161" i="27"/>
  <c r="I160" i="27"/>
  <c r="I159" i="27"/>
  <c r="I158" i="27"/>
  <c r="I157" i="27"/>
  <c r="I156" i="27"/>
  <c r="I155" i="27"/>
  <c r="I154" i="27"/>
  <c r="I153" i="27"/>
  <c r="I152" i="27"/>
  <c r="I151" i="27"/>
  <c r="I150" i="27"/>
  <c r="I149" i="27"/>
  <c r="I148" i="27"/>
  <c r="I147" i="27"/>
  <c r="I146" i="27"/>
  <c r="I145" i="27"/>
  <c r="I144" i="27"/>
  <c r="I143" i="27"/>
  <c r="I142" i="27"/>
  <c r="I141" i="27"/>
  <c r="I140" i="27"/>
  <c r="I139" i="27"/>
  <c r="I138" i="27"/>
  <c r="I137" i="27"/>
  <c r="I136" i="27"/>
  <c r="I135" i="27"/>
  <c r="I134" i="27"/>
  <c r="I133" i="27"/>
  <c r="I132" i="27"/>
  <c r="I131" i="27"/>
  <c r="I130" i="27"/>
  <c r="I129" i="27"/>
  <c r="I128" i="27"/>
  <c r="I127" i="27"/>
  <c r="I126" i="27"/>
  <c r="I125" i="27"/>
  <c r="I124" i="27"/>
  <c r="I123" i="27"/>
  <c r="I122" i="27"/>
  <c r="I121" i="27"/>
  <c r="I120" i="27"/>
  <c r="I119" i="27"/>
  <c r="I54" i="27"/>
  <c r="I53" i="27"/>
  <c r="I52" i="27"/>
  <c r="Z50" i="27"/>
  <c r="I50" i="27"/>
  <c r="Z49" i="27"/>
  <c r="I49" i="27"/>
  <c r="Z48" i="27"/>
  <c r="I48" i="27"/>
  <c r="Z47" i="27"/>
  <c r="I47" i="27"/>
  <c r="Z46" i="27"/>
  <c r="I46" i="27"/>
  <c r="I45" i="27"/>
  <c r="I44" i="27"/>
  <c r="I43" i="27"/>
  <c r="I42" i="27"/>
  <c r="I41" i="27"/>
  <c r="I40" i="27"/>
  <c r="I39" i="27"/>
  <c r="I38" i="27"/>
  <c r="I37" i="27"/>
  <c r="I36" i="27"/>
  <c r="Z35" i="27"/>
  <c r="I35" i="27"/>
  <c r="Z34" i="27"/>
  <c r="I34" i="27"/>
  <c r="Z33" i="27"/>
  <c r="I33" i="27"/>
  <c r="Z32" i="27"/>
  <c r="I32" i="27"/>
  <c r="I31" i="27"/>
  <c r="Z30" i="27"/>
  <c r="I30" i="27"/>
  <c r="I29" i="27"/>
  <c r="Z28" i="27"/>
  <c r="I28" i="27"/>
  <c r="Z27" i="27"/>
  <c r="I27" i="27"/>
  <c r="Z26" i="27"/>
  <c r="I26" i="27"/>
  <c r="Z25" i="27"/>
  <c r="I25" i="27"/>
  <c r="I24" i="27"/>
  <c r="I23" i="27"/>
  <c r="Z22" i="27"/>
  <c r="I22" i="27"/>
  <c r="Z21" i="27"/>
  <c r="I21" i="27"/>
  <c r="Z20" i="27"/>
  <c r="I20" i="27"/>
  <c r="Z19" i="27"/>
  <c r="I19" i="27"/>
  <c r="Z18" i="27"/>
  <c r="I18" i="27"/>
  <c r="Z17" i="27"/>
  <c r="I17" i="27"/>
  <c r="Z16" i="27"/>
  <c r="I16" i="27"/>
  <c r="Z15" i="27"/>
  <c r="I15" i="27"/>
  <c r="Z14" i="27"/>
  <c r="I14" i="27"/>
  <c r="Z13" i="27"/>
  <c r="I13" i="27"/>
  <c r="I12" i="27"/>
  <c r="I11" i="27"/>
  <c r="Z9" i="27"/>
  <c r="I9" i="27"/>
  <c r="Z8" i="27"/>
  <c r="I8" i="27"/>
  <c r="Z7" i="27"/>
  <c r="I7" i="27"/>
  <c r="Z6" i="27"/>
  <c r="I6" i="27"/>
  <c r="Z5" i="27"/>
  <c r="I5" i="27"/>
  <c r="Z4" i="27"/>
  <c r="I4" i="27"/>
  <c r="Z3" i="27"/>
  <c r="I3" i="27"/>
  <c r="I2" i="27"/>
  <c r="Z14" i="1"/>
  <c r="Z19" i="1"/>
  <c r="Z17" i="1"/>
  <c r="Z16" i="1"/>
  <c r="Z15" i="1"/>
  <c r="Z13" i="1"/>
  <c r="Z20" i="1"/>
  <c r="B17" i="22"/>
  <c r="B16" i="22"/>
  <c r="I289" i="1"/>
  <c r="I26" i="1"/>
  <c r="I24" i="1"/>
  <c r="I287" i="1"/>
  <c r="I290" i="1"/>
  <c r="I119" i="1"/>
  <c r="I288" i="1"/>
  <c r="I291" i="1"/>
  <c r="I241" i="1"/>
  <c r="C9" i="22"/>
  <c r="C8" i="22"/>
  <c r="C7" i="22"/>
  <c r="C5" i="22"/>
  <c r="C4" i="22"/>
  <c r="C3" i="22"/>
  <c r="I918" i="1" l="1"/>
  <c r="I170" i="1" l="1"/>
  <c r="I169" i="1"/>
  <c r="I187" i="1"/>
  <c r="I186" i="1"/>
  <c r="I224" i="1"/>
  <c r="I219" i="1"/>
  <c r="I168" i="1"/>
  <c r="I218" i="1"/>
  <c r="I234" i="1"/>
  <c r="I185" i="1"/>
  <c r="I184" i="1"/>
  <c r="I217" i="1"/>
  <c r="I167" i="1"/>
  <c r="I183" i="1"/>
  <c r="I166" i="1"/>
  <c r="I165" i="1"/>
  <c r="I164" i="1"/>
  <c r="I163" i="1"/>
  <c r="I162" i="1"/>
  <c r="I232" i="1"/>
  <c r="I161" i="1"/>
  <c r="I223" i="1"/>
  <c r="I160" i="1"/>
  <c r="I182" i="1"/>
  <c r="I188" i="1"/>
  <c r="I222" i="1"/>
  <c r="I159" i="1"/>
  <c r="I158" i="1"/>
  <c r="I157" i="1"/>
  <c r="I181" i="1"/>
  <c r="I156" i="1"/>
  <c r="I155" i="1"/>
  <c r="I154" i="1"/>
  <c r="I230" i="1"/>
  <c r="I153" i="1"/>
  <c r="I152" i="1"/>
  <c r="I151" i="1"/>
  <c r="I221" i="1"/>
  <c r="I220" i="1"/>
  <c r="I150" i="1"/>
  <c r="I180" i="1"/>
  <c r="I179" i="1"/>
  <c r="I149" i="1"/>
  <c r="I148" i="1"/>
  <c r="I147" i="1"/>
  <c r="I146" i="1"/>
  <c r="I178" i="1"/>
  <c r="I177" i="1"/>
  <c r="I145" i="1"/>
  <c r="I144" i="1"/>
  <c r="I229" i="1"/>
  <c r="I143" i="1"/>
  <c r="I231" i="1"/>
  <c r="I142" i="1"/>
  <c r="I228" i="1"/>
  <c r="I227" i="1"/>
  <c r="I226" i="1"/>
  <c r="I225" i="1"/>
  <c r="I192" i="1"/>
  <c r="I141" i="1"/>
  <c r="I140" i="1"/>
  <c r="I216" i="1"/>
  <c r="I215" i="1"/>
  <c r="I214" i="1"/>
  <c r="I213" i="1"/>
  <c r="I212" i="1"/>
  <c r="I139" i="1"/>
  <c r="I176" i="1"/>
  <c r="I207" i="1"/>
  <c r="I211" i="1"/>
  <c r="I206" i="1"/>
  <c r="I193" i="1"/>
  <c r="I205" i="1"/>
  <c r="I204" i="1"/>
  <c r="I203" i="1"/>
  <c r="I925" i="1"/>
  <c r="I202" i="1"/>
  <c r="I138" i="1"/>
  <c r="I137" i="1"/>
  <c r="I201" i="1"/>
  <c r="I191" i="1"/>
  <c r="I190" i="1"/>
  <c r="I136" i="1"/>
  <c r="I189" i="1"/>
  <c r="I135" i="1"/>
  <c r="I134" i="1"/>
  <c r="I133" i="1"/>
  <c r="I172" i="1"/>
  <c r="I132" i="1"/>
  <c r="I131" i="1"/>
  <c r="I130" i="1"/>
  <c r="I171" i="1"/>
  <c r="I175" i="1"/>
  <c r="I174" i="1"/>
  <c r="I173" i="1"/>
  <c r="I129" i="1"/>
  <c r="I128" i="1"/>
  <c r="I233" i="1"/>
  <c r="I200" i="1"/>
  <c r="I199" i="1"/>
  <c r="I198" i="1"/>
  <c r="I197" i="1"/>
  <c r="I196" i="1"/>
  <c r="I195" i="1"/>
  <c r="I194" i="1"/>
  <c r="I127" i="1"/>
  <c r="I126" i="1"/>
  <c r="I125" i="1"/>
  <c r="I841" i="1" l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54" i="1"/>
  <c r="I853" i="1"/>
  <c r="I852" i="1"/>
  <c r="I858" i="1"/>
  <c r="I808" i="1"/>
  <c r="I807" i="1"/>
  <c r="I806" i="1"/>
  <c r="I805" i="1"/>
  <c r="I804" i="1"/>
  <c r="I803" i="1"/>
  <c r="I809" i="1"/>
  <c r="I857" i="1"/>
  <c r="I801" i="1"/>
  <c r="I800" i="1"/>
  <c r="I799" i="1"/>
  <c r="I798" i="1"/>
  <c r="I851" i="1"/>
  <c r="I797" i="1"/>
  <c r="I796" i="1"/>
  <c r="I795" i="1"/>
  <c r="I794" i="1"/>
  <c r="I802" i="1"/>
  <c r="I793" i="1"/>
  <c r="I850" i="1"/>
  <c r="I792" i="1"/>
  <c r="I791" i="1"/>
  <c r="I790" i="1"/>
  <c r="I789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849" i="1"/>
  <c r="I870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88" i="1"/>
  <c r="I756" i="1"/>
  <c r="I755" i="1"/>
  <c r="I848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847" i="1"/>
  <c r="I740" i="1"/>
  <c r="I739" i="1"/>
  <c r="I738" i="1"/>
  <c r="I737" i="1"/>
  <c r="I736" i="1"/>
  <c r="I735" i="1"/>
  <c r="I734" i="1"/>
  <c r="I844" i="1"/>
  <c r="I733" i="1"/>
  <c r="I732" i="1"/>
  <c r="I731" i="1"/>
  <c r="I730" i="1"/>
  <c r="I856" i="1"/>
  <c r="I729" i="1"/>
  <c r="I728" i="1"/>
  <c r="I727" i="1"/>
  <c r="I726" i="1"/>
  <c r="I725" i="1"/>
  <c r="I846" i="1"/>
  <c r="I842" i="1"/>
  <c r="I868" i="1"/>
  <c r="I893" i="1"/>
  <c r="I869" i="1"/>
  <c r="I867" i="1"/>
  <c r="I866" i="1"/>
  <c r="I843" i="1"/>
  <c r="I845" i="1"/>
  <c r="I855" i="1"/>
  <c r="I724" i="1"/>
  <c r="I723" i="1"/>
  <c r="I722" i="1"/>
  <c r="I721" i="1"/>
  <c r="I720" i="1"/>
  <c r="I865" i="1"/>
  <c r="I718" i="1"/>
  <c r="I719" i="1"/>
  <c r="I717" i="1"/>
  <c r="I716" i="1"/>
  <c r="I715" i="1"/>
  <c r="I864" i="1"/>
  <c r="I863" i="1"/>
  <c r="I892" i="1"/>
  <c r="I862" i="1"/>
  <c r="I713" i="1"/>
  <c r="I714" i="1"/>
  <c r="I861" i="1"/>
  <c r="I712" i="1"/>
  <c r="I711" i="1"/>
  <c r="I710" i="1"/>
  <c r="I709" i="1"/>
  <c r="I860" i="1"/>
  <c r="I708" i="1"/>
  <c r="I891" i="1"/>
  <c r="I707" i="1"/>
  <c r="I705" i="1"/>
  <c r="I704" i="1"/>
  <c r="I703" i="1"/>
  <c r="I890" i="1"/>
  <c r="I702" i="1"/>
  <c r="I889" i="1"/>
  <c r="I701" i="1"/>
  <c r="I888" i="1"/>
  <c r="I700" i="1"/>
  <c r="I699" i="1"/>
  <c r="I698" i="1"/>
  <c r="I697" i="1"/>
  <c r="I696" i="1"/>
  <c r="I887" i="1"/>
  <c r="I695" i="1"/>
  <c r="I694" i="1"/>
  <c r="I706" i="1"/>
  <c r="I693" i="1"/>
  <c r="I886" i="1"/>
  <c r="I692" i="1"/>
  <c r="I691" i="1"/>
  <c r="I690" i="1"/>
  <c r="I689" i="1"/>
  <c r="I687" i="1"/>
  <c r="I686" i="1"/>
  <c r="I688" i="1"/>
  <c r="I685" i="1"/>
  <c r="I684" i="1"/>
  <c r="I885" i="1"/>
  <c r="I884" i="1"/>
  <c r="I682" i="1"/>
  <c r="I681" i="1"/>
  <c r="I680" i="1"/>
  <c r="I679" i="1"/>
  <c r="I678" i="1"/>
  <c r="I677" i="1"/>
  <c r="I676" i="1"/>
  <c r="I675" i="1"/>
  <c r="I674" i="1"/>
  <c r="I673" i="1"/>
  <c r="I683" i="1"/>
  <c r="I672" i="1"/>
  <c r="I671" i="1"/>
  <c r="I670" i="1"/>
  <c r="I883" i="1"/>
  <c r="I882" i="1"/>
  <c r="I669" i="1"/>
  <c r="I668" i="1"/>
  <c r="I666" i="1"/>
  <c r="I667" i="1"/>
  <c r="I665" i="1"/>
  <c r="I664" i="1"/>
  <c r="I663" i="1"/>
  <c r="I662" i="1"/>
  <c r="I660" i="1"/>
  <c r="I659" i="1"/>
  <c r="I658" i="1"/>
  <c r="I657" i="1"/>
  <c r="I656" i="1"/>
  <c r="I881" i="1"/>
  <c r="I655" i="1"/>
  <c r="I654" i="1"/>
  <c r="I653" i="1"/>
  <c r="I652" i="1"/>
  <c r="I651" i="1"/>
  <c r="I661" i="1"/>
  <c r="I650" i="1"/>
  <c r="I648" i="1"/>
  <c r="I649" i="1"/>
  <c r="I647" i="1"/>
  <c r="I646" i="1"/>
  <c r="I645" i="1"/>
  <c r="I644" i="1"/>
  <c r="I643" i="1"/>
  <c r="I642" i="1"/>
  <c r="I641" i="1"/>
  <c r="I640" i="1"/>
  <c r="I639" i="1"/>
  <c r="I637" i="1"/>
  <c r="I859" i="1"/>
  <c r="I636" i="1"/>
  <c r="I638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35" i="1"/>
  <c r="I617" i="1"/>
  <c r="I616" i="1"/>
  <c r="I615" i="1"/>
  <c r="I614" i="1"/>
  <c r="I613" i="1"/>
  <c r="I612" i="1"/>
  <c r="I611" i="1"/>
  <c r="I610" i="1"/>
  <c r="I609" i="1"/>
  <c r="I880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879" i="1"/>
  <c r="I878" i="1"/>
  <c r="I877" i="1"/>
  <c r="I876" i="1"/>
  <c r="I875" i="1"/>
  <c r="I874" i="1"/>
  <c r="I873" i="1"/>
  <c r="I872" i="1"/>
  <c r="I87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896" i="1"/>
  <c r="I897" i="1"/>
  <c r="I898" i="1"/>
  <c r="I899" i="1"/>
  <c r="I900" i="1"/>
  <c r="I901" i="1"/>
  <c r="I903" i="1"/>
  <c r="I904" i="1"/>
  <c r="I905" i="1"/>
  <c r="I902" i="1"/>
  <c r="I906" i="1"/>
  <c r="I907" i="1"/>
  <c r="I908" i="1"/>
  <c r="I909" i="1"/>
  <c r="I910" i="1"/>
  <c r="I911" i="1"/>
  <c r="I912" i="1"/>
  <c r="I913" i="1"/>
  <c r="I914" i="1"/>
  <c r="I915" i="1"/>
  <c r="I916" i="1"/>
  <c r="I919" i="1"/>
  <c r="I917" i="1"/>
  <c r="I920" i="1"/>
  <c r="I921" i="1"/>
  <c r="I922" i="1"/>
  <c r="I923" i="1"/>
  <c r="I924" i="1"/>
  <c r="I292" i="1" l="1"/>
  <c r="I283" i="1"/>
  <c r="I282" i="1"/>
  <c r="I280" i="1"/>
  <c r="I281" i="1"/>
  <c r="I279" i="1"/>
  <c r="I278" i="1"/>
  <c r="I277" i="1"/>
  <c r="I276" i="1"/>
  <c r="I275" i="1"/>
  <c r="I274" i="1"/>
  <c r="I273" i="1"/>
  <c r="I272" i="1"/>
  <c r="I271" i="1"/>
  <c r="I286" i="1"/>
  <c r="I285" i="1"/>
  <c r="I284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66" i="1"/>
  <c r="I265" i="1"/>
  <c r="I264" i="1"/>
  <c r="I242" i="1"/>
  <c r="I240" i="1"/>
  <c r="I239" i="1"/>
  <c r="I124" i="1"/>
  <c r="I54" i="1"/>
  <c r="I53" i="1"/>
  <c r="I52" i="1"/>
  <c r="I123" i="1"/>
  <c r="I122" i="1"/>
  <c r="I121" i="1"/>
  <c r="I120" i="1"/>
  <c r="I14" i="1"/>
  <c r="I13" i="1"/>
  <c r="I12" i="1"/>
  <c r="I11" i="1"/>
  <c r="Z26" i="1"/>
  <c r="Z25" i="1"/>
  <c r="I25" i="1"/>
  <c r="Z21" i="1"/>
  <c r="I21" i="1"/>
  <c r="I20" i="1"/>
  <c r="I19" i="1"/>
  <c r="Z18" i="1"/>
  <c r="I18" i="1"/>
  <c r="I17" i="1"/>
  <c r="I16" i="1"/>
  <c r="I15" i="1"/>
  <c r="I23" i="1"/>
  <c r="Z22" i="1"/>
  <c r="I22" i="1"/>
  <c r="Z50" i="1"/>
  <c r="I50" i="1"/>
  <c r="Z49" i="1"/>
  <c r="I49" i="1"/>
  <c r="Z48" i="1"/>
  <c r="I48" i="1"/>
  <c r="Z47" i="1"/>
  <c r="I47" i="1"/>
  <c r="Z46" i="1"/>
  <c r="I46" i="1"/>
  <c r="I45" i="1"/>
  <c r="I44" i="1"/>
  <c r="I43" i="1"/>
  <c r="I42" i="1"/>
  <c r="I41" i="1"/>
  <c r="I40" i="1"/>
  <c r="I39" i="1"/>
  <c r="I38" i="1"/>
  <c r="I37" i="1"/>
  <c r="I36" i="1"/>
  <c r="Z35" i="1"/>
  <c r="I35" i="1"/>
  <c r="Z34" i="1"/>
  <c r="I34" i="1"/>
  <c r="Z33" i="1"/>
  <c r="I33" i="1"/>
  <c r="Z32" i="1"/>
  <c r="I32" i="1"/>
  <c r="I31" i="1"/>
  <c r="Z30" i="1"/>
  <c r="I30" i="1"/>
  <c r="I29" i="1"/>
  <c r="Z28" i="1"/>
  <c r="I28" i="1"/>
  <c r="Z27" i="1"/>
  <c r="I27" i="1"/>
  <c r="Z9" i="1"/>
  <c r="I9" i="1"/>
  <c r="Z8" i="1"/>
  <c r="I8" i="1"/>
  <c r="Z7" i="1"/>
  <c r="I7" i="1"/>
  <c r="Z6" i="1"/>
  <c r="I6" i="1"/>
  <c r="Z5" i="1"/>
  <c r="I5" i="1"/>
  <c r="Z4" i="1"/>
  <c r="I4" i="1"/>
  <c r="Z3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tc={7783B46C-2CF5-44E0-AF3D-5F6BB7AEC284}</author>
  </authors>
  <commentList>
    <comment ref="A25" authorId="0" shapeId="0" xr:uid="{7783B46C-2CF5-44E0-AF3D-5F6BB7AEC284}">
      <text>
        <t>[Threaded comment]
Your version of Excel allows you to read this threaded comment; however, any edits to it will get removed if the file is opened in a newer version of Excel. Learn more: https://go.microsoft.com/fwlink/?linkid=870924
Comment:
    1 = 100% sicklepod; 
0.5 = 50% sicklepod; 50% non-sicklepod
0 = 100% non-sicklepod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tc={FA628435-3166-4C0A-9395-2C88A102BD37}</author>
  </authors>
  <commentList>
    <comment ref="AK2" authorId="0" shapeId="0" xr:uid="{FA628435-3166-4C0A-9395-2C88A102BD37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insect visitor species was given a pollination importance index (PII) score which was calculated as the percentage of total pollination importance values of all visitor species collected in each yearly sample (i.e., PII = PIV/Z PIV x 100 for all species)
Reply:
    Lindsey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tc={2F17E644-8F59-4AB8-8D45-06A4FCC817C6}</author>
  </authors>
  <commentList>
    <comment ref="A1" authorId="0" shapeId="0" xr:uid="{2F17E644-8F59-4AB8-8D45-06A4FCC817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the pollinators only with a confident behaviour description for a pivot table </t>
      </text>
    </comment>
  </commentList>
</comments>
</file>

<file path=xl/sharedStrings.xml><?xml version="1.0" encoding="utf-8"?>
<sst xmlns="http://schemas.openxmlformats.org/spreadsheetml/2006/main" count="36433" uniqueCount="398">
  <si>
    <t>originalDatasheet</t>
  </si>
  <si>
    <t>methodDetected</t>
  </si>
  <si>
    <t>order</t>
  </si>
  <si>
    <t>family</t>
  </si>
  <si>
    <t>subFamily</t>
  </si>
  <si>
    <t>tribe</t>
  </si>
  <si>
    <t>genus</t>
  </si>
  <si>
    <t>species</t>
  </si>
  <si>
    <t>speciesScientific</t>
  </si>
  <si>
    <t>speciesCommon</t>
  </si>
  <si>
    <t>speciesCommonUnique</t>
  </si>
  <si>
    <t>uniqueID</t>
  </si>
  <si>
    <t>studySite</t>
  </si>
  <si>
    <t>date</t>
  </si>
  <si>
    <t>stigma contact</t>
  </si>
  <si>
    <t>behaviour</t>
  </si>
  <si>
    <t>pollenSwabbed</t>
  </si>
  <si>
    <t>carryingPollen</t>
  </si>
  <si>
    <t>sicklepodPollenCount</t>
  </si>
  <si>
    <t>foreignPollenCount</t>
  </si>
  <si>
    <t>pollenFidelity</t>
  </si>
  <si>
    <t>sizeMatchIndex</t>
  </si>
  <si>
    <t>thoraxWidth</t>
  </si>
  <si>
    <t>pollinator obs_Captured</t>
  </si>
  <si>
    <t>Human observations</t>
  </si>
  <si>
    <t>Coleoptera</t>
  </si>
  <si>
    <t>Curculionidae</t>
  </si>
  <si>
    <t>Cylindralcides</t>
  </si>
  <si>
    <t>bubo</t>
  </si>
  <si>
    <t>Weevil</t>
  </si>
  <si>
    <t>West Normanby River</t>
  </si>
  <si>
    <t>NA</t>
  </si>
  <si>
    <t>ND</t>
  </si>
  <si>
    <t>Hymenoptera</t>
  </si>
  <si>
    <t>Apidae</t>
  </si>
  <si>
    <t>Amegilla</t>
  </si>
  <si>
    <t>Blue Banded Bee</t>
  </si>
  <si>
    <t>Barron River</t>
  </si>
  <si>
    <t>Apis</t>
  </si>
  <si>
    <t>mellifera</t>
  </si>
  <si>
    <t>Honey Bee</t>
  </si>
  <si>
    <t>Centenary Park</t>
  </si>
  <si>
    <t>Meliponini</t>
  </si>
  <si>
    <t>Tetragonula</t>
  </si>
  <si>
    <t>Stingless Bee</t>
  </si>
  <si>
    <t>Stingless Bee (Tetra)</t>
  </si>
  <si>
    <t>Xylocopa</t>
  </si>
  <si>
    <t>Greater Carpenter Bee</t>
  </si>
  <si>
    <t>Springvale</t>
  </si>
  <si>
    <t>Chalcididae</t>
  </si>
  <si>
    <t>Wasp</t>
  </si>
  <si>
    <t>Wasp (2)</t>
  </si>
  <si>
    <t>Colletidae</t>
  </si>
  <si>
    <t>Hylaeinae</t>
  </si>
  <si>
    <t>Palaeorhiza</t>
  </si>
  <si>
    <t>Plasterer Bees</t>
  </si>
  <si>
    <t>White Rock</t>
  </si>
  <si>
    <t>Halicitdae</t>
  </si>
  <si>
    <t>Nomiinae</t>
  </si>
  <si>
    <t>Sweat bee (2)</t>
  </si>
  <si>
    <t>Mellitidia</t>
  </si>
  <si>
    <t>Sweat bee (3)</t>
  </si>
  <si>
    <t>Halictinae</t>
  </si>
  <si>
    <t xml:space="preserve">stirlingi </t>
  </si>
  <si>
    <t>Sweat bee (4)</t>
  </si>
  <si>
    <t>Halictidae</t>
  </si>
  <si>
    <t>Homalictus</t>
  </si>
  <si>
    <t>Sweat bee (5)</t>
  </si>
  <si>
    <t>pollinator obs_DVR</t>
  </si>
  <si>
    <t>DVR</t>
  </si>
  <si>
    <t>Apis mellifera</t>
  </si>
  <si>
    <t>26 May_0930 CP_GoPro</t>
  </si>
  <si>
    <t>Gleaning</t>
  </si>
  <si>
    <t>16 Jun_0900_BR</t>
  </si>
  <si>
    <t>Buzz</t>
  </si>
  <si>
    <t>26 May_0840 CP</t>
  </si>
  <si>
    <t>15 Jun_0900 Springvale</t>
  </si>
  <si>
    <t>Stingless bee</t>
  </si>
  <si>
    <t>Biting/gleaning</t>
  </si>
  <si>
    <t>01Jun_1030 WNR</t>
  </si>
  <si>
    <t>Didn't forage</t>
  </si>
  <si>
    <t>14 Jun_1200 WNR</t>
  </si>
  <si>
    <t>14 Jun_1200 WNR_GoPro</t>
  </si>
  <si>
    <t xml:space="preserve">Patellapis (Pachyhalictus) stirlingi </t>
  </si>
  <si>
    <t>22 Jun_1030 WR_GoPro</t>
  </si>
  <si>
    <t>Lepidoptera</t>
  </si>
  <si>
    <t>Nymphalidae</t>
  </si>
  <si>
    <t>Heliconiinae</t>
  </si>
  <si>
    <t>Acraeini</t>
  </si>
  <si>
    <t>Acraea</t>
  </si>
  <si>
    <t>Glasswing butterfly</t>
  </si>
  <si>
    <t>pollinator obs_humans</t>
  </si>
  <si>
    <t>Blattodea</t>
  </si>
  <si>
    <t>Cockroach</t>
  </si>
  <si>
    <t>Coccinellidae</t>
  </si>
  <si>
    <t>Lady Beetle</t>
  </si>
  <si>
    <t xml:space="preserve">Cylindralcides </t>
  </si>
  <si>
    <t>Cylindralcides bubo</t>
  </si>
  <si>
    <t>Asleep hugging the anther</t>
  </si>
  <si>
    <t>Diptera</t>
  </si>
  <si>
    <t>Calliphoridae</t>
  </si>
  <si>
    <t>Blow Fly</t>
  </si>
  <si>
    <t>Syphridae</t>
  </si>
  <si>
    <t>Hover Fly</t>
  </si>
  <si>
    <t>BI?</t>
  </si>
  <si>
    <t>Austroplebeia</t>
  </si>
  <si>
    <t>Stingless Bee (Austro)</t>
  </si>
  <si>
    <t>Biting</t>
  </si>
  <si>
    <t>fought another Tetragonulat in the flower then left</t>
  </si>
  <si>
    <t>GL?</t>
  </si>
  <si>
    <t>BI(?)</t>
  </si>
  <si>
    <t>Formicidae</t>
  </si>
  <si>
    <t>Ant</t>
  </si>
  <si>
    <t>Sweat bee (1)</t>
  </si>
  <si>
    <t>Vespidae</t>
  </si>
  <si>
    <t>Polistinae</t>
  </si>
  <si>
    <t>Polistes</t>
  </si>
  <si>
    <t>Paper Wasp</t>
  </si>
  <si>
    <t>range</t>
  </si>
  <si>
    <t>Invasive</t>
  </si>
  <si>
    <t>floral visitor data combined from all methods: Digital video recordings, human observations; and captured species data sheets</t>
  </si>
  <si>
    <t xml:space="preserve">Original pollinator data sheets saved: C:\Users\jc895973\James Cook University\ATH - Biosecurity - Laura - Laura\Data </t>
  </si>
  <si>
    <t>contains data from all floral visitors from all sheets</t>
  </si>
  <si>
    <t>DVR - digital video recording; human observations (in person) - note some were observed in person and captured so that individual will be in the datasheet twice</t>
  </si>
  <si>
    <t>Species identification</t>
  </si>
  <si>
    <t>highest taxonomic level identification</t>
  </si>
  <si>
    <t>common name</t>
  </si>
  <si>
    <t>common name (unique for each morphospecies identified)</t>
  </si>
  <si>
    <t>site recorded</t>
  </si>
  <si>
    <t>date observed foraging</t>
  </si>
  <si>
    <t>Only if from DVR</t>
  </si>
  <si>
    <t>both methods - but not always documented</t>
  </si>
  <si>
    <t>of the above column, did the individual carry pollen</t>
  </si>
  <si>
    <t>Count of the number of S. obtusifolia pollen grains (total across whole body). ND = no data</t>
  </si>
  <si>
    <t>Count of the number of pollen grains other other plant species. (total across whole body). ND = no data</t>
  </si>
  <si>
    <r>
      <t xml:space="preserve">calculated as the proportion of </t>
    </r>
    <r>
      <rPr>
        <i/>
        <sz val="11"/>
        <color theme="1"/>
        <rFont val="Calibri"/>
        <family val="2"/>
        <scheme val="minor"/>
      </rPr>
      <t xml:space="preserve">S.obtusifolia </t>
    </r>
    <r>
      <rPr>
        <sz val="11"/>
        <color theme="1"/>
        <rFont val="Calibri"/>
        <family val="2"/>
        <scheme val="minor"/>
      </rPr>
      <t>pollen compared to non-</t>
    </r>
    <r>
      <rPr>
        <i/>
        <sz val="11"/>
        <color theme="1"/>
        <rFont val="Calibri"/>
        <family val="2"/>
        <scheme val="minor"/>
      </rPr>
      <t xml:space="preserve">S. obtusifolia </t>
    </r>
    <r>
      <rPr>
        <sz val="11"/>
        <color theme="1"/>
        <rFont val="Calibri"/>
        <family val="2"/>
        <scheme val="minor"/>
      </rPr>
      <t>pollen carried by each individual</t>
    </r>
  </si>
  <si>
    <t>IF floral visitor thorax size is average (+-SE) stigma/anther distance (1.77 and 2.66) it's likely a pollinator (assigned a 2); too big or too small unlikely pollinators (1)</t>
  </si>
  <si>
    <t>native or invasive</t>
  </si>
  <si>
    <t>Augochlorella</t>
  </si>
  <si>
    <t>Euglossini</t>
  </si>
  <si>
    <t>Eulaema</t>
  </si>
  <si>
    <t>polychroma</t>
  </si>
  <si>
    <t>Augochloropsis</t>
  </si>
  <si>
    <t>metallica</t>
  </si>
  <si>
    <t>Frieseomelitta</t>
  </si>
  <si>
    <t>nigra</t>
  </si>
  <si>
    <t>Melipona</t>
  </si>
  <si>
    <t>beecheii</t>
  </si>
  <si>
    <t>Plebeia</t>
  </si>
  <si>
    <t>frontalis</t>
  </si>
  <si>
    <t>perilampoides</t>
  </si>
  <si>
    <t>Trigona</t>
  </si>
  <si>
    <t>fulviventris</t>
  </si>
  <si>
    <t>16/10/2023</t>
  </si>
  <si>
    <t>Chochola</t>
  </si>
  <si>
    <t>Native</t>
  </si>
  <si>
    <t>Pollinators_captured_MEX.xlsx</t>
  </si>
  <si>
    <t>European honey bee</t>
  </si>
  <si>
    <t>Nannotrigona</t>
  </si>
  <si>
    <t>Mexican Pitted-Stingless bee</t>
  </si>
  <si>
    <t>Butterfly</t>
  </si>
  <si>
    <t>Sweat bee</t>
  </si>
  <si>
    <t>Partamona</t>
  </si>
  <si>
    <t>bilineata</t>
  </si>
  <si>
    <t>biting</t>
  </si>
  <si>
    <t>gleaning?</t>
  </si>
  <si>
    <t>gleaning</t>
  </si>
  <si>
    <t>didn't forage for pollen</t>
  </si>
  <si>
    <t>gleaning/biting?</t>
  </si>
  <si>
    <t>gleaning/biting</t>
  </si>
  <si>
    <t>buzz</t>
  </si>
  <si>
    <t>gl</t>
  </si>
  <si>
    <t>gl/bi</t>
  </si>
  <si>
    <t>bi? (videoed)</t>
  </si>
  <si>
    <t>bi?</t>
  </si>
  <si>
    <t>flowerscontact</t>
  </si>
  <si>
    <t>forageduration</t>
  </si>
  <si>
    <t>&lt;5</t>
  </si>
  <si>
    <t>5-29</t>
  </si>
  <si>
    <t>&gt;60</t>
  </si>
  <si>
    <t>30-59</t>
  </si>
  <si>
    <t>&gt;5</t>
  </si>
  <si>
    <t>&gt;60 (5mins)</t>
  </si>
  <si>
    <t>5-30</t>
  </si>
  <si>
    <t>5-31</t>
  </si>
  <si>
    <t>5-32</t>
  </si>
  <si>
    <t>5-33</t>
  </si>
  <si>
    <t>29-60</t>
  </si>
  <si>
    <t>30-69</t>
  </si>
  <si>
    <t>floralcount_sobtus</t>
  </si>
  <si>
    <t>floralcount_suniflora</t>
  </si>
  <si>
    <t>floralcount_other</t>
  </si>
  <si>
    <t>Pollinator_obs_human_MeX</t>
  </si>
  <si>
    <t>Pollinator obs_DVR_MEX</t>
  </si>
  <si>
    <t xml:space="preserve">Augochlorini </t>
  </si>
  <si>
    <t>Augochlora</t>
  </si>
  <si>
    <t>Sweat Bee</t>
  </si>
  <si>
    <t>European Honey Bee</t>
  </si>
  <si>
    <t>Bee</t>
  </si>
  <si>
    <t>not foraging for pollen</t>
  </si>
  <si>
    <t>licking?</t>
  </si>
  <si>
    <t>quick check for pollen</t>
  </si>
  <si>
    <t>licking/biting</t>
  </si>
  <si>
    <t>licking/gleaning/biting</t>
  </si>
  <si>
    <t>licking</t>
  </si>
  <si>
    <t>licking/gleaning</t>
  </si>
  <si>
    <t>licking/gleaning?</t>
  </si>
  <si>
    <t> CTBA_09102023_GoPro9_0730</t>
  </si>
  <si>
    <t>Chochola_10102023_XeroX-0725</t>
  </si>
  <si>
    <t>Chochola_26092023_GoPro9</t>
  </si>
  <si>
    <t>CTBA_04102023_GoPro_9_0700</t>
  </si>
  <si>
    <t>CTBA_09102023_XeroX_0730</t>
  </si>
  <si>
    <t>Rancho_18102023_XeroX_0720</t>
  </si>
  <si>
    <t>Rancho_18102023_GoPro9_0720</t>
  </si>
  <si>
    <t>Chochola_17102023_GoPro 9_0725</t>
  </si>
  <si>
    <t>Rancho_02102023_GoPro 9</t>
  </si>
  <si>
    <t>Was the captured specimen checked for pollen</t>
  </si>
  <si>
    <t>relativeAbundance(in individual sheets)</t>
  </si>
  <si>
    <t>this wasn't copied over.</t>
  </si>
  <si>
    <t>the number of S. obtusifolia flowers the individual captured</t>
  </si>
  <si>
    <t>Duration of the visit (categorical for in person obs, numeric for DVR). (seconds)</t>
  </si>
  <si>
    <t>in arena in Mex</t>
  </si>
  <si>
    <t>Xmatkuil</t>
  </si>
  <si>
    <t>Tekik de Regil</t>
  </si>
  <si>
    <t>note:</t>
  </si>
  <si>
    <t>No data</t>
  </si>
  <si>
    <t>Not assessed</t>
  </si>
  <si>
    <t>sizeMatchIex</t>
  </si>
  <si>
    <t>MESSYbehaviour</t>
  </si>
  <si>
    <t>Buzzing</t>
  </si>
  <si>
    <t>Licking</t>
  </si>
  <si>
    <t>foragingbehaviour</t>
  </si>
  <si>
    <t>Biting/licking</t>
  </si>
  <si>
    <t>Gleaning/licking</t>
  </si>
  <si>
    <t>Biting/gleaning/licking</t>
  </si>
  <si>
    <t>Row Labels</t>
  </si>
  <si>
    <t>Acraea species</t>
  </si>
  <si>
    <t>Amegilla species</t>
  </si>
  <si>
    <t>Augochlorella species</t>
  </si>
  <si>
    <t>Augochloropsis metallica</t>
  </si>
  <si>
    <t>Augochloropsis species</t>
  </si>
  <si>
    <t>Austroplebeia species</t>
  </si>
  <si>
    <t>Eulaema polychroma</t>
  </si>
  <si>
    <t>Frieseomelitta nigra</t>
  </si>
  <si>
    <t>Homalictus urbanus (TBC)</t>
  </si>
  <si>
    <t>Lipotriches (Austronomia) species</t>
  </si>
  <si>
    <t>Melipona beecheii</t>
  </si>
  <si>
    <t>Mellitidia species</t>
  </si>
  <si>
    <t>Nannotrigona perilampoides</t>
  </si>
  <si>
    <t>Palaeorhiza species</t>
  </si>
  <si>
    <t>Partamona bilineata</t>
  </si>
  <si>
    <t>Plebeia frontalis</t>
  </si>
  <si>
    <t>Polistes species</t>
  </si>
  <si>
    <t>Tetragonula species</t>
  </si>
  <si>
    <t>Trigona fulviventris</t>
  </si>
  <si>
    <t>Xylocopa species</t>
  </si>
  <si>
    <t>Grand Total</t>
  </si>
  <si>
    <t>species 2</t>
  </si>
  <si>
    <t>Halictidae species</t>
  </si>
  <si>
    <t>Augochlora species</t>
  </si>
  <si>
    <t>Halticus species</t>
  </si>
  <si>
    <t>Halictidae species 2</t>
  </si>
  <si>
    <t>Stigma contact (N)</t>
  </si>
  <si>
    <t>relativeabundance(in individual sheets)</t>
  </si>
  <si>
    <t>unique ID</t>
  </si>
  <si>
    <t>Order</t>
  </si>
  <si>
    <t>No</t>
  </si>
  <si>
    <t>Yes</t>
  </si>
  <si>
    <t>Plasterer Bee</t>
  </si>
  <si>
    <t>Range</t>
  </si>
  <si>
    <t>buzzing</t>
  </si>
  <si>
    <t>Not buzzing</t>
  </si>
  <si>
    <t>morphospecies</t>
  </si>
  <si>
    <t>Euglossine</t>
  </si>
  <si>
    <t>Royal Lady Bee</t>
  </si>
  <si>
    <t>European honey Bee</t>
  </si>
  <si>
    <t>Other</t>
  </si>
  <si>
    <t>Non-buzzing</t>
  </si>
  <si>
    <t>buzzpollinator_genus_Cardinal et al. 2018</t>
  </si>
  <si>
    <t>buzzobserved</t>
  </si>
  <si>
    <t>Tetragonula species</t>
  </si>
  <si>
    <t>Apis mellifera</t>
  </si>
  <si>
    <t>Xylocopa species</t>
  </si>
  <si>
    <t>Mellitidia species</t>
  </si>
  <si>
    <t>Lipotriches (Austronomia) species</t>
  </si>
  <si>
    <t>Patellapis (Pachyhalictus) stirlingi </t>
  </si>
  <si>
    <t>Amegilla species</t>
  </si>
  <si>
    <t>Homalictus urbanus (TBC)</t>
  </si>
  <si>
    <t>Palaeorhiza species</t>
  </si>
  <si>
    <t>Austroplebeia species</t>
  </si>
  <si>
    <t>Trigona fulviventris</t>
  </si>
  <si>
    <t>Frieseomelitta nigra</t>
  </si>
  <si>
    <t>Melipona beecheii</t>
  </si>
  <si>
    <t>Halictidae species</t>
  </si>
  <si>
    <t>Augochloropsis species</t>
  </si>
  <si>
    <t>Augochlorella species</t>
  </si>
  <si>
    <t>Partamona bilineata</t>
  </si>
  <si>
    <t>Eulaema polychroma</t>
  </si>
  <si>
    <t>Halictidae species 2</t>
  </si>
  <si>
    <t>Acraea species</t>
  </si>
  <si>
    <t>Cylindralcides bubo</t>
  </si>
  <si>
    <t>Polistes species</t>
  </si>
  <si>
    <t>Augochlora species</t>
  </si>
  <si>
    <t>Augochloropsis metallica</t>
  </si>
  <si>
    <t>Halticus species</t>
  </si>
  <si>
    <t>Nannotrigona perilampoides</t>
  </si>
  <si>
    <t>Plebeia frontalis</t>
  </si>
  <si>
    <t>Lipotriches</t>
  </si>
  <si>
    <t>Anthophorini</t>
  </si>
  <si>
    <t>Apinae</t>
  </si>
  <si>
    <t>Apini</t>
  </si>
  <si>
    <t>Augochlorini</t>
  </si>
  <si>
    <t>Molytinae</t>
  </si>
  <si>
    <t>Mecysolobini</t>
  </si>
  <si>
    <t>Patellapis</t>
  </si>
  <si>
    <t>Halictus</t>
  </si>
  <si>
    <t>Halictini</t>
  </si>
  <si>
    <t xml:space="preserve">Patellapis stirlingi </t>
  </si>
  <si>
    <t>Polistini</t>
  </si>
  <si>
    <t>Syrphidae</t>
  </si>
  <si>
    <t>Xylocopinae</t>
  </si>
  <si>
    <t>Xylocopini</t>
  </si>
  <si>
    <t>species 1</t>
  </si>
  <si>
    <t>Lipotriches species</t>
  </si>
  <si>
    <t>Homalictus species</t>
  </si>
  <si>
    <t>speciesBroad</t>
  </si>
  <si>
    <t>Others</t>
  </si>
  <si>
    <t>Melipona beechei (Meliponini)</t>
  </si>
  <si>
    <t>Plebeia frontalis  (Meliponini)</t>
  </si>
  <si>
    <t>speciesDescription</t>
  </si>
  <si>
    <t>Non bee, non-buzzer</t>
  </si>
  <si>
    <t>Large buzzer</t>
  </si>
  <si>
    <t>Medium non-buzzer</t>
  </si>
  <si>
    <t>Medium buzzer</t>
  </si>
  <si>
    <t>Small non-buzzer</t>
  </si>
  <si>
    <t>Count of range</t>
  </si>
  <si>
    <t>Count of foragingbehaviour2</t>
  </si>
  <si>
    <t>THIS IS % USED IN FIG 2</t>
  </si>
  <si>
    <t>THESE ARE OVERALL %s USED IN TEXT</t>
  </si>
  <si>
    <t xml:space="preserve">we could not confidently define the non-buzzing behaviour for 73.27% of non-buzzing pollinator visits (native range) or 57.82% of non-buzzing pollinator visits (invasive range). </t>
  </si>
  <si>
    <t>visitation_frequency</t>
  </si>
  <si>
    <t>Number.of.times.stimga.contact.recorded.N.</t>
  </si>
  <si>
    <t>Stigma.contact..proportion.of.foraging.visits.where.stigma.contact.was.recorded.</t>
  </si>
  <si>
    <t>Number.of.individuals.swabbed.for.pollen</t>
  </si>
  <si>
    <t>Sicklepod.pollen.load..average.per.individual.of.each.morphospecies.</t>
  </si>
  <si>
    <t>Mean.fidelity..F..scaled</t>
  </si>
  <si>
    <t>sizeMatchIndex.mean.</t>
  </si>
  <si>
    <t>log_PCC</t>
  </si>
  <si>
    <t>PII</t>
  </si>
  <si>
    <t>PIV</t>
  </si>
  <si>
    <t>Abundance</t>
  </si>
  <si>
    <t>Fidelity</t>
  </si>
  <si>
    <t>Size match index</t>
  </si>
  <si>
    <t>Pollen carrying capacity (log) (N)</t>
  </si>
  <si>
    <t>worksheet: Floral visitors_ALL</t>
  </si>
  <si>
    <t>This is a copy of "Floral visitors_ALL but only includes the species which we assessed the foraging behaviour. This was used to create</t>
  </si>
  <si>
    <t xml:space="preserve">Pivot table to calculate the proportion of each foraging behaviour that we observed </t>
  </si>
  <si>
    <t>datasheet: Behaviours</t>
  </si>
  <si>
    <t xml:space="preserve">The lindsey equation calculation in text. </t>
  </si>
  <si>
    <t>morphosspecies ID</t>
  </si>
  <si>
    <t>native or invaded</t>
  </si>
  <si>
    <t>morphospecies common name</t>
  </si>
  <si>
    <t>arbitary description based on the foraging behaviour from "datasheet: Behaviours" and body size from size match index</t>
  </si>
  <si>
    <t xml:space="preserve">morphospecies average visitor frequency per flower per unit time. Calculation and R script in "datasheet: visitorfrequency_Rcalculation" </t>
  </si>
  <si>
    <t>from "Floral visitors_ALL"</t>
  </si>
  <si>
    <t>calculated in "Lindsey_2"</t>
  </si>
  <si>
    <t>from "Floral visitors_ALL"; proportion of Senna pollen to not Senna pollen</t>
  </si>
  <si>
    <t>log("Sicklepod.pollen.load..average.per.individual.of.each.morphospecies.")</t>
  </si>
  <si>
    <t>A</t>
  </si>
  <si>
    <t>F</t>
  </si>
  <si>
    <t>PE(a)</t>
  </si>
  <si>
    <t>PCC</t>
  </si>
  <si>
    <t>PE(b)</t>
  </si>
  <si>
    <t xml:space="preserve"> =A* PCC *F *  PE(a) * PE(b)</t>
  </si>
  <si>
    <t>the percentage of total pollination importance values of all visitor species collected in each yearly sample (i.e., PII = PIV/Z PIV x 100 for all species)</t>
  </si>
  <si>
    <t>Average of sicklepodPollenCount</t>
  </si>
  <si>
    <t>Halictus species</t>
  </si>
  <si>
    <t>Y</t>
  </si>
  <si>
    <t>N</t>
  </si>
  <si>
    <t>B</t>
  </si>
  <si>
    <t>?</t>
  </si>
  <si>
    <t>Pivot reordered to get mean +- SE for buzzing and non buzzing pollen counts</t>
  </si>
  <si>
    <t>Average</t>
  </si>
  <si>
    <t>N (count)</t>
  </si>
  <si>
    <t>StdDev of sicklepodPollenCount</t>
  </si>
  <si>
    <t>StDev</t>
  </si>
  <si>
    <t xml:space="preserve">St Error </t>
  </si>
  <si>
    <t>Pollinator (after Lindsey)</t>
  </si>
  <si>
    <t>Buzzing (yes or no)</t>
  </si>
  <si>
    <t>Table S5</t>
  </si>
  <si>
    <t>Behaviors</t>
  </si>
  <si>
    <t xml:space="preserve">pivot table from "Floral visitors_ALL duplicate" </t>
  </si>
  <si>
    <t xml:space="preserve">V1_from pivot tables </t>
  </si>
  <si>
    <t>V2_ reordered and presented in ms</t>
  </si>
  <si>
    <t>Summary of the above sheets by species to quickly check for what morphospecies we observed which behaviour</t>
  </si>
  <si>
    <t>datasheet: Table 1: Lindsey_Presenting</t>
  </si>
  <si>
    <t>datasheet: Fig 3 data</t>
  </si>
  <si>
    <t>datasheet: Fig 3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</si>
</sst>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0" borderId="0" xfId="0" applyFont="1"/>
    <xf numFmtId="16" fontId="0" fillId="0" borderId="0" xfId="0" applyNumberFormat="1"/>
    <xf numFmtId="0" fontId="1" fillId="2" borderId="0" xfId="1"/>
    <xf numFmtId="164" fontId="0" fillId="0" borderId="0" xfId="0" applyNumberFormat="1"/>
    <xf numFmtId="49" fontId="0" fillId="0" borderId="0" xfId="0" applyNumberFormat="1"/>
    <xf numFmtId="20" fontId="0" fillId="0" borderId="0" xfId="0" applyNumberFormat="1"/>
    <xf numFmtId="0" fontId="4" fillId="0" borderId="0" xfId="0" applyFont="1"/>
    <xf numFmtId="21" fontId="2" fillId="0" borderId="0" xfId="0" applyNumberFormat="1" applyFont="1"/>
    <xf numFmtId="21" fontId="0" fillId="0" borderId="0" xfId="0" applyNumberFormat="1"/>
    <xf numFmtId="0" fontId="5" fillId="0" borderId="0" xfId="0" applyFont="1"/>
    <xf numFmtId="20" fontId="4" fillId="0" borderId="0" xfId="0" applyNumberFormat="1" applyFont="1"/>
    <xf numFmtId="2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5" fillId="0" borderId="0" xfId="0" applyNumberFormat="1" applyFont="1"/>
    <xf numFmtId="1" fontId="0" fillId="0" borderId="0" xfId="0" applyNumberFormat="1"/>
    <xf numFmtId="0" fontId="7" fillId="3" borderId="0" xfId="2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/>
    <xf numFmtId="0" fontId="6" fillId="4" borderId="1" xfId="0" applyFont="1" applyFill="1" applyBorder="1"/>
    <xf numFmtId="0" fontId="0" fillId="0" borderId="0" xfId="0" applyAlignment="1">
      <alignment horizontal="left" indent="1"/>
    </xf>
    <xf numFmtId="0" fontId="6" fillId="4" borderId="2" xfId="0" applyNumberFormat="1" applyFont="1" applyFill="1" applyBorder="1"/>
    <xf numFmtId="0" fontId="9" fillId="0" borderId="0" xfId="0" applyFont="1"/>
    <xf numFmtId="0" fontId="0" fillId="0" borderId="3" xfId="0" applyBorder="1"/>
    <xf numFmtId="0" fontId="6" fillId="0" borderId="3" xfId="0" applyFont="1" applyBorder="1"/>
    <xf numFmtId="0" fontId="2" fillId="0" borderId="3" xfId="0" applyFont="1" applyBorder="1"/>
    <xf numFmtId="0" fontId="10" fillId="0" borderId="3" xfId="0" applyFont="1" applyBorder="1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[Floral visitors_ALL_publishing.xlsx]Fig 3 calcs.!PivotTable2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3 calcs.'!$B$1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'Fig 3 calcs.'!$A$2:$A$10</c:f>
              <c:multiLvlStrCache>
                <c:ptCount val="6"/>
                <c:lvl>
                  <c:pt idx="0">
                    <c:v>Biting</c:v>
                  </c:pt>
                  <c:pt idx="1">
                    <c:v>Buzzing</c:v>
                  </c:pt>
                  <c:pt idx="2">
                    <c:v>Gleaning</c:v>
                  </c:pt>
                  <c:pt idx="3">
                    <c:v>Buzzing</c:v>
                  </c:pt>
                  <c:pt idx="4">
                    <c:v>Gleaning</c:v>
                  </c:pt>
                  <c:pt idx="5">
                    <c:v>Licking</c:v>
                  </c:pt>
                </c:lvl>
                <c:lvl>
                  <c:pt idx="0">
                    <c:v>Invasive</c:v>
                  </c:pt>
                  <c:pt idx="3">
                    <c:v>Native</c:v>
                  </c:pt>
                </c:lvl>
              </c:multiLvlStrCache>
            </c:multiLvlStrRef>
          </c:cat>
          <c:val>
            <c:numRef>
              <c:f>'Fig 3 calcs.'!$B$2:$B$10</c:f>
              <c:numCache>
                <c:formatCode>General</c:formatCode>
                <c:ptCount val="6"/>
                <c:pt idx="0">
                  <c:v>158</c:v>
                </c:pt>
                <c:pt idx="1">
                  <c:v>13</c:v>
                </c:pt>
                <c:pt idx="2">
                  <c:v>6</c:v>
                </c:pt>
                <c:pt idx="3">
                  <c:v>3</c:v>
                </c:pt>
                <c:pt idx="4">
                  <c:v>144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0-45E0-95C2-9B60937D0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912096"/>
        <c:axId val="1207906336"/>
      </c:barChart>
      <c:catAx>
        <c:axId val="12079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06336"/>
        <c:crosses val="autoZero"/>
        <c:auto val="1"/>
        <c:lblAlgn val="ctr"/>
        <c:lblOffset val="100"/>
        <c:noMultiLvlLbl val="0"/>
      </c:catAx>
      <c:valAx>
        <c:axId val="12079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5</xdr:row>
      <xdr:rowOff>133350</xdr:rowOff>
    </xdr:from>
    <xdr:to>
      <xdr:col>15</xdr:col>
      <xdr:colOff>6350</xdr:colOff>
      <xdr:row>20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CBC27-3288-7DD5-E3CE-B84D2D5F3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387349</xdr:colOff>
      <xdr:row>1</xdr:row>
      <xdr:rowOff>57150</xdr:rowOff>
    </xdr:from>
    <xdr:to>
      <xdr:col>17</xdr:col>
      <xdr:colOff>358774</xdr:colOff>
      <xdr:row>18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4FA386-D160-F0B5-965A-C177481AB112}"/>
            </a:ext>
          </a:extLst>
        </xdr:cNvPr>
        <xdr:cNvSpPr txBox="1"/>
      </xdr:nvSpPr>
      <xdr:spPr>
        <a:xfrm>
          <a:off x="6730999" y="241300"/>
          <a:ext cx="6067425" cy="321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floral visitor species visitation frequency per flower and range (per unit time) (merged observation methods)For lindsey equation in excel</a:t>
          </a:r>
        </a:p>
        <a:p>
          <a:endParaRPr lang="en-AU" sz="1100"/>
        </a:p>
        <a:p>
          <a:r>
            <a:rPr lang="en-AU" sz="1100"/>
            <a:t>```{R}library(dplyr)getwd()data&lt;-read.csv("Floral visitors_ALL.csv", sep=",", header = T) # Calculate total visits per species per method +rangevisit_counts &lt;- aggregate(flowerscontact ~ range + speciesScientific, data = data, sum)# Calculate total flower count per species per method +rangetotal_flower_counts &lt;- aggregate(floralcount_sobtus ~ range, data = data, sum)# Merge visit counts and total flower countsvisit_freq_data &lt;- merge(visit_counts, total_flower_counts, by = "range")# Calculate total visits per species per method +rangevisit_counts &lt;- aggregate(flowerscontact ~ range + speciesScientific, data = data, sum)# Calculate total flower count per species per method +rangetotal_flower_counts &lt;- aggregate(floralcount_sobtus ~ range, data = data, sum)# Merge visit counts and total flower countsvisit_freq_data &lt;- merge(visit_counts, total_flower_counts, by = "range")#time data table - survey effort in hours surveyeffort &lt;- data.frame(  range = c("Native", "Invasive"),  hour = c(28.5, 34.5)  )#merge surveyeffort and visit_frequ_data merged_data &lt;- merge(surveyeffort, visit_freq_data, by = "range", all = TRUE)# Calculate visitation frequency -&gt; this accounts for flowers but NOT time.  merged_data$visitation_frequency &lt;- merged_data$flowerscontact / merged_data$floralcount_sobtus / merged_data$hourprint(merged_data)</a:t>
          </a:r>
        </a:p>
        <a:p>
          <a:r>
            <a:rPr lang="en-AU" sz="1100"/>
            <a:t>```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ura" id="{2FEDA7AB-9D63-4F71-84F1-F138FCB5F041}" userId="Laura" providerId="None"/>
  <person displayName="Laura Lopresti" id="{F6F9EB0D-C524-4EB6-94B8-498D34C7AE5E}" userId="S::laura.lopresti@my.jcu.edu.au::5de1a7b7-0771-44a4-a35c-b7bf9701f68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Lopresti" refreshedDate="45546.616962268519" createdVersion="8" refreshedVersion="8" minRefreshableVersion="3" recordCount="330" xr:uid="{B916A814-63DA-4E64-993A-55C0279E4D84}">
  <cacheSource type="worksheet">
    <worksheetSource ref="A1:AI331" sheet="Fig 3 data"/>
  </cacheSource>
  <cacheFields count="35">
    <cacheField name="originalDatasheet" numFmtId="0">
      <sharedItems/>
    </cacheField>
    <cacheField name="methodDetected" numFmtId="0">
      <sharedItems/>
    </cacheField>
    <cacheField name="order" numFmtId="0">
      <sharedItems/>
    </cacheField>
    <cacheField name="family" numFmtId="0">
      <sharedItems/>
    </cacheField>
    <cacheField name="subFamily" numFmtId="0">
      <sharedItems containsBlank="1"/>
    </cacheField>
    <cacheField name="tribe" numFmtId="0">
      <sharedItems containsBlank="1"/>
    </cacheField>
    <cacheField name="genus" numFmtId="0">
      <sharedItems containsBlank="1"/>
    </cacheField>
    <cacheField name="species" numFmtId="0">
      <sharedItems containsBlank="1"/>
    </cacheField>
    <cacheField name="speciesScientific" numFmtId="0">
      <sharedItems/>
    </cacheField>
    <cacheField name="speciesBroad" numFmtId="0">
      <sharedItems/>
    </cacheField>
    <cacheField name="speciesDescription" numFmtId="0">
      <sharedItems/>
    </cacheField>
    <cacheField name="speciesCommon" numFmtId="0">
      <sharedItems/>
    </cacheField>
    <cacheField name="speciesCommonUnique" numFmtId="0">
      <sharedItems containsBlank="1"/>
    </cacheField>
    <cacheField name="uniqueID" numFmtId="0">
      <sharedItems containsSemiMixedTypes="0" containsString="0" containsNumber="1" containsInteger="1" minValue="51" maxValue="922"/>
    </cacheField>
    <cacheField name="range" numFmtId="0">
      <sharedItems count="2">
        <s v="Invasive"/>
        <s v="Native"/>
      </sharedItems>
    </cacheField>
    <cacheField name="studySite" numFmtId="0">
      <sharedItems/>
    </cacheField>
    <cacheField name="date" numFmtId="0">
      <sharedItems containsDate="1" containsMixedTypes="1" minDate="2022-05-26T00:00:00" maxDate="2023-10-12T00:00:00"/>
    </cacheField>
    <cacheField name="stigma contact" numFmtId="0">
      <sharedItems containsString="0" containsBlank="1" containsNumber="1" containsInteger="1" minValue="0" maxValue="1"/>
    </cacheField>
    <cacheField name="MESSYbehaviour" numFmtId="0">
      <sharedItems/>
    </cacheField>
    <cacheField name="foragingbehaviour" numFmtId="0">
      <sharedItems count="4">
        <s v="Biting"/>
        <s v="Gleaning"/>
        <s v="Buzzing"/>
        <s v="Licking"/>
      </sharedItems>
    </cacheField>
    <cacheField name="buzzing" numFmtId="0">
      <sharedItems/>
    </cacheField>
    <cacheField name="pollenSwabbed" numFmtId="0">
      <sharedItems containsString="0" containsBlank="1" containsNumber="1" containsInteger="1" minValue="0" maxValue="0"/>
    </cacheField>
    <cacheField name="carryingPollen" numFmtId="0">
      <sharedItems containsNonDate="0" containsString="0" containsBlank="1"/>
    </cacheField>
    <cacheField name="sicklepodPollenCount" numFmtId="0">
      <sharedItems containsNonDate="0" containsString="0" containsBlank="1"/>
    </cacheField>
    <cacheField name="foreignPollenCount" numFmtId="0">
      <sharedItems containsNonDate="0" containsString="0" containsBlank="1"/>
    </cacheField>
    <cacheField name="pollenFidelity" numFmtId="0">
      <sharedItems containsNonDate="0" containsString="0" containsBlank="1"/>
    </cacheField>
    <cacheField name="sizeMatchIex" numFmtId="0">
      <sharedItems containsNonDate="0" containsString="0" containsBlank="1"/>
    </cacheField>
    <cacheField name="thoraxWidth" numFmtId="0">
      <sharedItems containsNonDate="0" containsString="0" containsBlank="1"/>
    </cacheField>
    <cacheField name="relativeabundance(in individual sheets)" numFmtId="0">
      <sharedItems containsNonDate="0" containsString="0" containsBlank="1"/>
    </cacheField>
    <cacheField name="flowerscontact" numFmtId="0">
      <sharedItems containsString="0" containsBlank="1" containsNumber="1" containsInteger="1" minValue="1" maxValue="6"/>
    </cacheField>
    <cacheField name="forageduration" numFmtId="0">
      <sharedItems containsBlank="1"/>
    </cacheField>
    <cacheField name="floralcount_sobtus" numFmtId="0">
      <sharedItems containsString="0" containsBlank="1" containsNumber="1" containsInteger="1" minValue="1" maxValue="45"/>
    </cacheField>
    <cacheField name="floralcount_suniflora" numFmtId="0">
      <sharedItems containsString="0" containsBlank="1" containsNumber="1" containsInteger="1" minValue="0" maxValue="24"/>
    </cacheField>
    <cacheField name="floralcount_other" numFmtId="0">
      <sharedItems containsString="0" containsBlank="1" containsNumber="1" containsInteger="1" minValue="0" maxValue="10"/>
    </cacheField>
    <cacheField name="unique ID" numFmtId="0">
      <sharedItems containsSemiMixedTypes="0" containsString="0" containsNumber="1" containsInteger="1" minValue="4" maxValue="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Lopresti" refreshedDate="45698.547970023152" createdVersion="8" refreshedVersion="8" minRefreshableVersion="3" recordCount="924" xr:uid="{7A0E829F-4B73-4806-B052-D7C247976092}">
  <cacheSource type="worksheet">
    <worksheetSource ref="A1:AI925" sheet="Floral_visitors_ALL duplicate"/>
  </cacheSource>
  <cacheFields count="35">
    <cacheField name="originalDatasheet" numFmtId="0">
      <sharedItems containsBlank="1"/>
    </cacheField>
    <cacheField name="methodDetected" numFmtId="0">
      <sharedItems containsBlank="1"/>
    </cacheField>
    <cacheField name="order" numFmtId="0">
      <sharedItems/>
    </cacheField>
    <cacheField name="family" numFmtId="0">
      <sharedItems containsBlank="1"/>
    </cacheField>
    <cacheField name="subFamily" numFmtId="0">
      <sharedItems containsBlank="1"/>
    </cacheField>
    <cacheField name="tribe" numFmtId="0">
      <sharedItems containsBlank="1"/>
    </cacheField>
    <cacheField name="genus" numFmtId="0">
      <sharedItems containsBlank="1"/>
    </cacheField>
    <cacheField name="species" numFmtId="0">
      <sharedItems containsBlank="1" count="15">
        <s v="bubo"/>
        <s v="species"/>
        <s v="mellifera"/>
        <m/>
        <s v="stirlingi "/>
        <s v="species 1"/>
        <s v="species 2"/>
        <s v="fulviventris"/>
        <s v="polychroma"/>
        <s v="nigra"/>
        <s v="beecheii"/>
        <s v="perilampoides"/>
        <s v="bilineata"/>
        <s v="metallica"/>
        <s v="frontalis"/>
      </sharedItems>
    </cacheField>
    <cacheField name="speciesScientific" numFmtId="0">
      <sharedItems count="36">
        <s v="Cylindralcides bubo"/>
        <s v="Amegilla species"/>
        <s v="Apis mellifera"/>
        <s v="Chalcididae"/>
        <s v="Homalictus species"/>
        <s v="Lipotriches species"/>
        <s v="Mellitidia species"/>
        <s v="Palaeorhiza species"/>
        <s v="Patellapis stirlingi "/>
        <s v="Tetragonula species"/>
        <s v="Xylocopa species"/>
        <s v="Meliponini"/>
        <s v="Acraea species"/>
        <s v="Augochlora species"/>
        <s v="Formicidae"/>
        <s v="Halictidae species"/>
        <s v="Halictidae species 2"/>
        <s v="Trigona fulviventris"/>
        <s v="Blattodea"/>
        <s v="Coccinellidae"/>
        <s v="Calliphoridae"/>
        <s v="Austroplebeia species"/>
        <s v="Polistes species"/>
        <s v="Syrphidae"/>
        <s v="Augochloropsis species"/>
        <s v="Eulaema polychroma"/>
        <s v="Frieseomelitta nigra"/>
        <s v="Melipona beecheii"/>
        <s v="Nannotrigona perilampoides"/>
        <s v="Partamona bilineata"/>
        <s v="Vespidae"/>
        <s v="Lepidoptera"/>
        <s v="Augochlorella species"/>
        <s v="Augochloropsis metallica"/>
        <s v="Halictus species"/>
        <s v="Plebeia frontalis"/>
      </sharedItems>
    </cacheField>
    <cacheField name="speciesBroad" numFmtId="0">
      <sharedItems/>
    </cacheField>
    <cacheField name="speciesDescription" numFmtId="0">
      <sharedItems/>
    </cacheField>
    <cacheField name="speciesCommon" numFmtId="0">
      <sharedItems/>
    </cacheField>
    <cacheField name="speciesCommonUnique" numFmtId="0">
      <sharedItems containsBlank="1"/>
    </cacheField>
    <cacheField name="uniqueID" numFmtId="0">
      <sharedItems containsSemiMixedTypes="0" containsString="0" containsNumber="1" containsInteger="1" minValue="1" maxValue="943"/>
    </cacheField>
    <cacheField name="range" numFmtId="0">
      <sharedItems/>
    </cacheField>
    <cacheField name="studySite" numFmtId="0">
      <sharedItems/>
    </cacheField>
    <cacheField name="date" numFmtId="0">
      <sharedItems containsDate="1" containsMixedTypes="1" minDate="2020-06-15T00:00:00" maxDate="2023-11-11T00:00:00"/>
    </cacheField>
    <cacheField name="stigma contact" numFmtId="0">
      <sharedItems containsString="0" containsBlank="1" containsNumber="1" containsInteger="1" minValue="0" maxValue="1"/>
    </cacheField>
    <cacheField name="MESSYbehaviour" numFmtId="0">
      <sharedItems containsBlank="1"/>
    </cacheField>
    <cacheField name="foragingbehaviour" numFmtId="0">
      <sharedItems containsBlank="1" count="9">
        <m/>
        <s v="Biting"/>
        <s v="Gleaning"/>
        <s v="Biting/gleaning"/>
        <s v="Buzzing"/>
        <s v="Licking"/>
        <s v="Biting/licking"/>
        <s v="Gleaning/licking"/>
        <s v="Biting/gleaning/licking"/>
      </sharedItems>
    </cacheField>
    <cacheField name="buzzing" numFmtId="0">
      <sharedItems count="3">
        <s v="No data"/>
        <s v="Not buzzing"/>
        <s v="Buzzing"/>
      </sharedItems>
    </cacheField>
    <cacheField name="pollenSwabbed" numFmtId="0">
      <sharedItems containsString="0" containsBlank="1" containsNumber="1" containsInteger="1" minValue="0" maxValue="1"/>
    </cacheField>
    <cacheField name="carryingPollen" numFmtId="0">
      <sharedItems containsString="0" containsBlank="1" containsNumber="1" containsInteger="1" minValue="0" maxValue="1"/>
    </cacheField>
    <cacheField name="sicklepodPollenCount" numFmtId="0">
      <sharedItems containsString="0" containsBlank="1" containsNumber="1" containsInteger="1" minValue="0" maxValue="80359" count="55">
        <n v="0"/>
        <n v="1232"/>
        <n v="1493"/>
        <n v="2757"/>
        <n v="2315"/>
        <n v="542"/>
        <n v="2243"/>
        <n v="611"/>
        <m/>
        <n v="12532"/>
        <n v="619"/>
        <n v="5918"/>
        <n v="3625"/>
        <n v="4021"/>
        <n v="321"/>
        <n v="12480"/>
        <n v="14540"/>
        <n v="7270"/>
        <n v="48"/>
        <n v="2869"/>
        <n v="13368"/>
        <n v="226"/>
        <n v="290"/>
        <n v="5"/>
        <n v="94"/>
        <n v="15803"/>
        <n v="3"/>
        <n v="9840"/>
        <n v="80359"/>
        <n v="11092"/>
        <n v="3822"/>
        <n v="879"/>
        <n v="2571"/>
        <n v="2142"/>
        <n v="603"/>
        <n v="15"/>
        <n v="4644"/>
        <n v="17510"/>
        <n v="3501"/>
        <n v="890"/>
        <n v="67"/>
        <n v="57"/>
        <n v="609"/>
        <n v="412"/>
        <n v="11"/>
        <n v="9395"/>
        <n v="1564"/>
        <n v="4621"/>
        <n v="496"/>
        <n v="91"/>
        <n v="27"/>
        <n v="104"/>
        <n v="670"/>
        <n v="394"/>
        <n v="1039"/>
      </sharedItems>
    </cacheField>
    <cacheField name="foreignPollenCount" numFmtId="0">
      <sharedItems containsString="0" containsBlank="1" containsNumber="1" containsInteger="1" minValue="0" maxValue="9349"/>
    </cacheField>
    <cacheField name="pollenFidelity" numFmtId="0">
      <sharedItems containsString="0" containsBlank="1" containsNumber="1" minValue="-14.103392568659128" maxValue="1"/>
    </cacheField>
    <cacheField name="sizeMatchIex" numFmtId="0">
      <sharedItems containsString="0" containsBlank="1" containsNumber="1" containsInteger="1" minValue="1" maxValue="2"/>
    </cacheField>
    <cacheField name="thoraxWidth" numFmtId="0">
      <sharedItems containsString="0" containsBlank="1" containsNumber="1" minValue="0.48" maxValue="8.6199999999999992"/>
    </cacheField>
    <cacheField name="relativeabundance(in individual sheets)" numFmtId="0">
      <sharedItems containsNonDate="0" containsString="0" containsBlank="1"/>
    </cacheField>
    <cacheField name="flowerscontact" numFmtId="0">
      <sharedItems containsString="0" containsBlank="1" containsNumber="1" containsInteger="1" minValue="1" maxValue="6"/>
    </cacheField>
    <cacheField name="forageduration" numFmtId="0">
      <sharedItems containsBlank="1"/>
    </cacheField>
    <cacheField name="floralcount_sobtus" numFmtId="0">
      <sharedItems containsString="0" containsBlank="1" containsNumber="1" containsInteger="1" minValue="1" maxValue="57"/>
    </cacheField>
    <cacheField name="floralcount_suniflora" numFmtId="0">
      <sharedItems containsString="0" containsBlank="1" containsNumber="1" containsInteger="1" minValue="0" maxValue="47"/>
    </cacheField>
    <cacheField name="floralcount_other" numFmtId="0">
      <sharedItems containsString="0" containsBlank="1" containsNumber="1" containsInteger="1" minValue="0" maxValue="20"/>
    </cacheField>
    <cacheField name="unique ID" numFmtId="0">
      <sharedItems containsString="0" containsBlank="1" containsNumber="1" containsInteger="1" minValue="1" maxValue="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55"/>
    <x v="0"/>
    <s v="Centenary Park"/>
    <s v="26 May_0840 CP"/>
    <m/>
    <s v="Biting"/>
    <x v="0"/>
    <s v="Not buzzing"/>
    <m/>
    <m/>
    <m/>
    <m/>
    <m/>
    <m/>
    <m/>
    <m/>
    <n v="1"/>
    <m/>
    <n v="2"/>
    <m/>
    <m/>
    <n v="68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56"/>
    <x v="0"/>
    <s v="Springvale"/>
    <s v="15 Jun_0900 Springvale"/>
    <n v="1"/>
    <s v="Biting"/>
    <x v="0"/>
    <s v="Not buzzing"/>
    <m/>
    <m/>
    <m/>
    <m/>
    <m/>
    <m/>
    <m/>
    <m/>
    <n v="1"/>
    <m/>
    <n v="2"/>
    <m/>
    <m/>
    <n v="66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57"/>
    <x v="0"/>
    <s v="Springvale"/>
    <s v="15 Jun_0900 Springvale"/>
    <m/>
    <s v="Biting"/>
    <x v="0"/>
    <s v="Not buzzing"/>
    <m/>
    <m/>
    <m/>
    <m/>
    <m/>
    <m/>
    <m/>
    <m/>
    <n v="1"/>
    <m/>
    <n v="2"/>
    <m/>
    <m/>
    <n v="67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58"/>
    <x v="0"/>
    <s v="West Normanby River"/>
    <s v="01Jun_1030 WNR"/>
    <n v="1"/>
    <s v="Biting"/>
    <x v="0"/>
    <s v="Not buzzing"/>
    <m/>
    <m/>
    <m/>
    <m/>
    <m/>
    <m/>
    <m/>
    <m/>
    <n v="1"/>
    <m/>
    <n v="2"/>
    <m/>
    <m/>
    <n v="5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59"/>
    <x v="0"/>
    <s v="West Normanby River"/>
    <s v="01Jun_1030 WNR"/>
    <n v="0"/>
    <s v="Biting"/>
    <x v="0"/>
    <s v="Not buzzing"/>
    <m/>
    <m/>
    <m/>
    <m/>
    <m/>
    <m/>
    <m/>
    <m/>
    <n v="1"/>
    <m/>
    <n v="2"/>
    <m/>
    <m/>
    <n v="6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0"/>
    <x v="0"/>
    <s v="West Normanby River"/>
    <s v="01Jun_1030 WNR"/>
    <n v="0"/>
    <s v="Biting"/>
    <x v="0"/>
    <s v="Not buzzing"/>
    <m/>
    <m/>
    <m/>
    <m/>
    <m/>
    <m/>
    <m/>
    <m/>
    <n v="1"/>
    <m/>
    <n v="2"/>
    <m/>
    <m/>
    <n v="7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1"/>
    <x v="0"/>
    <s v="West Normanby River"/>
    <s v="01Jun_1030 WNR"/>
    <n v="0"/>
    <s v="Biting"/>
    <x v="0"/>
    <s v="Not buzzing"/>
    <m/>
    <m/>
    <m/>
    <m/>
    <m/>
    <m/>
    <m/>
    <m/>
    <n v="1"/>
    <m/>
    <n v="1"/>
    <m/>
    <m/>
    <n v="8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2"/>
    <x v="0"/>
    <s v="West Normanby River"/>
    <s v="01Jun_1030 WNR"/>
    <n v="0"/>
    <s v="Biting"/>
    <x v="0"/>
    <s v="Not buzzing"/>
    <m/>
    <m/>
    <m/>
    <m/>
    <m/>
    <m/>
    <m/>
    <m/>
    <n v="1"/>
    <m/>
    <n v="4"/>
    <m/>
    <m/>
    <n v="9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3"/>
    <x v="0"/>
    <s v="West Normanby River"/>
    <s v="01Jun_1030 WNR"/>
    <n v="0"/>
    <s v="Biting"/>
    <x v="0"/>
    <s v="Not buzzing"/>
    <m/>
    <m/>
    <m/>
    <m/>
    <m/>
    <m/>
    <m/>
    <m/>
    <n v="1"/>
    <m/>
    <n v="1"/>
    <m/>
    <m/>
    <n v="10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4"/>
    <x v="0"/>
    <s v="West Normanby River"/>
    <s v="01Jun_1030 WNR"/>
    <n v="0"/>
    <s v="Biting"/>
    <x v="0"/>
    <s v="Not buzzing"/>
    <m/>
    <m/>
    <m/>
    <m/>
    <m/>
    <m/>
    <m/>
    <m/>
    <n v="1"/>
    <m/>
    <n v="3"/>
    <m/>
    <m/>
    <n v="11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5"/>
    <x v="0"/>
    <s v="West Normanby River"/>
    <s v="01Jun_1030 WNR"/>
    <n v="1"/>
    <s v="Biting"/>
    <x v="0"/>
    <s v="Not buzzing"/>
    <m/>
    <m/>
    <m/>
    <m/>
    <m/>
    <m/>
    <m/>
    <m/>
    <n v="1"/>
    <m/>
    <n v="3"/>
    <m/>
    <m/>
    <n v="12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6"/>
    <x v="0"/>
    <s v="West Normanby River"/>
    <s v="01Jun_1030 WNR"/>
    <n v="0"/>
    <s v="Biting"/>
    <x v="0"/>
    <s v="Not buzzing"/>
    <m/>
    <m/>
    <m/>
    <m/>
    <m/>
    <m/>
    <m/>
    <m/>
    <n v="1"/>
    <m/>
    <n v="1"/>
    <m/>
    <m/>
    <n v="13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7"/>
    <x v="0"/>
    <s v="West Normanby River"/>
    <s v="01Jun_1030 WNR"/>
    <n v="0"/>
    <s v="Biting"/>
    <x v="0"/>
    <s v="Not buzzing"/>
    <m/>
    <m/>
    <m/>
    <m/>
    <m/>
    <m/>
    <m/>
    <m/>
    <n v="1"/>
    <m/>
    <n v="1"/>
    <m/>
    <m/>
    <n v="14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8"/>
    <x v="0"/>
    <s v="West Normanby River"/>
    <s v="01Jun_1030 WNR"/>
    <n v="0"/>
    <s v="Biting"/>
    <x v="0"/>
    <s v="Not buzzing"/>
    <m/>
    <m/>
    <m/>
    <m/>
    <m/>
    <m/>
    <m/>
    <m/>
    <n v="1"/>
    <m/>
    <n v="1"/>
    <m/>
    <m/>
    <n v="15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69"/>
    <x v="0"/>
    <s v="West Normanby River"/>
    <s v="01Jun_1030 WNR"/>
    <n v="0"/>
    <s v="Biting"/>
    <x v="0"/>
    <s v="Not buzzing"/>
    <m/>
    <m/>
    <m/>
    <m/>
    <m/>
    <m/>
    <m/>
    <m/>
    <n v="1"/>
    <m/>
    <n v="3"/>
    <m/>
    <m/>
    <n v="16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70"/>
    <x v="0"/>
    <s v="West Normanby River"/>
    <s v="01Jun_1030 WNR"/>
    <n v="1"/>
    <s v="Biting"/>
    <x v="0"/>
    <s v="Not buzzing"/>
    <m/>
    <m/>
    <m/>
    <m/>
    <m/>
    <m/>
    <m/>
    <m/>
    <n v="1"/>
    <m/>
    <n v="3"/>
    <m/>
    <m/>
    <n v="17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71"/>
    <x v="0"/>
    <s v="West Normanby River"/>
    <s v="01Jun_1030 WNR"/>
    <n v="1"/>
    <s v="Biting"/>
    <x v="0"/>
    <s v="Not buzzing"/>
    <m/>
    <m/>
    <m/>
    <m/>
    <m/>
    <m/>
    <m/>
    <m/>
    <n v="1"/>
    <m/>
    <n v="3"/>
    <m/>
    <m/>
    <n v="18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72"/>
    <x v="0"/>
    <s v="West Normanby River"/>
    <s v="01Jun_1030 WNR"/>
    <n v="0"/>
    <s v="Biting"/>
    <x v="0"/>
    <s v="Not buzzing"/>
    <m/>
    <m/>
    <m/>
    <m/>
    <m/>
    <m/>
    <m/>
    <m/>
    <n v="1"/>
    <m/>
    <n v="3"/>
    <m/>
    <m/>
    <n v="19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73"/>
    <x v="0"/>
    <s v="West Normanby River"/>
    <s v="01Jun_1030 WNR"/>
    <n v="1"/>
    <s v="Biting"/>
    <x v="0"/>
    <s v="Not buzzing"/>
    <m/>
    <m/>
    <m/>
    <m/>
    <m/>
    <m/>
    <m/>
    <m/>
    <n v="1"/>
    <m/>
    <n v="3"/>
    <m/>
    <m/>
    <n v="20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06"/>
    <x v="0"/>
    <s v="West Normanby River"/>
    <s v="01Jun_1030 WNR"/>
    <n v="0"/>
    <s v="Biting"/>
    <x v="0"/>
    <s v="Not buzzing"/>
    <m/>
    <m/>
    <m/>
    <m/>
    <m/>
    <m/>
    <m/>
    <m/>
    <n v="1"/>
    <m/>
    <n v="3"/>
    <m/>
    <m/>
    <n v="53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07"/>
    <x v="0"/>
    <s v="West Normanby River"/>
    <s v="01Jun_1030 WNR"/>
    <n v="0"/>
    <s v="Biting"/>
    <x v="0"/>
    <s v="Not buzzing"/>
    <m/>
    <m/>
    <m/>
    <m/>
    <m/>
    <m/>
    <m/>
    <m/>
    <n v="1"/>
    <m/>
    <n v="3"/>
    <m/>
    <m/>
    <n v="54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08"/>
    <x v="0"/>
    <s v="West Normanby River"/>
    <s v="14 Jun_1200 WNR"/>
    <n v="1"/>
    <s v="Biting"/>
    <x v="0"/>
    <s v="Not buzzing"/>
    <m/>
    <m/>
    <m/>
    <m/>
    <m/>
    <m/>
    <m/>
    <m/>
    <n v="1"/>
    <m/>
    <n v="3"/>
    <m/>
    <m/>
    <n v="55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09"/>
    <x v="0"/>
    <s v="West Normanby River"/>
    <s v="14 Jun_1200 WNR"/>
    <n v="0"/>
    <s v="Biting"/>
    <x v="0"/>
    <s v="Not buzzing"/>
    <m/>
    <m/>
    <m/>
    <m/>
    <m/>
    <m/>
    <m/>
    <m/>
    <n v="1"/>
    <m/>
    <n v="3"/>
    <m/>
    <m/>
    <n v="56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10"/>
    <x v="0"/>
    <s v="West Normanby River"/>
    <s v="14 Jun_1200 WNR"/>
    <n v="1"/>
    <s v="Biting"/>
    <x v="0"/>
    <s v="Not buzzing"/>
    <m/>
    <m/>
    <m/>
    <m/>
    <m/>
    <m/>
    <m/>
    <m/>
    <n v="1"/>
    <m/>
    <n v="3"/>
    <m/>
    <m/>
    <n v="57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11"/>
    <x v="0"/>
    <s v="West Normanby River"/>
    <s v="14 Jun_1200 WNR"/>
    <n v="1"/>
    <s v="Biting"/>
    <x v="0"/>
    <s v="Not buzzing"/>
    <m/>
    <m/>
    <m/>
    <m/>
    <m/>
    <m/>
    <m/>
    <m/>
    <n v="1"/>
    <m/>
    <n v="1"/>
    <m/>
    <m/>
    <n v="58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12"/>
    <x v="0"/>
    <s v="West Normanby River"/>
    <s v="14 Jun_1200 WNR"/>
    <m/>
    <s v="Biting"/>
    <x v="0"/>
    <s v="Not buzzing"/>
    <m/>
    <m/>
    <m/>
    <m/>
    <m/>
    <m/>
    <m/>
    <m/>
    <n v="1"/>
    <m/>
    <n v="3"/>
    <m/>
    <m/>
    <n v="59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13"/>
    <x v="0"/>
    <s v="West Normanby River"/>
    <s v="14 Jun_1200 WNR_GoPro"/>
    <n v="0"/>
    <s v="Biting"/>
    <x v="0"/>
    <s v="Not buzzing"/>
    <m/>
    <m/>
    <m/>
    <m/>
    <m/>
    <m/>
    <m/>
    <m/>
    <n v="1"/>
    <m/>
    <n v="2"/>
    <m/>
    <m/>
    <n v="60"/>
  </r>
  <r>
    <s v="pollinator obs_DVR"/>
    <s v="DVR"/>
    <s v="Hymenoptera"/>
    <s v="Apidae"/>
    <s v="Apinae"/>
    <s v="Meliponini"/>
    <m/>
    <m/>
    <s v="Meliponini"/>
    <s v="Meliponini"/>
    <s v="Small non-buzzer"/>
    <s v="Stingless Bee"/>
    <s v="Stingless bee"/>
    <n v="114"/>
    <x v="0"/>
    <s v="West Normanby River"/>
    <s v="14 Jun_1200 WNR_GoPro"/>
    <n v="0"/>
    <s v="Biting"/>
    <x v="0"/>
    <s v="Not buzzing"/>
    <m/>
    <m/>
    <m/>
    <m/>
    <m/>
    <m/>
    <m/>
    <m/>
    <n v="1"/>
    <m/>
    <n v="2"/>
    <m/>
    <m/>
    <n v="61"/>
  </r>
  <r>
    <s v="pollinator obs_DVR"/>
    <s v="DVR"/>
    <s v="Hymenoptera"/>
    <s v="Halictidae"/>
    <s v="Halictinae"/>
    <s v="Halictini"/>
    <s v="Patellapis"/>
    <s v="stirlingi "/>
    <s v="Patellapis stirlingi "/>
    <s v="Halictidae"/>
    <s v="Medium buzzer"/>
    <s v="Sweat Bee"/>
    <s v="Sweat bee (4)"/>
    <n v="119"/>
    <x v="0"/>
    <s v="Barron River"/>
    <s v="16 Jun_0900_BR"/>
    <n v="1"/>
    <s v="Biting"/>
    <x v="0"/>
    <s v="Not buzzing"/>
    <m/>
    <m/>
    <m/>
    <m/>
    <m/>
    <m/>
    <m/>
    <m/>
    <n v="1"/>
    <m/>
    <n v="2"/>
    <m/>
    <m/>
    <n v="69"/>
  </r>
  <r>
    <s v="pollinator obs_DVR"/>
    <s v="DVR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51"/>
    <x v="0"/>
    <s v="Barron River"/>
    <s v="16 Jun_0900_BR"/>
    <n v="1"/>
    <s v="BI(?)"/>
    <x v="0"/>
    <s v="Not buzzing"/>
    <m/>
    <m/>
    <m/>
    <m/>
    <m/>
    <m/>
    <m/>
    <m/>
    <n v="1"/>
    <m/>
    <n v="2"/>
    <m/>
    <m/>
    <n v="72"/>
  </r>
  <r>
    <s v="pollinator obs_DVR"/>
    <s v="DVR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52"/>
    <x v="0"/>
    <s v="Centenary Park"/>
    <s v="26 May_0840 CP"/>
    <m/>
    <s v="BI?"/>
    <x v="0"/>
    <s v="Not buzzing"/>
    <m/>
    <m/>
    <m/>
    <m/>
    <m/>
    <m/>
    <m/>
    <m/>
    <n v="1"/>
    <m/>
    <n v="2"/>
    <m/>
    <m/>
    <n v="73"/>
  </r>
  <r>
    <s v="pollinator obs_DVR"/>
    <s v="DVR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53"/>
    <x v="0"/>
    <s v="Springvale"/>
    <s v="15 Jun_0900 Springvale"/>
    <m/>
    <s v="BI?"/>
    <x v="0"/>
    <s v="Not buzzing"/>
    <m/>
    <m/>
    <m/>
    <m/>
    <m/>
    <m/>
    <m/>
    <m/>
    <n v="1"/>
    <m/>
    <n v="2"/>
    <m/>
    <m/>
    <n v="70"/>
  </r>
  <r>
    <s v="pollinator obs_DVR"/>
    <s v="DVR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54"/>
    <x v="0"/>
    <s v="Springvale"/>
    <s v="15 Jun_0900 Springvale"/>
    <m/>
    <s v="bi? (videoed)"/>
    <x v="0"/>
    <s v="Not buzzing"/>
    <m/>
    <m/>
    <m/>
    <m/>
    <m/>
    <m/>
    <m/>
    <m/>
    <n v="1"/>
    <m/>
    <n v="2"/>
    <m/>
    <m/>
    <n v="71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16"/>
    <x v="1"/>
    <s v="Xmatkuil"/>
    <s v=" CTBA_09102023_GoPro9_0730"/>
    <n v="1"/>
    <s v="gleaning"/>
    <x v="1"/>
    <s v="Not buzzing"/>
    <m/>
    <m/>
    <m/>
    <m/>
    <m/>
    <m/>
    <m/>
    <m/>
    <n v="1"/>
    <m/>
    <n v="2"/>
    <m/>
    <m/>
    <n v="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17"/>
    <x v="1"/>
    <s v="Xmatkuil"/>
    <s v=" CTBA_09102023_GoPro9_0730"/>
    <n v="1"/>
    <s v="gleaning"/>
    <x v="1"/>
    <s v="Not buzzing"/>
    <m/>
    <m/>
    <m/>
    <m/>
    <m/>
    <m/>
    <m/>
    <m/>
    <n v="1"/>
    <m/>
    <n v="2"/>
    <m/>
    <m/>
    <n v="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18"/>
    <x v="1"/>
    <s v="Xmatkuil"/>
    <s v=" CTBA_09102023_GoPro9_0730"/>
    <n v="1"/>
    <s v="gleaning"/>
    <x v="1"/>
    <s v="Not buzzing"/>
    <m/>
    <m/>
    <m/>
    <m/>
    <m/>
    <m/>
    <m/>
    <m/>
    <n v="1"/>
    <m/>
    <n v="2"/>
    <m/>
    <m/>
    <n v="7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19"/>
    <x v="1"/>
    <s v="Chochola"/>
    <s v="Chochola_10102023_XeroX-0725"/>
    <n v="1"/>
    <s v="gleaning"/>
    <x v="1"/>
    <s v="Not buzzing"/>
    <m/>
    <m/>
    <m/>
    <m/>
    <m/>
    <m/>
    <m/>
    <m/>
    <n v="1"/>
    <m/>
    <n v="2"/>
    <m/>
    <m/>
    <n v="1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0"/>
    <x v="1"/>
    <s v="Chochola"/>
    <s v="Chochola_10102023_XeroX-0725"/>
    <n v="1"/>
    <s v="gleaning"/>
    <x v="1"/>
    <s v="Not buzzing"/>
    <m/>
    <m/>
    <m/>
    <m/>
    <m/>
    <m/>
    <m/>
    <m/>
    <n v="1"/>
    <m/>
    <n v="2"/>
    <m/>
    <m/>
    <n v="19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3"/>
    <x v="1"/>
    <s v="Chochola"/>
    <s v="Chochola_26092023_GoPro9"/>
    <n v="1"/>
    <s v="gleaning"/>
    <x v="1"/>
    <s v="Not buzzing"/>
    <m/>
    <m/>
    <m/>
    <m/>
    <m/>
    <m/>
    <m/>
    <m/>
    <n v="1"/>
    <m/>
    <n v="3"/>
    <m/>
    <m/>
    <n v="2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4"/>
    <x v="1"/>
    <s v="Chochola"/>
    <s v="Chochola_26092023_GoPro9"/>
    <n v="1"/>
    <s v="gleaning"/>
    <x v="1"/>
    <s v="Not buzzing"/>
    <m/>
    <m/>
    <m/>
    <m/>
    <m/>
    <m/>
    <m/>
    <m/>
    <n v="1"/>
    <m/>
    <n v="3"/>
    <m/>
    <m/>
    <n v="25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5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2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6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2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7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29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8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30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29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32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0"/>
    <x v="1"/>
    <s v="Chochola"/>
    <s v="Chochola_26092023_GoPro9"/>
    <n v="1"/>
    <s v="gleaning"/>
    <x v="1"/>
    <s v="Not buzzing"/>
    <m/>
    <m/>
    <m/>
    <m/>
    <m/>
    <m/>
    <m/>
    <m/>
    <n v="1"/>
    <m/>
    <n v="1"/>
    <m/>
    <m/>
    <n v="3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1"/>
    <x v="1"/>
    <s v="Xmatkuil"/>
    <s v="CTBA_04102023_GoPro_9_0700"/>
    <n v="1"/>
    <s v="gleaning"/>
    <x v="1"/>
    <s v="Not buzzing"/>
    <m/>
    <m/>
    <m/>
    <m/>
    <m/>
    <m/>
    <m/>
    <m/>
    <n v="1"/>
    <m/>
    <n v="1"/>
    <m/>
    <m/>
    <n v="37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2"/>
    <x v="1"/>
    <s v="Xmatkuil"/>
    <s v="CTBA_09102023_XeroX_0730"/>
    <n v="1"/>
    <s v="gleaning"/>
    <x v="1"/>
    <s v="Not buzzing"/>
    <m/>
    <m/>
    <m/>
    <m/>
    <m/>
    <m/>
    <m/>
    <m/>
    <n v="1"/>
    <m/>
    <n v="1"/>
    <m/>
    <m/>
    <n v="52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3"/>
    <x v="1"/>
    <s v="Tekik de Regil"/>
    <s v="Rancho_18102023_GoPro9_0720"/>
    <n v="1"/>
    <s v="gleaning"/>
    <x v="1"/>
    <s v="Not buzzing"/>
    <m/>
    <m/>
    <m/>
    <m/>
    <m/>
    <m/>
    <m/>
    <m/>
    <n v="1"/>
    <m/>
    <n v="1"/>
    <m/>
    <m/>
    <n v="6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4"/>
    <x v="1"/>
    <s v="Tekik de Regil"/>
    <s v="Rancho_18102023_GoPro9_0720"/>
    <n v="1"/>
    <s v="gleaning"/>
    <x v="1"/>
    <s v="Not buzzing"/>
    <m/>
    <m/>
    <m/>
    <m/>
    <m/>
    <m/>
    <m/>
    <m/>
    <n v="1"/>
    <m/>
    <n v="1"/>
    <m/>
    <m/>
    <n v="69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5"/>
    <x v="1"/>
    <s v="Tekik de Regil"/>
    <s v="Rancho_18102023_GoPro9_0720"/>
    <n v="1"/>
    <s v="gleaning"/>
    <x v="1"/>
    <s v="Not buzzing"/>
    <m/>
    <m/>
    <m/>
    <m/>
    <m/>
    <m/>
    <m/>
    <m/>
    <n v="1"/>
    <m/>
    <n v="3"/>
    <m/>
    <m/>
    <n v="75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6"/>
    <x v="1"/>
    <s v="Tekik de Regil"/>
    <s v="Rancho_18102023_GoPro9_0720"/>
    <n v="1"/>
    <s v="gleaning"/>
    <x v="1"/>
    <s v="Not buzzing"/>
    <m/>
    <m/>
    <m/>
    <m/>
    <m/>
    <m/>
    <m/>
    <m/>
    <n v="1"/>
    <m/>
    <n v="3"/>
    <m/>
    <m/>
    <n v="77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7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0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8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1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39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5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0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1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7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2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8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3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1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4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5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5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6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7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8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99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49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100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0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102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1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103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2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10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3"/>
    <x v="1"/>
    <s v="Chochola"/>
    <s v="Chochola_17102023_GoPro 9_0725"/>
    <n v="1"/>
    <s v="gleaning"/>
    <x v="1"/>
    <s v="Not buzzing"/>
    <m/>
    <m/>
    <m/>
    <m/>
    <m/>
    <m/>
    <m/>
    <m/>
    <n v="1"/>
    <m/>
    <n v="1"/>
    <m/>
    <m/>
    <n v="10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4"/>
    <x v="1"/>
    <s v="Chochola"/>
    <s v="Chochola_17102023_GoPro 9_0725"/>
    <n v="0"/>
    <s v="gleaning"/>
    <x v="1"/>
    <s v="Not buzzing"/>
    <m/>
    <m/>
    <m/>
    <m/>
    <m/>
    <m/>
    <m/>
    <m/>
    <m/>
    <m/>
    <n v="1"/>
    <m/>
    <m/>
    <n v="110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5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2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6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3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57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63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5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64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6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65"/>
    <x v="1"/>
    <s v="Chochola"/>
    <s v="Chochola_17102023_GoPro 9_0725"/>
    <n v="1"/>
    <s v="gleaning"/>
    <x v="1"/>
    <s v="Not buzzing"/>
    <m/>
    <m/>
    <m/>
    <m/>
    <m/>
    <m/>
    <m/>
    <m/>
    <n v="1"/>
    <m/>
    <m/>
    <m/>
    <m/>
    <n v="118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83"/>
    <x v="1"/>
    <s v="Tekik de Regil"/>
    <s v="Rancho_02102023_GoPro 9"/>
    <n v="1"/>
    <s v="gleaning"/>
    <x v="1"/>
    <s v="Not buzzing"/>
    <m/>
    <m/>
    <m/>
    <m/>
    <m/>
    <m/>
    <m/>
    <m/>
    <n v="1"/>
    <m/>
    <m/>
    <m/>
    <m/>
    <n v="124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84"/>
    <x v="1"/>
    <s v="Tekik de Regil"/>
    <s v="Rancho_02102023_GoPro 9"/>
    <n v="1"/>
    <s v="gleaning"/>
    <x v="1"/>
    <s v="Not buzzing"/>
    <m/>
    <m/>
    <m/>
    <m/>
    <m/>
    <m/>
    <m/>
    <m/>
    <n v="1"/>
    <m/>
    <m/>
    <m/>
    <m/>
    <n v="129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885"/>
    <x v="1"/>
    <s v="Tekik de Regil"/>
    <s v="Rancho_02102023_GoPro 9"/>
    <n v="1"/>
    <s v="gleaning"/>
    <x v="1"/>
    <s v="Not buzzing"/>
    <m/>
    <m/>
    <m/>
    <m/>
    <m/>
    <m/>
    <m/>
    <m/>
    <n v="1"/>
    <m/>
    <m/>
    <m/>
    <m/>
    <n v="130"/>
  </r>
  <r>
    <s v="Pollinator obs_DVR_MEX"/>
    <s v="DVR"/>
    <s v="Hymenoptera"/>
    <s v="Apidae"/>
    <s v="Apinae"/>
    <s v="Apini"/>
    <s v="Apis"/>
    <s v="mellifera"/>
    <s v="Apis mellifera"/>
    <s v="Apis mellifera"/>
    <s v="Medium non-buzzer"/>
    <s v="European Honey Bee"/>
    <m/>
    <n v="907"/>
    <x v="1"/>
    <s v="Chochola"/>
    <s v="Chochola_17102023_GoPro 9_0725"/>
    <m/>
    <s v="gleaning?"/>
    <x v="1"/>
    <s v="Not buzzing"/>
    <m/>
    <m/>
    <m/>
    <m/>
    <m/>
    <m/>
    <m/>
    <m/>
    <n v="1"/>
    <m/>
    <n v="1"/>
    <m/>
    <m/>
    <n v="106"/>
  </r>
  <r>
    <s v="Pollinator obs_DVR_MEX"/>
    <s v="DVR"/>
    <s v="Hymenoptera"/>
    <s v="Halictidae"/>
    <m/>
    <s v="Augochlorini "/>
    <s v="Augochlora"/>
    <s v="species"/>
    <s v="Augochlora species"/>
    <s v="Halictidae"/>
    <s v="Medium buzzer"/>
    <s v="Sweat Bee"/>
    <m/>
    <n v="355"/>
    <x v="1"/>
    <s v="Xmatkuil"/>
    <s v="CTBA_04102023_GoPro_9_0700"/>
    <m/>
    <s v="buzz"/>
    <x v="2"/>
    <s v="Buzzing"/>
    <n v="0"/>
    <m/>
    <m/>
    <m/>
    <m/>
    <m/>
    <m/>
    <m/>
    <n v="1"/>
    <m/>
    <n v="1"/>
    <m/>
    <m/>
    <n v="43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881"/>
    <x v="1"/>
    <s v="Tekik de Regil"/>
    <s v="Rancho_02102023_GoPro 9"/>
    <n v="0"/>
    <s v="gleaning"/>
    <x v="1"/>
    <s v="Not buzzing"/>
    <m/>
    <m/>
    <m/>
    <m/>
    <m/>
    <m/>
    <m/>
    <m/>
    <n v="1"/>
    <m/>
    <m/>
    <m/>
    <m/>
    <n v="119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882"/>
    <x v="1"/>
    <s v="Tekik de Regil"/>
    <s v="Rancho_02102023_GoPro 9"/>
    <n v="0"/>
    <s v="gleaning"/>
    <x v="1"/>
    <s v="Not buzzing"/>
    <m/>
    <m/>
    <m/>
    <m/>
    <m/>
    <m/>
    <m/>
    <m/>
    <n v="1"/>
    <m/>
    <m/>
    <m/>
    <m/>
    <n v="123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08"/>
    <x v="1"/>
    <s v="Tekik de Regil"/>
    <s v="Rancho_02102023_GoPro 9"/>
    <n v="0"/>
    <s v="gleaning?"/>
    <x v="1"/>
    <s v="Not buzzing"/>
    <m/>
    <m/>
    <m/>
    <m/>
    <m/>
    <m/>
    <m/>
    <m/>
    <n v="1"/>
    <m/>
    <m/>
    <m/>
    <m/>
    <n v="125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09"/>
    <x v="1"/>
    <s v="Chochola"/>
    <s v="Chochola_17102023_GoPro 9_0725"/>
    <n v="1"/>
    <s v="licking"/>
    <x v="3"/>
    <s v="Not buzzing"/>
    <m/>
    <m/>
    <m/>
    <m/>
    <m/>
    <m/>
    <m/>
    <m/>
    <n v="1"/>
    <m/>
    <n v="1"/>
    <m/>
    <m/>
    <n v="92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10"/>
    <x v="1"/>
    <s v="Chochola"/>
    <s v="Chochola_17102023_GoPro 9_0725"/>
    <n v="1"/>
    <s v="licking"/>
    <x v="3"/>
    <s v="Not buzzing"/>
    <m/>
    <m/>
    <m/>
    <m/>
    <m/>
    <m/>
    <m/>
    <m/>
    <n v="1"/>
    <m/>
    <n v="1"/>
    <m/>
    <m/>
    <n v="93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11"/>
    <x v="1"/>
    <s v="Chochola"/>
    <s v="Chochola_17102023_GoPro 9_0725"/>
    <n v="0"/>
    <s v="licking"/>
    <x v="3"/>
    <s v="Not buzzing"/>
    <m/>
    <m/>
    <m/>
    <m/>
    <m/>
    <m/>
    <m/>
    <m/>
    <n v="1"/>
    <m/>
    <n v="1"/>
    <m/>
    <m/>
    <n v="105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12"/>
    <x v="1"/>
    <s v="Chochola"/>
    <s v="Chochola_17102023_GoPro 9_0725"/>
    <n v="1"/>
    <s v="licking"/>
    <x v="3"/>
    <s v="Not buzzing"/>
    <m/>
    <m/>
    <m/>
    <m/>
    <m/>
    <m/>
    <m/>
    <m/>
    <n v="1"/>
    <m/>
    <n v="1"/>
    <m/>
    <m/>
    <n v="109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13"/>
    <x v="1"/>
    <s v="Tekik de Regil"/>
    <s v="Rancho_02102023_GoPro 9"/>
    <n v="0"/>
    <s v="licking"/>
    <x v="3"/>
    <s v="Not buzzing"/>
    <m/>
    <m/>
    <m/>
    <m/>
    <m/>
    <m/>
    <m/>
    <m/>
    <n v="1"/>
    <m/>
    <m/>
    <m/>
    <m/>
    <n v="126"/>
  </r>
  <r>
    <s v="Pollinator obs_DVR_MEX"/>
    <s v="DVR"/>
    <s v="Hymenoptera"/>
    <s v="Apidae"/>
    <s v="Apinae"/>
    <s v="Meliponini"/>
    <s v="Trigona"/>
    <s v="fulviventris"/>
    <s v="Trigona fulviventris"/>
    <s v="Meliponini"/>
    <s v="Small non-buzzer"/>
    <s v="Bee"/>
    <m/>
    <n v="922"/>
    <x v="1"/>
    <s v="Chochola"/>
    <s v="Chochola_10102023_XeroX-0725"/>
    <n v="1"/>
    <s v="licking?"/>
    <x v="3"/>
    <s v="Not buzzing"/>
    <m/>
    <m/>
    <m/>
    <m/>
    <m/>
    <m/>
    <m/>
    <m/>
    <n v="1"/>
    <m/>
    <n v="2"/>
    <m/>
    <m/>
    <n v="17"/>
  </r>
  <r>
    <s v="pollinator obs_humans"/>
    <s v="Human observations"/>
    <s v="Hymenoptera"/>
    <s v="Apidae"/>
    <s v="Apinae"/>
    <s v="Anthophorini"/>
    <s v="Amegilla"/>
    <s v="species"/>
    <s v="Amegilla species"/>
    <s v="Amegilla species"/>
    <s v="Large buzzer"/>
    <s v="Blue Banded Bee"/>
    <s v="Blue Banded Bee"/>
    <n v="131"/>
    <x v="0"/>
    <s v="Barron River"/>
    <d v="2022-06-16T00:00:00"/>
    <n v="1"/>
    <s v="Biting"/>
    <x v="0"/>
    <s v="Not buzzing"/>
    <n v="0"/>
    <m/>
    <m/>
    <m/>
    <m/>
    <m/>
    <m/>
    <m/>
    <n v="1"/>
    <m/>
    <n v="1"/>
    <m/>
    <m/>
    <n v="8"/>
  </r>
  <r>
    <s v="pollinator obs_humans"/>
    <s v="Human observations"/>
    <s v="Hymenoptera"/>
    <s v="Apidae"/>
    <s v="Apinae"/>
    <s v="Anthophorini"/>
    <s v="Amegilla"/>
    <s v="species"/>
    <s v="Amegilla species"/>
    <s v="Amegilla species"/>
    <s v="Large buzzer"/>
    <s v="Blue Banded Bee"/>
    <s v="Blue Banded Bee"/>
    <n v="132"/>
    <x v="0"/>
    <s v="Barron River"/>
    <d v="2022-06-16T00:00:00"/>
    <n v="1"/>
    <s v="Biting"/>
    <x v="0"/>
    <s v="Not buzzing"/>
    <n v="0"/>
    <m/>
    <m/>
    <m/>
    <m/>
    <m/>
    <m/>
    <m/>
    <n v="1"/>
    <m/>
    <n v="1"/>
    <m/>
    <m/>
    <n v="9"/>
  </r>
  <r>
    <s v="pollinator obs_humans"/>
    <s v="Human observations"/>
    <s v="Hymenoptera"/>
    <s v="Halicitdae"/>
    <m/>
    <m/>
    <m/>
    <s v="species 1"/>
    <s v="Halictidae species"/>
    <s v="Halictidae"/>
    <s v="Medium buzzer"/>
    <s v="Sweat Bee"/>
    <s v="Sweat bee (1)"/>
    <n v="526"/>
    <x v="0"/>
    <s v="Barron River"/>
    <d v="2022-06-16T00:00:00"/>
    <n v="0"/>
    <s v="gl"/>
    <x v="1"/>
    <s v="Not buzzing"/>
    <n v="0"/>
    <m/>
    <m/>
    <m/>
    <m/>
    <m/>
    <m/>
    <m/>
    <n v="1"/>
    <m/>
    <n v="1"/>
    <m/>
    <m/>
    <n v="37"/>
  </r>
  <r>
    <s v="pollinator obs_humans"/>
    <s v="Human observations"/>
    <s v="Hymenoptera"/>
    <s v="Halictidae"/>
    <s v="Nomiinae"/>
    <m/>
    <s v="Lipotriches"/>
    <s v="species"/>
    <s v="Lipotriches species"/>
    <s v="Halictidae"/>
    <s v="Medium buzzer"/>
    <s v="Sweat Bee"/>
    <s v="Sweat bee (2)"/>
    <n v="351"/>
    <x v="0"/>
    <s v="Barron River"/>
    <d v="2022-06-16T00:00:00"/>
    <n v="1"/>
    <s v="buzz"/>
    <x v="2"/>
    <s v="Buzzing"/>
    <n v="0"/>
    <m/>
    <m/>
    <m/>
    <m/>
    <m/>
    <m/>
    <m/>
    <n v="1"/>
    <m/>
    <n v="7"/>
    <m/>
    <m/>
    <n v="39"/>
  </r>
  <r>
    <s v="pollinator obs_humans"/>
    <s v="Human observations"/>
    <s v="Hymenoptera"/>
    <s v="Halictidae"/>
    <s v="Nomiinae"/>
    <m/>
    <s v="Lipotriches"/>
    <s v="species"/>
    <s v="Lipotriches species"/>
    <s v="Halictidae"/>
    <s v="Medium buzzer"/>
    <s v="Sweat Bee"/>
    <s v="Sweat bee (2)"/>
    <n v="352"/>
    <x v="0"/>
    <s v="Barron River"/>
    <d v="2022-06-16T00:00:00"/>
    <n v="1"/>
    <s v="buzz"/>
    <x v="2"/>
    <s v="Buzzing"/>
    <n v="0"/>
    <m/>
    <m/>
    <m/>
    <m/>
    <m/>
    <m/>
    <m/>
    <n v="1"/>
    <m/>
    <n v="7"/>
    <m/>
    <m/>
    <n v="40"/>
  </r>
  <r>
    <s v="pollinator obs_humans"/>
    <s v="Human observations"/>
    <s v="Hymenoptera"/>
    <s v="Halictidae"/>
    <s v="Nomiinae"/>
    <m/>
    <s v="Lipotriches"/>
    <s v="species"/>
    <s v="Lipotriches species"/>
    <s v="Halictidae"/>
    <s v="Medium buzzer"/>
    <s v="Sweat Bee"/>
    <s v="Sweat bee (2)"/>
    <n v="353"/>
    <x v="0"/>
    <s v="Barron River"/>
    <d v="2022-06-16T00:00:00"/>
    <n v="1"/>
    <s v="buzz"/>
    <x v="2"/>
    <s v="Buzzing"/>
    <n v="0"/>
    <m/>
    <m/>
    <m/>
    <m/>
    <m/>
    <m/>
    <m/>
    <n v="1"/>
    <m/>
    <n v="7"/>
    <m/>
    <m/>
    <n v="41"/>
  </r>
  <r>
    <s v="pollinator obs_humans"/>
    <s v="Human observations"/>
    <s v="Hymenoptera"/>
    <s v="Halictidae"/>
    <s v="Nomiinae"/>
    <m/>
    <s v="Lipotriches"/>
    <s v="species"/>
    <s v="Lipotriches species"/>
    <s v="Halictidae"/>
    <s v="Medium buzzer"/>
    <s v="Sweat Bee"/>
    <s v="Sweat bee (2)"/>
    <n v="354"/>
    <x v="0"/>
    <s v="Barron River"/>
    <d v="2022-06-16T00:00:00"/>
    <n v="1"/>
    <s v="buzz"/>
    <x v="2"/>
    <s v="Buzzing"/>
    <n v="0"/>
    <m/>
    <m/>
    <m/>
    <m/>
    <m/>
    <m/>
    <m/>
    <n v="1"/>
    <m/>
    <n v="7"/>
    <m/>
    <m/>
    <n v="42"/>
  </r>
  <r>
    <s v="pollinator obs_humans"/>
    <s v="Human observations"/>
    <s v="Hymenoptera"/>
    <s v="Halictidae"/>
    <s v="Nomiinae"/>
    <m/>
    <s v="Mellitidia"/>
    <s v="species"/>
    <s v="Mellitidia species"/>
    <s v="Halictidae"/>
    <s v="Medium buzzer"/>
    <s v="Sweat Bee"/>
    <s v="Sweat bee (3)"/>
    <n v="361"/>
    <x v="0"/>
    <s v="White Rock"/>
    <d v="2022-06-22T00:00:00"/>
    <n v="1"/>
    <s v="gl"/>
    <x v="1"/>
    <s v="Not buzzing"/>
    <n v="0"/>
    <m/>
    <m/>
    <m/>
    <m/>
    <m/>
    <m/>
    <m/>
    <n v="1"/>
    <m/>
    <n v="13"/>
    <m/>
    <m/>
    <n v="48"/>
  </r>
  <r>
    <s v="pollinator obs_humans"/>
    <s v="Human observations"/>
    <s v="Hymenoptera"/>
    <s v="Halictidae"/>
    <s v="Nomiinae"/>
    <m/>
    <s v="Mellitidia"/>
    <s v="species"/>
    <s v="Mellitidia species"/>
    <s v="Halictidae"/>
    <s v="Medium buzzer"/>
    <s v="Sweat Bee"/>
    <s v="Sweat bee (3)"/>
    <n v="362"/>
    <x v="0"/>
    <s v="White Rock"/>
    <d v="2022-06-22T00:00:00"/>
    <n v="1"/>
    <s v="gl"/>
    <x v="1"/>
    <s v="Not buzzing"/>
    <n v="0"/>
    <m/>
    <m/>
    <m/>
    <m/>
    <m/>
    <m/>
    <m/>
    <n v="1"/>
    <m/>
    <n v="13"/>
    <m/>
    <m/>
    <n v="49"/>
  </r>
  <r>
    <s v="pollinator obs_humans"/>
    <s v="Human observations"/>
    <s v="Hymenoptera"/>
    <s v="Halictidae"/>
    <s v="Nomiinae"/>
    <m/>
    <s v="Mellitidia"/>
    <s v="species"/>
    <s v="Mellitidia species"/>
    <s v="Halictidae"/>
    <s v="Medium buzzer"/>
    <s v="Sweat Bee"/>
    <s v="Sweat bee (3)"/>
    <n v="363"/>
    <x v="0"/>
    <s v="White Rock"/>
    <d v="2022-06-22T00:00:00"/>
    <n v="1"/>
    <s v="gl"/>
    <x v="1"/>
    <s v="Not buzzing"/>
    <n v="0"/>
    <m/>
    <m/>
    <m/>
    <m/>
    <m/>
    <m/>
    <m/>
    <n v="1"/>
    <m/>
    <n v="13"/>
    <m/>
    <m/>
    <n v="50"/>
  </r>
  <r>
    <s v="pollinator obs_humans"/>
    <s v="Human observations"/>
    <s v="Hymenoptera"/>
    <s v="Colletidae"/>
    <s v="Hylaeinae"/>
    <m/>
    <s v="Palaeorhiza"/>
    <s v="species"/>
    <s v="Palaeorhiza species"/>
    <s v="Palaeorhiza species"/>
    <s v="Medium non-buzzer"/>
    <s v="Plasterer Bee"/>
    <s v="Plasterer Bees"/>
    <n v="347"/>
    <x v="0"/>
    <s v="White Rock"/>
    <d v="2022-06-22T00:00:00"/>
    <n v="0"/>
    <s v="buzz"/>
    <x v="2"/>
    <s v="Buzzing"/>
    <n v="0"/>
    <m/>
    <m/>
    <m/>
    <m/>
    <m/>
    <m/>
    <m/>
    <n v="1"/>
    <m/>
    <n v="17"/>
    <m/>
    <m/>
    <n v="52"/>
  </r>
  <r>
    <s v="pollinator obs_humans"/>
    <s v="Human observations"/>
    <s v="Hymenoptera"/>
    <s v="Colletidae"/>
    <s v="Hylaeinae"/>
    <m/>
    <s v="Palaeorhiza"/>
    <s v="species"/>
    <s v="Palaeorhiza species"/>
    <s v="Palaeorhiza species"/>
    <s v="Medium non-buzzer"/>
    <s v="Plasterer Bee"/>
    <s v="Plasterer Bees"/>
    <n v="348"/>
    <x v="0"/>
    <s v="White Rock"/>
    <d v="2022-06-22T00:00:00"/>
    <n v="1"/>
    <s v="buzz"/>
    <x v="2"/>
    <s v="Buzzing"/>
    <n v="0"/>
    <m/>
    <m/>
    <m/>
    <m/>
    <m/>
    <m/>
    <m/>
    <n v="1"/>
    <m/>
    <n v="15"/>
    <m/>
    <m/>
    <n v="53"/>
  </r>
  <r>
    <s v="pollinator obs_humans"/>
    <s v="Human observations"/>
    <s v="Hymenoptera"/>
    <s v="Halictidae"/>
    <s v="Halictinae"/>
    <s v="Halictini"/>
    <s v="Patellapis"/>
    <s v="stirlingi "/>
    <s v="Patellapis stirlingi "/>
    <s v="Halictidae"/>
    <s v="Medium buzzer"/>
    <s v="Sweat Bee"/>
    <s v="Sweat bee (4)"/>
    <n v="365"/>
    <x v="0"/>
    <s v="Centenary Park"/>
    <d v="2022-05-26T00:00:00"/>
    <m/>
    <s v="gl"/>
    <x v="1"/>
    <s v="Not buzzing"/>
    <n v="0"/>
    <m/>
    <m/>
    <m/>
    <m/>
    <m/>
    <m/>
    <m/>
    <n v="1"/>
    <m/>
    <n v="36"/>
    <m/>
    <m/>
    <n v="54"/>
  </r>
  <r>
    <s v="pollinator obs_humans"/>
    <s v="Human observations"/>
    <s v="Hymenoptera"/>
    <s v="Halictidae"/>
    <s v="Halictinae"/>
    <s v="Halictini"/>
    <s v="Patellapis"/>
    <s v="stirlingi "/>
    <s v="Patellapis stirlingi "/>
    <s v="Halictidae"/>
    <s v="Medium buzzer"/>
    <s v="Sweat Bee"/>
    <s v="Sweat bee (4)"/>
    <n v="370"/>
    <x v="0"/>
    <s v="West Normanby River"/>
    <d v="2022-06-02T00:00:00"/>
    <n v="0"/>
    <s v="gl"/>
    <x v="1"/>
    <s v="Not buzzing"/>
    <n v="0"/>
    <m/>
    <m/>
    <m/>
    <m/>
    <m/>
    <m/>
    <m/>
    <n v="1"/>
    <m/>
    <n v="19"/>
    <m/>
    <m/>
    <n v="5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84"/>
    <x v="0"/>
    <s v="Centenary Park"/>
    <d v="2022-05-26T00:00:00"/>
    <m/>
    <s v="Biting"/>
    <x v="0"/>
    <s v="Not buzzing"/>
    <n v="0"/>
    <m/>
    <m/>
    <m/>
    <m/>
    <m/>
    <m/>
    <m/>
    <n v="1"/>
    <m/>
    <n v="31"/>
    <m/>
    <m/>
    <n v="8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89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0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9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1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2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3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4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5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9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6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9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7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8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0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199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0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1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2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3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0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4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5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6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0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7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1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8"/>
    <x v="0"/>
    <s v="West Normanby River"/>
    <d v="2022-06-02T00:00:00"/>
    <n v="0"/>
    <s v="Biting"/>
    <x v="0"/>
    <s v="Not buzzing"/>
    <n v="0"/>
    <m/>
    <m/>
    <m/>
    <m/>
    <m/>
    <m/>
    <m/>
    <n v="1"/>
    <m/>
    <n v="32"/>
    <m/>
    <m/>
    <n v="11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09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1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0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1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1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1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2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1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3"/>
    <x v="0"/>
    <s v="West Normanby River"/>
    <d v="2022-06-02T00:00:00"/>
    <n v="1"/>
    <s v="Biting"/>
    <x v="0"/>
    <s v="Not buzzing"/>
    <n v="0"/>
    <m/>
    <m/>
    <m/>
    <m/>
    <m/>
    <m/>
    <m/>
    <n v="1"/>
    <m/>
    <n v="32"/>
    <m/>
    <m/>
    <n v="11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4"/>
    <x v="0"/>
    <s v="West Normanby River"/>
    <d v="2022-06-02T00:00:00"/>
    <n v="0"/>
    <s v="Biting"/>
    <x v="0"/>
    <s v="Not buzzing"/>
    <n v="0"/>
    <m/>
    <m/>
    <m/>
    <m/>
    <m/>
    <m/>
    <m/>
    <n v="1"/>
    <m/>
    <n v="26"/>
    <m/>
    <m/>
    <n v="11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5"/>
    <x v="0"/>
    <s v="West Normanby River"/>
    <d v="2022-06-02T00:00:00"/>
    <n v="1"/>
    <s v="Biting"/>
    <x v="0"/>
    <s v="Not buzzing"/>
    <n v="0"/>
    <m/>
    <m/>
    <m/>
    <m/>
    <m/>
    <m/>
    <m/>
    <n v="1"/>
    <m/>
    <n v="26"/>
    <m/>
    <m/>
    <n v="11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6"/>
    <x v="0"/>
    <s v="West Normanby River"/>
    <d v="2022-06-02T00:00:00"/>
    <n v="0"/>
    <s v="Biting"/>
    <x v="0"/>
    <s v="Not buzzing"/>
    <n v="0"/>
    <m/>
    <m/>
    <m/>
    <m/>
    <m/>
    <m/>
    <m/>
    <n v="1"/>
    <m/>
    <n v="26"/>
    <m/>
    <m/>
    <n v="11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7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8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2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19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0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1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2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2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3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4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5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2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6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2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7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3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8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29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3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0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3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1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3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2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3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4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5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6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3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7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8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39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0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1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2"/>
    <x v="0"/>
    <s v="West Normanby River"/>
    <d v="2022-06-02T00:00:00"/>
    <n v="0"/>
    <s v="Biting"/>
    <x v="0"/>
    <s v="Not buzzing"/>
    <n v="0"/>
    <m/>
    <m/>
    <m/>
    <m/>
    <m/>
    <m/>
    <m/>
    <n v="1"/>
    <m/>
    <n v="45"/>
    <m/>
    <m/>
    <n v="14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3"/>
    <x v="0"/>
    <s v="West Normanby River"/>
    <d v="2022-06-02T00:00:00"/>
    <n v="1"/>
    <s v="Biting"/>
    <x v="0"/>
    <s v="Not buzzing"/>
    <n v="0"/>
    <m/>
    <m/>
    <m/>
    <m/>
    <m/>
    <m/>
    <m/>
    <n v="1"/>
    <m/>
    <n v="45"/>
    <m/>
    <m/>
    <n v="14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4"/>
    <x v="0"/>
    <s v="West Normanby River"/>
    <d v="2022-06-02T00:00:00"/>
    <n v="1"/>
    <s v="Biting"/>
    <x v="0"/>
    <s v="Not buzzing"/>
    <n v="0"/>
    <m/>
    <m/>
    <m/>
    <m/>
    <m/>
    <m/>
    <m/>
    <n v="1"/>
    <m/>
    <n v="30"/>
    <m/>
    <m/>
    <n v="14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5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4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6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4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7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8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49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0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1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2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3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4"/>
    <x v="0"/>
    <s v="West Normanby River"/>
    <d v="2022-06-02T00:00:00"/>
    <n v="1"/>
    <s v="Biting"/>
    <x v="0"/>
    <s v="Not buzzing"/>
    <n v="0"/>
    <m/>
    <m/>
    <m/>
    <m/>
    <m/>
    <m/>
    <m/>
    <n v="1"/>
    <m/>
    <n v="30"/>
    <m/>
    <m/>
    <n v="15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5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6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5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7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6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8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6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59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6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0"/>
    <x v="0"/>
    <s v="West Normanby River"/>
    <d v="2022-06-02T00:00:00"/>
    <n v="0"/>
    <s v="Biting"/>
    <x v="0"/>
    <s v="Not buzzing"/>
    <n v="0"/>
    <m/>
    <m/>
    <m/>
    <m/>
    <m/>
    <m/>
    <m/>
    <n v="1"/>
    <m/>
    <n v="30"/>
    <m/>
    <m/>
    <n v="16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1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6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2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6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3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6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4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6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5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6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6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6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7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7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8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7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69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7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0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7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1"/>
    <x v="0"/>
    <s v="West Normanby River"/>
    <d v="2022-06-02T00:00:00"/>
    <n v="0"/>
    <s v="Biting"/>
    <x v="0"/>
    <s v="Not buzzing"/>
    <n v="0"/>
    <m/>
    <m/>
    <m/>
    <m/>
    <m/>
    <m/>
    <m/>
    <n v="1"/>
    <m/>
    <n v="42"/>
    <m/>
    <m/>
    <n v="17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2"/>
    <x v="0"/>
    <s v="West Normanby River"/>
    <d v="2022-06-02T00:00:00"/>
    <n v="1"/>
    <s v="Biting"/>
    <x v="0"/>
    <s v="Not buzzing"/>
    <n v="0"/>
    <m/>
    <m/>
    <m/>
    <m/>
    <m/>
    <m/>
    <m/>
    <n v="1"/>
    <m/>
    <n v="42"/>
    <m/>
    <m/>
    <n v="17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3"/>
    <x v="0"/>
    <s v="West Normanby River"/>
    <d v="2022-06-02T00:00:00"/>
    <n v="0"/>
    <s v="Biting"/>
    <x v="0"/>
    <s v="Not buzzing"/>
    <n v="0"/>
    <m/>
    <m/>
    <m/>
    <m/>
    <m/>
    <m/>
    <m/>
    <n v="1"/>
    <m/>
    <n v="42"/>
    <m/>
    <m/>
    <n v="17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4"/>
    <x v="0"/>
    <s v="West Normanby River"/>
    <d v="2022-06-02T00:00:00"/>
    <n v="0"/>
    <s v="Biting"/>
    <x v="0"/>
    <s v="Not buzzing"/>
    <n v="0"/>
    <m/>
    <m/>
    <m/>
    <m/>
    <m/>
    <m/>
    <m/>
    <n v="1"/>
    <m/>
    <n v="42"/>
    <m/>
    <m/>
    <n v="17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5"/>
    <x v="0"/>
    <s v="West Normanby River"/>
    <d v="2022-06-02T00:00:00"/>
    <n v="0"/>
    <s v="Biting"/>
    <x v="0"/>
    <s v="Not buzzing"/>
    <n v="0"/>
    <m/>
    <m/>
    <m/>
    <m/>
    <m/>
    <m/>
    <m/>
    <n v="1"/>
    <m/>
    <n v="42"/>
    <m/>
    <m/>
    <n v="17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6"/>
    <x v="0"/>
    <s v="West Normanby River"/>
    <d v="2022-06-02T00:00:00"/>
    <n v="0"/>
    <s v="Biting"/>
    <x v="0"/>
    <s v="Not buzzing"/>
    <n v="0"/>
    <m/>
    <m/>
    <m/>
    <m/>
    <m/>
    <m/>
    <m/>
    <n v="1"/>
    <m/>
    <n v="42"/>
    <m/>
    <m/>
    <n v="17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8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8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79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8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0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8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1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8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2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8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3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8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4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8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5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8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6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8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7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8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89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0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1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2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3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4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5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19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6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19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7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20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8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20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299"/>
    <x v="0"/>
    <s v="West Normanby River"/>
    <d v="2022-06-02T00:00:00"/>
    <n v="0"/>
    <s v="Biting"/>
    <x v="0"/>
    <s v="Not buzzing"/>
    <n v="0"/>
    <m/>
    <m/>
    <m/>
    <m/>
    <m/>
    <m/>
    <m/>
    <n v="1"/>
    <m/>
    <n v="19"/>
    <m/>
    <m/>
    <n v="20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0"/>
    <x v="0"/>
    <s v="West Normanby River"/>
    <d v="2022-06-02T00:00:00"/>
    <n v="1"/>
    <s v="Biting"/>
    <x v="0"/>
    <s v="Not buzzing"/>
    <n v="0"/>
    <m/>
    <m/>
    <m/>
    <m/>
    <m/>
    <m/>
    <m/>
    <n v="1"/>
    <m/>
    <n v="19"/>
    <m/>
    <m/>
    <n v="20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1"/>
    <x v="0"/>
    <s v="West Normanby River"/>
    <d v="2022-06-02T00:00:00"/>
    <n v="0"/>
    <s v="Biting"/>
    <x v="0"/>
    <s v="Not buzzing"/>
    <n v="0"/>
    <m/>
    <m/>
    <m/>
    <m/>
    <m/>
    <m/>
    <m/>
    <n v="1"/>
    <m/>
    <n v="13"/>
    <m/>
    <m/>
    <n v="204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2"/>
    <x v="0"/>
    <s v="West Normanby River"/>
    <d v="2022-06-02T00:00:00"/>
    <n v="1"/>
    <s v="Biting"/>
    <x v="0"/>
    <s v="Not buzzing"/>
    <n v="0"/>
    <m/>
    <m/>
    <m/>
    <m/>
    <m/>
    <m/>
    <m/>
    <n v="1"/>
    <m/>
    <n v="13"/>
    <m/>
    <m/>
    <n v="205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3"/>
    <x v="0"/>
    <s v="West Normanby River"/>
    <d v="2022-06-02T00:00:00"/>
    <n v="0"/>
    <s v="Biting"/>
    <x v="0"/>
    <s v="Not buzzing"/>
    <n v="0"/>
    <m/>
    <m/>
    <m/>
    <m/>
    <m/>
    <m/>
    <m/>
    <n v="1"/>
    <m/>
    <n v="13"/>
    <m/>
    <m/>
    <n v="206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4"/>
    <x v="0"/>
    <s v="West Normanby River"/>
    <d v="2022-06-02T00:00:00"/>
    <n v="1"/>
    <s v="Biting"/>
    <x v="0"/>
    <s v="Not buzzing"/>
    <n v="0"/>
    <m/>
    <m/>
    <m/>
    <m/>
    <m/>
    <m/>
    <m/>
    <n v="1"/>
    <m/>
    <n v="13"/>
    <m/>
    <m/>
    <n v="207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5"/>
    <x v="0"/>
    <s v="West Normanby River"/>
    <d v="2022-06-02T00:00:00"/>
    <n v="0"/>
    <s v="Biting"/>
    <x v="0"/>
    <s v="Not buzzing"/>
    <n v="0"/>
    <m/>
    <m/>
    <m/>
    <m/>
    <m/>
    <m/>
    <m/>
    <n v="1"/>
    <m/>
    <n v="13"/>
    <m/>
    <m/>
    <n v="208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6"/>
    <x v="0"/>
    <s v="West Normanby River"/>
    <d v="2022-06-02T00:00:00"/>
    <n v="0"/>
    <s v="Biting"/>
    <x v="0"/>
    <s v="Not buzzing"/>
    <n v="0"/>
    <m/>
    <m/>
    <m/>
    <m/>
    <m/>
    <m/>
    <m/>
    <n v="1"/>
    <m/>
    <n v="13"/>
    <m/>
    <m/>
    <n v="209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7"/>
    <x v="0"/>
    <s v="West Normanby River"/>
    <d v="2022-06-02T00:00:00"/>
    <n v="1"/>
    <s v="Biting"/>
    <x v="0"/>
    <s v="Not buzzing"/>
    <n v="0"/>
    <m/>
    <m/>
    <m/>
    <m/>
    <m/>
    <m/>
    <m/>
    <n v="1"/>
    <m/>
    <n v="13"/>
    <m/>
    <m/>
    <n v="210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8"/>
    <x v="0"/>
    <s v="West Normanby River"/>
    <d v="2022-06-02T00:00:00"/>
    <n v="0"/>
    <s v="Biting"/>
    <x v="0"/>
    <s v="Not buzzing"/>
    <n v="0"/>
    <m/>
    <m/>
    <m/>
    <m/>
    <m/>
    <m/>
    <m/>
    <n v="1"/>
    <m/>
    <n v="13"/>
    <m/>
    <m/>
    <n v="211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09"/>
    <x v="0"/>
    <s v="West Normanby River"/>
    <d v="2022-06-02T00:00:00"/>
    <n v="0"/>
    <s v="Biting"/>
    <x v="0"/>
    <s v="Not buzzing"/>
    <n v="0"/>
    <m/>
    <m/>
    <m/>
    <m/>
    <m/>
    <m/>
    <m/>
    <n v="1"/>
    <m/>
    <n v="23"/>
    <m/>
    <m/>
    <n v="212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10"/>
    <x v="0"/>
    <s v="West Normanby River"/>
    <d v="2022-06-02T00:00:00"/>
    <n v="0"/>
    <s v="Biting"/>
    <x v="0"/>
    <s v="Not buzzing"/>
    <n v="0"/>
    <m/>
    <m/>
    <m/>
    <m/>
    <m/>
    <m/>
    <m/>
    <n v="1"/>
    <m/>
    <n v="23"/>
    <m/>
    <m/>
    <n v="213"/>
  </r>
  <r>
    <s v="pollinator obs_humans"/>
    <s v="Human observations"/>
    <s v="Hymenoptera"/>
    <s v="Apidae"/>
    <s v="Apinae"/>
    <s v="Meliponini"/>
    <s v="Tetragonula"/>
    <s v="species"/>
    <s v="Tetragonula species"/>
    <s v="Meliponini"/>
    <s v="Small non-buzzer"/>
    <s v="Stingless Bee"/>
    <s v="Stingless Bee (Tetra)"/>
    <n v="311"/>
    <x v="0"/>
    <s v="West Normanby River"/>
    <d v="2022-06-02T00:00:00"/>
    <n v="1"/>
    <s v="Biting"/>
    <x v="0"/>
    <s v="Not buzzing"/>
    <n v="0"/>
    <m/>
    <m/>
    <m/>
    <m/>
    <m/>
    <m/>
    <m/>
    <n v="1"/>
    <m/>
    <n v="23"/>
    <m/>
    <m/>
    <n v="214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39"/>
    <x v="0"/>
    <s v="Barron River"/>
    <d v="2022-06-15T00:00:00"/>
    <n v="1"/>
    <s v="buzz"/>
    <x v="2"/>
    <s v="Buzzing"/>
    <n v="0"/>
    <m/>
    <m/>
    <m/>
    <m/>
    <m/>
    <m/>
    <m/>
    <n v="1"/>
    <m/>
    <n v="6"/>
    <m/>
    <m/>
    <n v="243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0"/>
    <x v="0"/>
    <s v="Barron River"/>
    <d v="2022-06-15T00:00:00"/>
    <n v="1"/>
    <s v="buzz"/>
    <x v="2"/>
    <s v="Buzzing"/>
    <n v="0"/>
    <m/>
    <m/>
    <m/>
    <m/>
    <m/>
    <m/>
    <m/>
    <n v="1"/>
    <m/>
    <n v="6"/>
    <m/>
    <m/>
    <n v="244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1"/>
    <x v="0"/>
    <s v="Barron River"/>
    <d v="2022-06-16T00:00:00"/>
    <n v="1"/>
    <s v="buzz"/>
    <x v="2"/>
    <s v="Buzzing"/>
    <n v="0"/>
    <m/>
    <m/>
    <m/>
    <m/>
    <m/>
    <m/>
    <m/>
    <n v="1"/>
    <m/>
    <n v="7"/>
    <m/>
    <m/>
    <n v="245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2"/>
    <x v="0"/>
    <s v="Barron River"/>
    <d v="2022-06-16T00:00:00"/>
    <n v="0"/>
    <s v="buzz"/>
    <x v="2"/>
    <s v="Buzzing"/>
    <n v="0"/>
    <m/>
    <m/>
    <m/>
    <m/>
    <m/>
    <m/>
    <m/>
    <n v="1"/>
    <m/>
    <n v="7"/>
    <m/>
    <m/>
    <n v="246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3"/>
    <x v="0"/>
    <s v="Barron River"/>
    <d v="2022-06-16T00:00:00"/>
    <m/>
    <s v="buzz"/>
    <x v="2"/>
    <s v="Buzzing"/>
    <n v="0"/>
    <m/>
    <m/>
    <m/>
    <m/>
    <m/>
    <m/>
    <m/>
    <n v="1"/>
    <m/>
    <n v="7"/>
    <m/>
    <m/>
    <n v="247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4"/>
    <x v="0"/>
    <s v="Barron River"/>
    <d v="2022-06-16T00:00:00"/>
    <m/>
    <s v="buzz"/>
    <x v="2"/>
    <s v="Buzzing"/>
    <n v="0"/>
    <m/>
    <m/>
    <m/>
    <m/>
    <m/>
    <m/>
    <m/>
    <n v="1"/>
    <m/>
    <n v="7"/>
    <m/>
    <m/>
    <n v="248"/>
  </r>
  <r>
    <s v="pollinator obs_humans"/>
    <s v="Human observations"/>
    <s v="Hymenoptera"/>
    <s v="Apidae"/>
    <s v="Xylocopinae"/>
    <s v="Xylocopini"/>
    <s v="Xylocopa"/>
    <s v="species"/>
    <s v="Xylocopa species"/>
    <s v="Xylocopa species"/>
    <s v="Large buzzer"/>
    <s v="Greater Carpenter Bee"/>
    <s v="Greater Carpenter Bee"/>
    <n v="345"/>
    <x v="0"/>
    <s v="West Normanby River"/>
    <d v="2022-06-02T00:00:00"/>
    <m/>
    <s v="buzz"/>
    <x v="2"/>
    <s v="Buzzing"/>
    <n v="0"/>
    <m/>
    <m/>
    <m/>
    <m/>
    <m/>
    <m/>
    <m/>
    <n v="1"/>
    <m/>
    <n v="30"/>
    <m/>
    <m/>
    <n v="24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27"/>
    <x v="1"/>
    <s v="Tekik de Regil"/>
    <d v="2023-10-02T00:00:00"/>
    <n v="1"/>
    <s v="gl"/>
    <x v="1"/>
    <s v="Not buzzing"/>
    <m/>
    <m/>
    <m/>
    <m/>
    <m/>
    <m/>
    <m/>
    <m/>
    <n v="2"/>
    <s v="5-29"/>
    <n v="12"/>
    <n v="24"/>
    <n v="10"/>
    <n v="1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28"/>
    <x v="1"/>
    <s v="Tekik de Regil"/>
    <d v="2023-10-02T00:00:00"/>
    <n v="1"/>
    <s v="gl"/>
    <x v="1"/>
    <s v="Not buzzing"/>
    <m/>
    <m/>
    <m/>
    <m/>
    <m/>
    <m/>
    <m/>
    <m/>
    <n v="2"/>
    <s v="&gt;60"/>
    <n v="12"/>
    <n v="24"/>
    <n v="10"/>
    <n v="2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29"/>
    <x v="1"/>
    <s v="Tekik de Regil"/>
    <d v="2023-10-02T00:00:00"/>
    <n v="1"/>
    <s v="gl"/>
    <x v="1"/>
    <s v="Not buzzing"/>
    <m/>
    <m/>
    <m/>
    <m/>
    <m/>
    <m/>
    <m/>
    <m/>
    <n v="4"/>
    <s v="5-29"/>
    <n v="12"/>
    <n v="24"/>
    <n v="10"/>
    <n v="2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1"/>
    <x v="1"/>
    <s v="Tekik de Regil"/>
    <d v="2023-10-02T00:00:00"/>
    <n v="1"/>
    <s v="GL?"/>
    <x v="1"/>
    <s v="Not buzzing"/>
    <m/>
    <m/>
    <m/>
    <m/>
    <m/>
    <m/>
    <m/>
    <m/>
    <n v="2"/>
    <s v="5-29"/>
    <n v="12"/>
    <n v="24"/>
    <n v="10"/>
    <n v="2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2"/>
    <x v="1"/>
    <s v="Tekik de Regil"/>
    <d v="2023-10-02T00:00:00"/>
    <n v="1"/>
    <s v="GL?"/>
    <x v="1"/>
    <s v="Not buzzing"/>
    <m/>
    <m/>
    <m/>
    <m/>
    <m/>
    <m/>
    <m/>
    <m/>
    <n v="2"/>
    <s v="&gt;60"/>
    <n v="12"/>
    <n v="24"/>
    <n v="10"/>
    <n v="2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3"/>
    <x v="1"/>
    <s v="Tekik de Regil"/>
    <d v="2023-10-02T00:00:00"/>
    <n v="1"/>
    <s v="GL?"/>
    <x v="1"/>
    <s v="Not buzzing"/>
    <m/>
    <m/>
    <m/>
    <m/>
    <m/>
    <m/>
    <m/>
    <m/>
    <n v="5"/>
    <s v="5-29"/>
    <n v="12"/>
    <n v="24"/>
    <n v="10"/>
    <n v="2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4"/>
    <x v="1"/>
    <s v="Tekik de Regil"/>
    <d v="2023-10-02T00:00:00"/>
    <n v="1"/>
    <s v="GL?"/>
    <x v="1"/>
    <s v="Not buzzing"/>
    <m/>
    <m/>
    <m/>
    <m/>
    <m/>
    <m/>
    <m/>
    <m/>
    <n v="4"/>
    <s v="30-59"/>
    <n v="12"/>
    <n v="24"/>
    <n v="10"/>
    <n v="2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5"/>
    <x v="1"/>
    <s v="Tekik de Regil"/>
    <d v="2023-10-02T00:00:00"/>
    <n v="1"/>
    <s v="GL?"/>
    <x v="1"/>
    <s v="Not buzzing"/>
    <m/>
    <m/>
    <m/>
    <m/>
    <m/>
    <m/>
    <m/>
    <m/>
    <n v="3"/>
    <m/>
    <n v="12"/>
    <n v="24"/>
    <n v="10"/>
    <n v="2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6"/>
    <x v="1"/>
    <s v="Tekik de Regil"/>
    <d v="2023-10-02T00:00:00"/>
    <n v="1"/>
    <s v="gleaning"/>
    <x v="1"/>
    <s v="Not buzzing"/>
    <m/>
    <m/>
    <m/>
    <m/>
    <m/>
    <m/>
    <m/>
    <m/>
    <n v="2"/>
    <s v="30-59"/>
    <n v="12"/>
    <n v="24"/>
    <n v="10"/>
    <n v="2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8"/>
    <x v="1"/>
    <s v="Tekik de Regil"/>
    <d v="2023-10-02T00:00:00"/>
    <n v="1"/>
    <s v="gleaning"/>
    <x v="1"/>
    <s v="Not buzzing"/>
    <m/>
    <m/>
    <m/>
    <m/>
    <m/>
    <m/>
    <m/>
    <m/>
    <n v="2"/>
    <s v="&gt;60"/>
    <n v="12"/>
    <n v="24"/>
    <n v="10"/>
    <n v="2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39"/>
    <x v="1"/>
    <s v="Tekik de Regil"/>
    <d v="2023-10-02T00:00:00"/>
    <n v="1"/>
    <s v="gleaning"/>
    <x v="1"/>
    <s v="Not buzzing"/>
    <m/>
    <m/>
    <m/>
    <m/>
    <m/>
    <m/>
    <m/>
    <m/>
    <n v="1"/>
    <s v="5-29"/>
    <n v="12"/>
    <n v="24"/>
    <n v="10"/>
    <n v="3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0"/>
    <x v="1"/>
    <s v="Tekik de Regil"/>
    <d v="2023-10-02T00:00:00"/>
    <n v="1"/>
    <s v="gleaning"/>
    <x v="1"/>
    <s v="Not buzzing"/>
    <m/>
    <m/>
    <m/>
    <m/>
    <m/>
    <m/>
    <m/>
    <m/>
    <n v="2"/>
    <s v="30-59"/>
    <n v="12"/>
    <n v="24"/>
    <n v="10"/>
    <n v="3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1"/>
    <x v="1"/>
    <s v="Tekik de Regil"/>
    <d v="2023-10-02T00:00:00"/>
    <n v="1"/>
    <s v="gleaning"/>
    <x v="1"/>
    <s v="Not buzzing"/>
    <m/>
    <m/>
    <m/>
    <m/>
    <m/>
    <m/>
    <m/>
    <m/>
    <n v="6"/>
    <s v="&gt;60"/>
    <n v="12"/>
    <n v="24"/>
    <n v="10"/>
    <n v="3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2"/>
    <x v="1"/>
    <s v="Tekik de Regil"/>
    <d v="2023-10-02T00:00:00"/>
    <n v="1"/>
    <s v="gleaning"/>
    <x v="1"/>
    <s v="Not buzzing"/>
    <m/>
    <m/>
    <m/>
    <m/>
    <m/>
    <m/>
    <m/>
    <m/>
    <n v="3"/>
    <s v="5-29"/>
    <n v="12"/>
    <n v="24"/>
    <n v="10"/>
    <n v="3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3"/>
    <x v="1"/>
    <s v="Tekik de Regil"/>
    <d v="2023-10-02T00:00:00"/>
    <n v="1"/>
    <s v="gleaning"/>
    <x v="1"/>
    <s v="Not buzzing"/>
    <m/>
    <m/>
    <m/>
    <m/>
    <m/>
    <m/>
    <m/>
    <m/>
    <n v="1"/>
    <s v="5-29"/>
    <n v="12"/>
    <n v="24"/>
    <n v="10"/>
    <n v="3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4"/>
    <x v="1"/>
    <s v="Tekik de Regil"/>
    <d v="2023-10-02T00:00:00"/>
    <n v="1"/>
    <s v="gleaning"/>
    <x v="1"/>
    <s v="Not buzzing"/>
    <m/>
    <m/>
    <m/>
    <m/>
    <m/>
    <m/>
    <m/>
    <m/>
    <n v="1"/>
    <s v="&gt;60"/>
    <n v="12"/>
    <n v="24"/>
    <n v="10"/>
    <n v="3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5"/>
    <x v="1"/>
    <s v="Tekik de Regil"/>
    <d v="2023-10-02T00:00:00"/>
    <n v="1"/>
    <s v="gleaning"/>
    <x v="1"/>
    <s v="Not buzzing"/>
    <m/>
    <m/>
    <m/>
    <m/>
    <m/>
    <m/>
    <m/>
    <m/>
    <n v="3"/>
    <s v="&gt;60"/>
    <n v="12"/>
    <n v="24"/>
    <n v="10"/>
    <n v="3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46"/>
    <x v="1"/>
    <s v="Tekik de Regil"/>
    <d v="2023-10-02T00:00:00"/>
    <n v="1"/>
    <s v="gleaning"/>
    <x v="1"/>
    <s v="Not buzzing"/>
    <m/>
    <m/>
    <m/>
    <m/>
    <m/>
    <m/>
    <m/>
    <m/>
    <n v="1"/>
    <s v="5-29"/>
    <n v="12"/>
    <n v="24"/>
    <n v="10"/>
    <n v="3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64"/>
    <x v="1"/>
    <s v="Tekik de Regil"/>
    <d v="2023-10-02T00:00:00"/>
    <n v="1"/>
    <s v="gleaning"/>
    <x v="1"/>
    <s v="Not buzzing"/>
    <m/>
    <m/>
    <m/>
    <m/>
    <m/>
    <m/>
    <m/>
    <m/>
    <n v="1"/>
    <s v="30-59"/>
    <n v="12"/>
    <n v="24"/>
    <n v="10"/>
    <n v="5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68"/>
    <x v="1"/>
    <s v="Tekik de Regil"/>
    <d v="2023-10-02T00:00:00"/>
    <n v="1"/>
    <s v="gleaning"/>
    <x v="1"/>
    <s v="Not buzzing"/>
    <m/>
    <m/>
    <m/>
    <m/>
    <m/>
    <m/>
    <m/>
    <m/>
    <n v="3"/>
    <s v="5-29"/>
    <n v="10"/>
    <n v="16"/>
    <n v="0"/>
    <n v="5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69"/>
    <x v="1"/>
    <s v="Tekik de Regil"/>
    <d v="2023-10-02T00:00:00"/>
    <n v="1"/>
    <s v="gleaning"/>
    <x v="1"/>
    <s v="Not buzzing"/>
    <m/>
    <m/>
    <m/>
    <m/>
    <m/>
    <m/>
    <m/>
    <m/>
    <n v="2"/>
    <m/>
    <n v="10"/>
    <n v="16"/>
    <n v="0"/>
    <n v="5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0"/>
    <x v="1"/>
    <s v="Tekik de Regil"/>
    <d v="2023-10-02T00:00:00"/>
    <n v="0"/>
    <s v="gleaning"/>
    <x v="1"/>
    <s v="Not buzzing"/>
    <m/>
    <m/>
    <m/>
    <m/>
    <m/>
    <m/>
    <m/>
    <m/>
    <n v="1"/>
    <s v="&lt;5"/>
    <n v="10"/>
    <n v="16"/>
    <n v="0"/>
    <n v="6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1"/>
    <x v="1"/>
    <s v="Tekik de Regil"/>
    <d v="2023-10-02T00:00:00"/>
    <n v="1"/>
    <s v="gleaning"/>
    <x v="1"/>
    <s v="Not buzzing"/>
    <m/>
    <m/>
    <m/>
    <m/>
    <m/>
    <m/>
    <m/>
    <m/>
    <n v="2"/>
    <s v="5-29"/>
    <n v="10"/>
    <n v="16"/>
    <n v="0"/>
    <n v="6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2"/>
    <x v="1"/>
    <s v="Tekik de Regil"/>
    <d v="2023-10-02T00:00:00"/>
    <n v="1"/>
    <s v="gleaning"/>
    <x v="1"/>
    <s v="Not buzzing"/>
    <m/>
    <m/>
    <m/>
    <m/>
    <m/>
    <m/>
    <m/>
    <m/>
    <n v="2"/>
    <s v="5-29"/>
    <n v="10"/>
    <n v="16"/>
    <n v="0"/>
    <n v="6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3"/>
    <x v="1"/>
    <s v="Tekik de Regil"/>
    <d v="2023-10-02T00:00:00"/>
    <n v="1"/>
    <s v="gleaning"/>
    <x v="1"/>
    <s v="Not buzzing"/>
    <m/>
    <m/>
    <m/>
    <m/>
    <m/>
    <m/>
    <m/>
    <m/>
    <n v="2"/>
    <s v="30-59"/>
    <n v="10"/>
    <n v="16"/>
    <n v="0"/>
    <n v="6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4"/>
    <x v="1"/>
    <s v="Tekik de Regil"/>
    <d v="2023-10-02T00:00:00"/>
    <n v="0"/>
    <s v="gleaning"/>
    <x v="1"/>
    <s v="Not buzzing"/>
    <m/>
    <m/>
    <m/>
    <m/>
    <m/>
    <m/>
    <m/>
    <m/>
    <n v="3"/>
    <s v="30-59"/>
    <n v="10"/>
    <n v="16"/>
    <n v="0"/>
    <n v="6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5"/>
    <x v="1"/>
    <s v="Tekik de Regil"/>
    <d v="2023-10-02T00:00:00"/>
    <n v="1"/>
    <s v="gleaning"/>
    <x v="1"/>
    <s v="Not buzzing"/>
    <m/>
    <m/>
    <m/>
    <m/>
    <m/>
    <m/>
    <m/>
    <m/>
    <n v="1"/>
    <s v="5-29"/>
    <n v="10"/>
    <n v="16"/>
    <n v="0"/>
    <n v="6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6"/>
    <x v="1"/>
    <s v="Tekik de Regil"/>
    <d v="2023-10-02T00:00:00"/>
    <n v="1"/>
    <s v="gleaning"/>
    <x v="1"/>
    <s v="Not buzzing"/>
    <m/>
    <m/>
    <m/>
    <m/>
    <m/>
    <m/>
    <m/>
    <m/>
    <n v="4"/>
    <s v="30-59"/>
    <n v="10"/>
    <n v="16"/>
    <n v="0"/>
    <n v="6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7"/>
    <x v="1"/>
    <s v="Tekik de Regil"/>
    <d v="2023-10-02T00:00:00"/>
    <n v="1"/>
    <s v="gleaning"/>
    <x v="1"/>
    <s v="Not buzzing"/>
    <m/>
    <m/>
    <m/>
    <m/>
    <m/>
    <m/>
    <m/>
    <m/>
    <n v="1"/>
    <s v="5-29"/>
    <n v="10"/>
    <n v="16"/>
    <n v="0"/>
    <n v="6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79"/>
    <x v="1"/>
    <s v="Tekik de Regil"/>
    <d v="2023-10-02T00:00:00"/>
    <n v="1"/>
    <s v="gleaning"/>
    <x v="1"/>
    <s v="Not buzzing"/>
    <m/>
    <m/>
    <m/>
    <m/>
    <m/>
    <m/>
    <m/>
    <m/>
    <n v="1"/>
    <s v="5-29"/>
    <n v="10"/>
    <n v="16"/>
    <n v="0"/>
    <n v="6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80"/>
    <x v="1"/>
    <s v="Tekik de Regil"/>
    <d v="2023-10-02T00:00:00"/>
    <n v="1"/>
    <s v="gleaning"/>
    <x v="1"/>
    <s v="Not buzzing"/>
    <m/>
    <m/>
    <m/>
    <m/>
    <m/>
    <m/>
    <m/>
    <m/>
    <n v="3"/>
    <s v="5-29"/>
    <n v="9"/>
    <n v="15"/>
    <n v="0"/>
    <n v="7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2"/>
    <x v="1"/>
    <s v="Tekik de Regil"/>
    <d v="2023-10-02T00:00:00"/>
    <n v="1"/>
    <s v="gleaning"/>
    <x v="1"/>
    <s v="Not buzzing"/>
    <m/>
    <m/>
    <m/>
    <m/>
    <m/>
    <m/>
    <m/>
    <m/>
    <n v="3"/>
    <s v="5-29"/>
    <n v="9"/>
    <n v="15"/>
    <n v="0"/>
    <n v="7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3"/>
    <x v="1"/>
    <s v="Tekik de Regil"/>
    <d v="2023-10-11T00:00:00"/>
    <n v="1"/>
    <s v="gleaning"/>
    <x v="1"/>
    <s v="Not buzzing"/>
    <m/>
    <m/>
    <m/>
    <m/>
    <m/>
    <m/>
    <m/>
    <m/>
    <n v="2"/>
    <s v="5-29"/>
    <n v="10"/>
    <n v="4"/>
    <n v="0"/>
    <n v="19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4"/>
    <x v="1"/>
    <s v="Tekik de Regil"/>
    <d v="2023-10-11T00:00:00"/>
    <n v="1"/>
    <s v="gleaning"/>
    <x v="1"/>
    <s v="Not buzzing"/>
    <m/>
    <m/>
    <m/>
    <m/>
    <m/>
    <m/>
    <m/>
    <m/>
    <n v="5"/>
    <s v="5-29"/>
    <n v="10"/>
    <n v="4"/>
    <n v="0"/>
    <n v="20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5"/>
    <x v="1"/>
    <s v="Tekik de Regil"/>
    <d v="2023-10-11T00:00:00"/>
    <n v="1"/>
    <s v="gleaning"/>
    <x v="1"/>
    <s v="Not buzzing"/>
    <m/>
    <m/>
    <m/>
    <m/>
    <m/>
    <m/>
    <m/>
    <m/>
    <n v="1"/>
    <s v="5-29"/>
    <n v="10"/>
    <n v="4"/>
    <n v="0"/>
    <n v="20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6"/>
    <x v="1"/>
    <s v="Tekik de Regil"/>
    <d v="2023-10-11T00:00:00"/>
    <n v="1"/>
    <s v="gleaning"/>
    <x v="1"/>
    <s v="Not buzzing"/>
    <m/>
    <m/>
    <m/>
    <m/>
    <m/>
    <m/>
    <m/>
    <m/>
    <n v="2"/>
    <s v="5-29"/>
    <n v="10"/>
    <n v="4"/>
    <n v="0"/>
    <n v="20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8"/>
    <x v="1"/>
    <s v="Tekik de Regil"/>
    <d v="2023-10-11T00:00:00"/>
    <n v="1"/>
    <s v="gleaning"/>
    <x v="1"/>
    <s v="Not buzzing"/>
    <m/>
    <m/>
    <m/>
    <m/>
    <m/>
    <m/>
    <m/>
    <m/>
    <n v="2"/>
    <s v="5-29"/>
    <n v="10"/>
    <n v="4"/>
    <n v="0"/>
    <n v="20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599"/>
    <x v="1"/>
    <s v="Tekik de Regil"/>
    <d v="2023-10-11T00:00:00"/>
    <n v="1"/>
    <s v="gleaning"/>
    <x v="1"/>
    <s v="Not buzzing"/>
    <m/>
    <m/>
    <m/>
    <m/>
    <m/>
    <m/>
    <m/>
    <m/>
    <n v="2"/>
    <s v="5-29"/>
    <n v="10"/>
    <n v="4"/>
    <n v="0"/>
    <n v="20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01"/>
    <x v="1"/>
    <s v="Tekik de Regil"/>
    <d v="2023-10-11T00:00:00"/>
    <n v="1"/>
    <s v="gleaning"/>
    <x v="1"/>
    <s v="Not buzzing"/>
    <m/>
    <m/>
    <m/>
    <m/>
    <m/>
    <m/>
    <m/>
    <m/>
    <n v="2"/>
    <s v="5-29"/>
    <n v="10"/>
    <n v="4"/>
    <n v="0"/>
    <n v="20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04"/>
    <x v="1"/>
    <s v="Tekik de Regil"/>
    <d v="2023-10-11T00:00:00"/>
    <n v="1"/>
    <s v="gleaning"/>
    <x v="1"/>
    <s v="Not buzzing"/>
    <m/>
    <m/>
    <m/>
    <m/>
    <m/>
    <m/>
    <m/>
    <m/>
    <n v="1"/>
    <s v="5-29"/>
    <n v="10"/>
    <n v="4"/>
    <n v="0"/>
    <n v="20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05"/>
    <x v="1"/>
    <s v="Tekik de Regil"/>
    <d v="2023-10-11T00:00:00"/>
    <n v="1"/>
    <s v="gleaning"/>
    <x v="1"/>
    <s v="Not buzzing"/>
    <m/>
    <m/>
    <m/>
    <m/>
    <m/>
    <m/>
    <m/>
    <m/>
    <n v="4"/>
    <s v="&lt;5"/>
    <n v="10"/>
    <n v="4"/>
    <n v="0"/>
    <n v="20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18"/>
    <x v="1"/>
    <s v="Tekik de Regil"/>
    <d v="2023-10-11T00:00:00"/>
    <n v="1"/>
    <s v="gleaning"/>
    <x v="1"/>
    <s v="Not buzzing"/>
    <m/>
    <m/>
    <m/>
    <m/>
    <m/>
    <m/>
    <m/>
    <m/>
    <n v="3"/>
    <s v="5-29"/>
    <n v="10"/>
    <n v="4"/>
    <n v="0"/>
    <n v="22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19"/>
    <x v="1"/>
    <s v="Tekik de Regil"/>
    <d v="2023-10-11T00:00:00"/>
    <n v="0"/>
    <s v="gleaning"/>
    <x v="1"/>
    <s v="Not buzzing"/>
    <m/>
    <m/>
    <m/>
    <m/>
    <m/>
    <m/>
    <m/>
    <m/>
    <n v="1"/>
    <s v="&lt;5"/>
    <n v="9"/>
    <n v="19"/>
    <n v="0"/>
    <n v="22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0"/>
    <x v="1"/>
    <s v="Tekik de Regil"/>
    <d v="2023-10-11T00:00:00"/>
    <n v="1"/>
    <s v="gleaning"/>
    <x v="1"/>
    <s v="Not buzzing"/>
    <m/>
    <m/>
    <m/>
    <m/>
    <m/>
    <m/>
    <m/>
    <m/>
    <n v="1"/>
    <s v="5-29"/>
    <n v="9"/>
    <n v="19"/>
    <n v="0"/>
    <n v="22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3"/>
    <x v="1"/>
    <s v="Tekik de Regil"/>
    <d v="2023-10-11T00:00:00"/>
    <m/>
    <s v="gleaning"/>
    <x v="1"/>
    <s v="Not buzzing"/>
    <m/>
    <m/>
    <m/>
    <m/>
    <m/>
    <m/>
    <m/>
    <m/>
    <n v="2"/>
    <s v="&gt;60"/>
    <n v="9"/>
    <n v="19"/>
    <n v="0"/>
    <n v="22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4"/>
    <x v="1"/>
    <s v="Tekik de Regil"/>
    <d v="2023-10-11T00:00:00"/>
    <n v="1"/>
    <s v="gleaning"/>
    <x v="1"/>
    <s v="Not buzzing"/>
    <m/>
    <m/>
    <m/>
    <m/>
    <m/>
    <m/>
    <m/>
    <m/>
    <m/>
    <s v="5-29"/>
    <n v="9"/>
    <n v="19"/>
    <n v="0"/>
    <n v="22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5"/>
    <x v="1"/>
    <s v="Tekik de Regil"/>
    <d v="2023-10-11T00:00:00"/>
    <n v="1"/>
    <s v="gleaning"/>
    <x v="1"/>
    <s v="Not buzzing"/>
    <m/>
    <m/>
    <m/>
    <m/>
    <m/>
    <m/>
    <m/>
    <m/>
    <n v="5"/>
    <s v="5-29"/>
    <n v="9"/>
    <n v="19"/>
    <n v="0"/>
    <n v="22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6"/>
    <x v="1"/>
    <s v="Tekik de Regil"/>
    <d v="2023-10-11T00:00:00"/>
    <n v="1"/>
    <s v="gleaning"/>
    <x v="1"/>
    <s v="Not buzzing"/>
    <m/>
    <m/>
    <m/>
    <m/>
    <m/>
    <m/>
    <m/>
    <m/>
    <n v="2"/>
    <s v="&gt;60"/>
    <n v="9"/>
    <n v="19"/>
    <n v="0"/>
    <n v="22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27"/>
    <x v="1"/>
    <s v="Tekik de Regil"/>
    <d v="2023-10-11T00:00:00"/>
    <n v="1"/>
    <s v="gleaning"/>
    <x v="1"/>
    <s v="Not buzzing"/>
    <m/>
    <m/>
    <m/>
    <m/>
    <m/>
    <m/>
    <m/>
    <m/>
    <n v="4"/>
    <s v="&lt;5"/>
    <n v="9"/>
    <n v="19"/>
    <n v="0"/>
    <n v="22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46"/>
    <x v="1"/>
    <s v="Tekik de Regil"/>
    <d v="2023-10-11T00:00:00"/>
    <n v="1"/>
    <s v="gleaning"/>
    <x v="1"/>
    <s v="Not buzzing"/>
    <m/>
    <m/>
    <m/>
    <m/>
    <m/>
    <m/>
    <m/>
    <m/>
    <n v="1"/>
    <s v="5-29"/>
    <n v="9"/>
    <n v="19"/>
    <n v="0"/>
    <n v="24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47"/>
    <x v="1"/>
    <s v="Tekik de Regil"/>
    <d v="2023-10-11T00:00:00"/>
    <n v="0"/>
    <s v="gleaning"/>
    <x v="1"/>
    <s v="Not buzzing"/>
    <m/>
    <m/>
    <m/>
    <m/>
    <m/>
    <m/>
    <m/>
    <m/>
    <n v="4"/>
    <s v="5-29"/>
    <n v="13"/>
    <n v="12"/>
    <n v="7"/>
    <n v="24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49"/>
    <x v="1"/>
    <s v="Tekik de Regil"/>
    <d v="2023-10-11T00:00:00"/>
    <n v="1"/>
    <s v="gleaning"/>
    <x v="1"/>
    <s v="Not buzzing"/>
    <m/>
    <m/>
    <m/>
    <m/>
    <m/>
    <m/>
    <m/>
    <m/>
    <n v="3"/>
    <s v="&gt;60"/>
    <n v="13"/>
    <n v="12"/>
    <n v="7"/>
    <n v="24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51"/>
    <x v="1"/>
    <s v="Tekik de Regil"/>
    <d v="2023-10-11T00:00:00"/>
    <n v="1"/>
    <s v="gleaning"/>
    <x v="1"/>
    <s v="Not buzzing"/>
    <m/>
    <m/>
    <m/>
    <m/>
    <m/>
    <m/>
    <m/>
    <m/>
    <n v="2"/>
    <s v="30-59"/>
    <n v="13"/>
    <n v="12"/>
    <n v="7"/>
    <n v="24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52"/>
    <x v="1"/>
    <s v="Tekik de Regil"/>
    <d v="2023-10-11T00:00:00"/>
    <n v="1"/>
    <s v="gleaning"/>
    <x v="1"/>
    <s v="Not buzzing"/>
    <m/>
    <m/>
    <m/>
    <m/>
    <m/>
    <m/>
    <m/>
    <m/>
    <n v="2"/>
    <s v="&gt;60"/>
    <n v="13"/>
    <n v="12"/>
    <n v="7"/>
    <n v="24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53"/>
    <x v="1"/>
    <s v="Tekik de Regil"/>
    <d v="2023-10-11T00:00:00"/>
    <n v="1"/>
    <s v="gleaning"/>
    <x v="1"/>
    <s v="Not buzzing"/>
    <m/>
    <m/>
    <m/>
    <m/>
    <m/>
    <m/>
    <m/>
    <m/>
    <n v="3"/>
    <s v="30-59"/>
    <n v="13"/>
    <n v="12"/>
    <n v="7"/>
    <n v="24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54"/>
    <x v="1"/>
    <s v="Tekik de Regil"/>
    <d v="2023-10-11T00:00:00"/>
    <n v="1"/>
    <s v="gleaning"/>
    <x v="1"/>
    <s v="Not buzzing"/>
    <m/>
    <m/>
    <m/>
    <m/>
    <m/>
    <m/>
    <m/>
    <m/>
    <n v="1"/>
    <s v="30-59"/>
    <n v="13"/>
    <n v="12"/>
    <n v="7"/>
    <n v="24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57"/>
    <x v="1"/>
    <s v="Tekik de Regil"/>
    <d v="2023-10-11T00:00:00"/>
    <n v="1"/>
    <s v="gleaning"/>
    <x v="1"/>
    <s v="Not buzzing"/>
    <m/>
    <m/>
    <m/>
    <m/>
    <m/>
    <m/>
    <m/>
    <m/>
    <n v="2"/>
    <s v="30-59"/>
    <n v="13"/>
    <n v="12"/>
    <n v="7"/>
    <n v="251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62"/>
    <x v="1"/>
    <s v="Tekik de Regil"/>
    <d v="2023-10-11T00:00:00"/>
    <n v="1"/>
    <s v="gleaning"/>
    <x v="1"/>
    <s v="Not buzzing"/>
    <m/>
    <m/>
    <m/>
    <m/>
    <m/>
    <m/>
    <m/>
    <m/>
    <n v="2"/>
    <s v="5-29"/>
    <n v="13"/>
    <n v="12"/>
    <n v="7"/>
    <n v="25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63"/>
    <x v="1"/>
    <s v="Tekik de Regil"/>
    <d v="2023-10-11T00:00:00"/>
    <n v="1"/>
    <s v="gleaning"/>
    <x v="1"/>
    <s v="Not buzzing"/>
    <m/>
    <m/>
    <m/>
    <m/>
    <m/>
    <m/>
    <m/>
    <m/>
    <n v="1"/>
    <s v="&gt;60"/>
    <n v="13"/>
    <n v="12"/>
    <n v="7"/>
    <n v="25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64"/>
    <x v="1"/>
    <s v="Tekik de Regil"/>
    <d v="2023-10-11T00:00:00"/>
    <n v="1"/>
    <s v="gleaning"/>
    <x v="1"/>
    <s v="Not buzzing"/>
    <m/>
    <m/>
    <m/>
    <m/>
    <m/>
    <m/>
    <m/>
    <m/>
    <n v="2"/>
    <s v="&gt;60"/>
    <n v="13"/>
    <n v="12"/>
    <n v="7"/>
    <n v="254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66"/>
    <x v="1"/>
    <s v="Tekik de Regil"/>
    <d v="2023-10-11T00:00:00"/>
    <n v="1"/>
    <s v="gleaning"/>
    <x v="1"/>
    <s v="Not buzzing"/>
    <m/>
    <m/>
    <m/>
    <m/>
    <m/>
    <m/>
    <m/>
    <m/>
    <n v="1"/>
    <s v="&lt;5"/>
    <n v="13"/>
    <n v="12"/>
    <n v="7"/>
    <n v="25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90"/>
    <x v="1"/>
    <s v="Xmatkuil"/>
    <d v="2023-10-09T00:00:00"/>
    <n v="1"/>
    <s v="gleaning"/>
    <x v="1"/>
    <s v="Not buzzing"/>
    <m/>
    <m/>
    <m/>
    <m/>
    <m/>
    <m/>
    <m/>
    <m/>
    <n v="1"/>
    <s v="5-30"/>
    <n v="18"/>
    <n v="0"/>
    <n v="0"/>
    <n v="7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91"/>
    <x v="1"/>
    <s v="Xmatkuil"/>
    <d v="2023-10-09T00:00:00"/>
    <n v="1"/>
    <s v="gleaning"/>
    <x v="1"/>
    <s v="Not buzzing"/>
    <m/>
    <m/>
    <m/>
    <m/>
    <m/>
    <m/>
    <m/>
    <m/>
    <n v="1"/>
    <s v="5-31"/>
    <n v="18"/>
    <n v="0"/>
    <n v="0"/>
    <n v="7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92"/>
    <x v="1"/>
    <s v="Xmatkuil"/>
    <d v="2023-10-09T00:00:00"/>
    <n v="1"/>
    <s v="gleaning"/>
    <x v="1"/>
    <s v="Not buzzing"/>
    <m/>
    <m/>
    <m/>
    <m/>
    <m/>
    <m/>
    <m/>
    <m/>
    <n v="3"/>
    <s v="5-32"/>
    <n v="18"/>
    <n v="0"/>
    <n v="0"/>
    <n v="7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693"/>
    <x v="1"/>
    <s v="Xmatkuil"/>
    <d v="2023-10-09T00:00:00"/>
    <n v="1"/>
    <s v="gleaning"/>
    <x v="1"/>
    <s v="Not buzzing"/>
    <m/>
    <m/>
    <m/>
    <m/>
    <m/>
    <m/>
    <m/>
    <m/>
    <n v="4"/>
    <s v="5-33"/>
    <n v="18"/>
    <n v="0"/>
    <n v="0"/>
    <n v="80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19"/>
    <x v="1"/>
    <s v="Xmatkuil"/>
    <d v="2023-10-09T00:00:00"/>
    <n v="0"/>
    <s v="gleaning"/>
    <x v="1"/>
    <s v="Not buzzing"/>
    <m/>
    <m/>
    <m/>
    <m/>
    <m/>
    <m/>
    <m/>
    <m/>
    <n v="3"/>
    <s v="29-60"/>
    <n v="34"/>
    <n v="0"/>
    <n v="0"/>
    <n v="102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20"/>
    <x v="1"/>
    <s v="Xmatkuil"/>
    <d v="2023-10-09T00:00:00"/>
    <n v="1"/>
    <s v="gleaning"/>
    <x v="1"/>
    <s v="Not buzzing"/>
    <m/>
    <m/>
    <m/>
    <m/>
    <m/>
    <m/>
    <m/>
    <m/>
    <n v="2"/>
    <s v="29-60"/>
    <n v="34"/>
    <n v="0"/>
    <n v="0"/>
    <n v="103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54"/>
    <x v="1"/>
    <s v="Xmatkuil"/>
    <d v="2023-10-09T00:00:00"/>
    <n v="0"/>
    <s v="gleaning"/>
    <x v="1"/>
    <s v="Not buzzing"/>
    <m/>
    <m/>
    <m/>
    <m/>
    <m/>
    <m/>
    <m/>
    <m/>
    <n v="1"/>
    <s v="&lt;5"/>
    <n v="34"/>
    <n v="0"/>
    <n v="0"/>
    <n v="135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55"/>
    <x v="1"/>
    <s v="Xmatkuil"/>
    <d v="2023-10-09T00:00:00"/>
    <m/>
    <s v="gleaning"/>
    <x v="1"/>
    <s v="Not buzzing"/>
    <m/>
    <m/>
    <m/>
    <m/>
    <m/>
    <m/>
    <m/>
    <m/>
    <n v="3"/>
    <s v="&lt;5"/>
    <n v="36"/>
    <n v="0"/>
    <n v="0"/>
    <n v="136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56"/>
    <x v="1"/>
    <s v="Xmatkuil"/>
    <d v="2023-10-09T00:00:00"/>
    <m/>
    <s v="gleaning"/>
    <x v="1"/>
    <s v="Not buzzing"/>
    <m/>
    <m/>
    <m/>
    <m/>
    <m/>
    <m/>
    <m/>
    <m/>
    <n v="1"/>
    <s v="5-29"/>
    <n v="36"/>
    <n v="0"/>
    <n v="0"/>
    <n v="137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57"/>
    <x v="1"/>
    <s v="Xmatkuil"/>
    <d v="2023-10-09T00:00:00"/>
    <m/>
    <s v="gleaning"/>
    <x v="1"/>
    <s v="Not buzzing"/>
    <m/>
    <m/>
    <m/>
    <m/>
    <m/>
    <m/>
    <m/>
    <m/>
    <n v="1"/>
    <m/>
    <n v="36"/>
    <n v="0"/>
    <n v="0"/>
    <n v="138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58"/>
    <x v="1"/>
    <s v="Xmatkuil"/>
    <d v="2023-10-09T00:00:00"/>
    <m/>
    <s v="gleaning"/>
    <x v="1"/>
    <s v="Not buzzing"/>
    <m/>
    <m/>
    <m/>
    <m/>
    <m/>
    <m/>
    <m/>
    <m/>
    <n v="1"/>
    <m/>
    <n v="36"/>
    <n v="0"/>
    <n v="0"/>
    <n v="13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71"/>
    <x v="1"/>
    <s v="Xmatkuil"/>
    <d v="2023-10-09T00:00:00"/>
    <n v="1"/>
    <s v="gleaning"/>
    <x v="1"/>
    <s v="Not buzzing"/>
    <m/>
    <m/>
    <m/>
    <m/>
    <m/>
    <m/>
    <m/>
    <m/>
    <n v="3"/>
    <s v="5-29"/>
    <n v="36"/>
    <n v="0"/>
    <n v="0"/>
    <n v="149"/>
  </r>
  <r>
    <s v="Pollinator_obs_human_MeX"/>
    <s v="Human observations"/>
    <s v="Hymenoptera"/>
    <s v="Apidae"/>
    <s v="Apinae"/>
    <s v="Apini"/>
    <s v="Apis"/>
    <s v="mellifera"/>
    <s v="Apis mellifera"/>
    <s v="Apis mellifera"/>
    <s v="Medium non-buzzer"/>
    <s v="European Honey Bee"/>
    <s v="European honey bee"/>
    <n v="778"/>
    <x v="1"/>
    <s v="Xmatkuil"/>
    <d v="2023-10-09T00:00:00"/>
    <n v="1"/>
    <s v="gleaning"/>
    <x v="1"/>
    <s v="Not buzzing"/>
    <m/>
    <m/>
    <m/>
    <m/>
    <m/>
    <m/>
    <m/>
    <m/>
    <n v="4"/>
    <s v="5-29"/>
    <n v="36"/>
    <n v="0"/>
    <n v="0"/>
    <n v="156"/>
  </r>
  <r>
    <s v="Pollinator_obs_human_MeX"/>
    <s v="Human observations"/>
    <s v="Hymenoptera"/>
    <s v="Halictidae"/>
    <s v="Halictinae"/>
    <s v="Augochlorini"/>
    <s v="Augochlora"/>
    <s v="species"/>
    <s v="Augochlora species"/>
    <s v="Halictidae"/>
    <s v="Medium buzzer"/>
    <s v="Sweat Bee"/>
    <s v="Sweat bee"/>
    <n v="682"/>
    <x v="1"/>
    <s v="Xmatkuil"/>
    <d v="2023-10-04T00:00:00"/>
    <n v="0"/>
    <s v="gleaning"/>
    <x v="1"/>
    <s v="Not buzzing"/>
    <m/>
    <m/>
    <m/>
    <m/>
    <m/>
    <m/>
    <m/>
    <m/>
    <n v="1"/>
    <s v="5-29"/>
    <n v="9"/>
    <n v="0"/>
    <n v="0"/>
    <n v="360"/>
  </r>
  <r>
    <s v="Pollinator_obs_human_MeX"/>
    <s v="Human observations"/>
    <s v="Hymenoptera"/>
    <s v="Halictidae"/>
    <s v="Halictinae"/>
    <s v="Augochlorini"/>
    <s v="Augochloropsis"/>
    <s v="species"/>
    <s v="Augochloropsis species"/>
    <s v="Halictidae"/>
    <s v="Medium buzzer"/>
    <s v="Sweat Bee"/>
    <s v="Sweat bee"/>
    <n v="676"/>
    <x v="1"/>
    <s v="Xmatkuil"/>
    <d v="2023-10-04T00:00:00"/>
    <n v="1"/>
    <s v="gleaning"/>
    <x v="1"/>
    <s v="Not buzzing"/>
    <m/>
    <m/>
    <m/>
    <m/>
    <m/>
    <m/>
    <m/>
    <m/>
    <n v="1"/>
    <s v="5-29"/>
    <n v="6"/>
    <n v="0"/>
    <n v="0"/>
    <n v="361"/>
  </r>
  <r>
    <s v="Pollinator_obs_human_MeX"/>
    <s v="Human observations"/>
    <s v="Hymenoptera"/>
    <s v="Apidae"/>
    <s v="Apinae"/>
    <s v="Euglossini"/>
    <s v="Eulaema"/>
    <s v="polychroma"/>
    <s v="Eulaema polychroma"/>
    <s v="Eulaema polychroma"/>
    <s v="Large buzzer"/>
    <s v="Euglossine"/>
    <m/>
    <n v="717"/>
    <x v="1"/>
    <s v="Xmatkuil"/>
    <d v="2023-10-09T00:00:00"/>
    <n v="1"/>
    <s v="buzz"/>
    <x v="2"/>
    <s v="Buzzing"/>
    <m/>
    <m/>
    <m/>
    <m/>
    <m/>
    <m/>
    <m/>
    <m/>
    <n v="1"/>
    <s v="&lt;5"/>
    <n v="18"/>
    <n v="0"/>
    <n v="0"/>
    <n v="362"/>
  </r>
  <r>
    <s v="Pollinator_obs_human_MeX"/>
    <s v="Human observations"/>
    <s v="Hymenoptera"/>
    <s v="Apidae"/>
    <s v="Apinae"/>
    <s v="Meliponini"/>
    <s v="Frieseomelitta"/>
    <s v="nigra"/>
    <s v="Frieseomelitta nigra"/>
    <s v="Meliponini"/>
    <s v="Small non-buzzer"/>
    <s v="Stingless Bee"/>
    <m/>
    <n v="688"/>
    <x v="1"/>
    <s v="Xmatkuil"/>
    <d v="2023-10-04T00:00:00"/>
    <n v="0"/>
    <s v="gleaning"/>
    <x v="1"/>
    <s v="Not buzzing"/>
    <m/>
    <m/>
    <m/>
    <m/>
    <m/>
    <m/>
    <m/>
    <m/>
    <n v="1"/>
    <s v="5-29"/>
    <n v="12"/>
    <n v="0"/>
    <n v="0"/>
    <n v="364"/>
  </r>
  <r>
    <s v="Pollinator_obs_human_MeX"/>
    <s v="Human observations"/>
    <s v="Hymenoptera"/>
    <s v="Apidae"/>
    <s v="Apinae"/>
    <s v="Meliponini"/>
    <s v="Frieseomelitta"/>
    <s v="nigra"/>
    <s v="Frieseomelitta nigra"/>
    <s v="Meliponini"/>
    <s v="Small non-buzzer"/>
    <s v="Stingless Bee"/>
    <m/>
    <n v="718"/>
    <x v="1"/>
    <s v="Xmatkuil"/>
    <d v="2023-10-09T00:00:00"/>
    <n v="0"/>
    <s v="gleaning"/>
    <x v="1"/>
    <s v="Not buzzing"/>
    <m/>
    <m/>
    <m/>
    <m/>
    <m/>
    <m/>
    <m/>
    <m/>
    <n v="2"/>
    <s v="29-60"/>
    <n v="34"/>
    <n v="0"/>
    <n v="0"/>
    <n v="366"/>
  </r>
  <r>
    <s v="Pollinator_obs_human_MeX"/>
    <s v="Human observations"/>
    <s v="Hymenoptera"/>
    <s v="Apidae"/>
    <s v="Apinae"/>
    <s v="Meliponini"/>
    <s v="Frieseomelitta"/>
    <s v="nigra"/>
    <s v="Frieseomelitta nigra"/>
    <s v="Meliponini"/>
    <s v="Small non-buzzer"/>
    <s v="Stingless Bee"/>
    <m/>
    <n v="760"/>
    <x v="1"/>
    <s v="Xmatkuil"/>
    <d v="2023-10-09T00:00:00"/>
    <n v="1"/>
    <s v="gleaning"/>
    <x v="1"/>
    <s v="Not buzzing"/>
    <m/>
    <m/>
    <m/>
    <m/>
    <m/>
    <m/>
    <m/>
    <m/>
    <n v="2"/>
    <s v="&gt;60"/>
    <n v="36"/>
    <n v="0"/>
    <n v="0"/>
    <n v="368"/>
  </r>
  <r>
    <s v="Pollinator_obs_human_MeX"/>
    <s v="Human observations"/>
    <s v="Hymenoptera"/>
    <s v="Apidae"/>
    <s v="Apinae"/>
    <s v="Meliponini"/>
    <s v="Melipona"/>
    <s v="beecheii"/>
    <s v="Melipona beecheii"/>
    <s v="Melipona beechei (Meliponini)"/>
    <s v="Medium buzzer"/>
    <s v="Royal Lady Bee"/>
    <m/>
    <n v="675"/>
    <x v="1"/>
    <s v="Xmatkuil"/>
    <d v="2023-10-04T00:00:00"/>
    <n v="1"/>
    <s v="buzz"/>
    <x v="2"/>
    <s v="Buzzing"/>
    <m/>
    <m/>
    <m/>
    <m/>
    <m/>
    <m/>
    <m/>
    <m/>
    <n v="2"/>
    <s v="5-29"/>
    <n v="8"/>
    <n v="0"/>
    <n v="0"/>
    <n v="373"/>
  </r>
  <r>
    <s v="Pollinator_obs_human_MeX"/>
    <s v="Human observations"/>
    <s v="Hymenoptera"/>
    <s v="Apidae"/>
    <s v="Apinae"/>
    <s v="Meliponini"/>
    <s v="Melipona"/>
    <s v="beecheii"/>
    <s v="Melipona beecheii"/>
    <s v="Melipona beechei (Meliponini)"/>
    <s v="Medium buzzer"/>
    <s v="Royal Lady Bee"/>
    <m/>
    <n v="689"/>
    <x v="1"/>
    <s v="Xmatkuil"/>
    <d v="2023-10-09T00:00:00"/>
    <n v="1"/>
    <s v="gleaning"/>
    <x v="1"/>
    <s v="Not buzzing"/>
    <m/>
    <m/>
    <m/>
    <m/>
    <m/>
    <m/>
    <m/>
    <m/>
    <n v="1"/>
    <s v="5-29"/>
    <n v="18"/>
    <n v="0"/>
    <n v="0"/>
    <n v="374"/>
  </r>
  <r>
    <s v="Pollinator_obs_human_MeX"/>
    <s v="Human observations"/>
    <s v="Hymenoptera"/>
    <s v="Apidae"/>
    <s v="Apinae"/>
    <s v="Meliponini"/>
    <s v="Melipona"/>
    <s v="beecheii"/>
    <s v="Melipona beecheii"/>
    <s v="Melipona beechei (Meliponini)"/>
    <s v="Medium buzzer"/>
    <s v="Royal Lady Bee"/>
    <m/>
    <n v="814"/>
    <x v="1"/>
    <s v="Xmatkuil"/>
    <d v="2023-10-09T00:00:00"/>
    <n v="1"/>
    <s v="gleaning"/>
    <x v="1"/>
    <s v="Not buzzing"/>
    <m/>
    <m/>
    <m/>
    <m/>
    <m/>
    <m/>
    <m/>
    <m/>
    <n v="2"/>
    <s v="5-29"/>
    <n v="36"/>
    <n v="0"/>
    <n v="0"/>
    <n v="376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50"/>
    <x v="1"/>
    <s v="Tekik de Regil"/>
    <d v="2023-10-11T00:00:00"/>
    <n v="0"/>
    <s v="gleaning"/>
    <x v="1"/>
    <s v="Not buzzing"/>
    <m/>
    <m/>
    <m/>
    <m/>
    <m/>
    <m/>
    <m/>
    <m/>
    <n v="2"/>
    <s v="&gt;60 (5mins)"/>
    <n v="13"/>
    <n v="12"/>
    <n v="7"/>
    <n v="382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m/>
    <n v="655"/>
    <x v="1"/>
    <s v="Tekik de Regil"/>
    <d v="2023-10-11T00:00:00"/>
    <n v="0"/>
    <s v="gleaning"/>
    <x v="1"/>
    <s v="Not buzzing"/>
    <m/>
    <m/>
    <m/>
    <m/>
    <m/>
    <m/>
    <m/>
    <m/>
    <n v="1"/>
    <s v="30-59"/>
    <n v="13"/>
    <n v="12"/>
    <n v="7"/>
    <n v="383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59"/>
    <x v="1"/>
    <s v="Tekik de Regil"/>
    <d v="2023-10-11T00:00:00"/>
    <n v="0"/>
    <s v="gleaning"/>
    <x v="1"/>
    <s v="Not buzzing"/>
    <m/>
    <m/>
    <m/>
    <m/>
    <m/>
    <m/>
    <m/>
    <m/>
    <n v="1"/>
    <s v="30-59"/>
    <n v="13"/>
    <n v="12"/>
    <n v="7"/>
    <n v="384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60"/>
    <x v="1"/>
    <s v="Tekik de Regil"/>
    <d v="2023-10-11T00:00:00"/>
    <n v="0"/>
    <s v="gleaning"/>
    <x v="1"/>
    <s v="Not buzzing"/>
    <m/>
    <m/>
    <m/>
    <m/>
    <m/>
    <m/>
    <m/>
    <m/>
    <n v="1"/>
    <s v="&gt;60"/>
    <n v="13"/>
    <n v="12"/>
    <n v="7"/>
    <n v="385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61"/>
    <x v="1"/>
    <s v="Tekik de Regil"/>
    <d v="2023-10-11T00:00:00"/>
    <n v="0"/>
    <s v="gleaning"/>
    <x v="1"/>
    <s v="Not buzzing"/>
    <m/>
    <m/>
    <m/>
    <m/>
    <m/>
    <m/>
    <m/>
    <m/>
    <n v="2"/>
    <s v="&lt;5"/>
    <n v="13"/>
    <n v="12"/>
    <n v="7"/>
    <n v="386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72"/>
    <x v="1"/>
    <s v="Tekik de Regil"/>
    <d v="2023-10-11T00:00:00"/>
    <n v="0"/>
    <s v="gleaning"/>
    <x v="1"/>
    <s v="Not buzzing"/>
    <m/>
    <m/>
    <m/>
    <m/>
    <m/>
    <m/>
    <m/>
    <m/>
    <n v="2"/>
    <s v="&gt;60"/>
    <n v="13"/>
    <n v="12"/>
    <n v="7"/>
    <n v="387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77"/>
    <x v="1"/>
    <s v="Xmatkuil"/>
    <d v="2023-10-04T00:00:00"/>
    <n v="0"/>
    <s v="gleaning"/>
    <x v="1"/>
    <s v="Not buzzing"/>
    <m/>
    <m/>
    <m/>
    <m/>
    <m/>
    <m/>
    <m/>
    <m/>
    <n v="1"/>
    <s v="5-29"/>
    <n v="9"/>
    <n v="0"/>
    <n v="0"/>
    <n v="378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78"/>
    <x v="1"/>
    <s v="Xmatkuil"/>
    <d v="2023-10-04T00:00:00"/>
    <n v="0"/>
    <s v="gleaning"/>
    <x v="1"/>
    <s v="Not buzzing"/>
    <m/>
    <m/>
    <m/>
    <m/>
    <m/>
    <m/>
    <m/>
    <m/>
    <n v="1"/>
    <s v="&lt;5"/>
    <n v="9"/>
    <n v="0"/>
    <n v="0"/>
    <n v="379"/>
  </r>
  <r>
    <s v="Pollinator_obs_human_MeX"/>
    <s v="Human observations"/>
    <s v="Hymenoptera"/>
    <s v="Apidae"/>
    <s v="Apinae"/>
    <s v="Meliponini"/>
    <s v="Nannotrigona"/>
    <s v="perilampoides"/>
    <s v="Nannotrigona perilampoides"/>
    <s v="Meliponini"/>
    <s v="Small non-buzzer"/>
    <s v="Stingless Bee"/>
    <s v="Mexican Pitted-Stingless bee"/>
    <n v="681"/>
    <x v="1"/>
    <s v="Xmatkuil"/>
    <d v="2023-10-04T00:00:00"/>
    <n v="0"/>
    <s v="gleaning"/>
    <x v="1"/>
    <s v="Not buzzing"/>
    <m/>
    <m/>
    <m/>
    <m/>
    <m/>
    <m/>
    <m/>
    <m/>
    <n v="1"/>
    <s v="5-29"/>
    <n v="9"/>
    <n v="0"/>
    <n v="0"/>
    <n v="381"/>
  </r>
  <r>
    <s v="Pollinator_obs_human_MeX"/>
    <s v="Human observations"/>
    <s v="Hymenoptera"/>
    <s v="Apidae"/>
    <s v="Apinae"/>
    <s v="Meliponini"/>
    <s v="Trigona"/>
    <s v="fulviventris"/>
    <s v="Trigona fulviventris"/>
    <s v="Meliponini"/>
    <s v="Small non-buzzer"/>
    <s v="Stingless Bee"/>
    <m/>
    <n v="537"/>
    <x v="1"/>
    <s v="Tekik de Regil"/>
    <d v="2023-10-02T00:00:00"/>
    <n v="1"/>
    <s v="gleaning"/>
    <x v="1"/>
    <s v="Not buzzing"/>
    <m/>
    <m/>
    <m/>
    <m/>
    <m/>
    <m/>
    <m/>
    <m/>
    <n v="3"/>
    <s v="30-59"/>
    <n v="12"/>
    <n v="24"/>
    <n v="10"/>
    <n v="390"/>
  </r>
  <r>
    <s v="Pollinator_obs_human_MeX"/>
    <s v="Human observations"/>
    <s v="Hymenoptera"/>
    <s v="Apidae"/>
    <s v="Apinae"/>
    <s v="Meliponini"/>
    <s v="Trigona"/>
    <s v="fulviventris"/>
    <s v="Trigona fulviventris"/>
    <s v="Meliponini"/>
    <s v="Small non-buzzer"/>
    <s v="Stingless Bee"/>
    <m/>
    <n v="603"/>
    <x v="1"/>
    <s v="Tekik de Regil"/>
    <d v="2023-10-11T00:00:00"/>
    <n v="1"/>
    <s v="gleaning"/>
    <x v="1"/>
    <s v="Not buzzing"/>
    <m/>
    <m/>
    <m/>
    <m/>
    <m/>
    <m/>
    <m/>
    <m/>
    <n v="1"/>
    <s v="5-29"/>
    <n v="10"/>
    <n v="4"/>
    <n v="0"/>
    <n v="402"/>
  </r>
  <r>
    <s v="Pollinator_obs_human_MeX"/>
    <s v="Human observations"/>
    <s v="Hymenoptera"/>
    <s v="Apidae"/>
    <s v="Apinae"/>
    <s v="Meliponini"/>
    <s v="Trigona"/>
    <s v="fulviventris"/>
    <s v="Trigona fulviventris"/>
    <s v="Meliponini"/>
    <s v="Small non-buzzer"/>
    <s v="Stingless Bee"/>
    <m/>
    <n v="629"/>
    <x v="1"/>
    <s v="Tekik de Regil"/>
    <d v="2023-10-11T00:00:00"/>
    <n v="0"/>
    <s v="gleaning"/>
    <x v="1"/>
    <s v="Not buzzing"/>
    <m/>
    <m/>
    <m/>
    <m/>
    <m/>
    <m/>
    <m/>
    <m/>
    <n v="2"/>
    <s v="&gt;60"/>
    <n v="9"/>
    <n v="19"/>
    <n v="0"/>
    <n v="405"/>
  </r>
  <r>
    <s v="Pollinator_obs_human_MeX"/>
    <s v="Human observations"/>
    <s v="Hymenoptera"/>
    <s v="Apidae"/>
    <s v="Apinae"/>
    <s v="Meliponini"/>
    <s v="Trigona"/>
    <s v="fulviventris"/>
    <s v="Trigona fulviventris"/>
    <s v="Meliponini"/>
    <s v="Small non-buzzer"/>
    <s v="Stingless Bee"/>
    <m/>
    <n v="648"/>
    <x v="1"/>
    <s v="Tekik de Regil"/>
    <d v="2023-10-11T00:00:00"/>
    <n v="1"/>
    <s v="gleaning"/>
    <x v="1"/>
    <s v="Not buzzing"/>
    <m/>
    <m/>
    <m/>
    <m/>
    <m/>
    <m/>
    <m/>
    <m/>
    <n v="2"/>
    <s v="30-59"/>
    <n v="13"/>
    <n v="12"/>
    <n v="7"/>
    <n v="4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4">
  <r>
    <s v="pollinator obs_Captured"/>
    <s v="Human observations"/>
    <s v="Coleoptera"/>
    <s v="Curculionidae"/>
    <s v="Molytinae"/>
    <s v="Mecysolobini"/>
    <s v="Cylindralcides"/>
    <x v="0"/>
    <x v="0"/>
    <s v="Others"/>
    <s v="Non bee, non-buzzer"/>
    <s v="Weevil"/>
    <s v="Weevil"/>
    <n v="1"/>
    <s v="Invasive"/>
    <s v="West Normanby River"/>
    <d v="2022-06-02T00:00:00"/>
    <m/>
    <m/>
    <x v="0"/>
    <x v="0"/>
    <n v="1"/>
    <n v="0"/>
    <x v="0"/>
    <n v="0"/>
    <m/>
    <n v="2"/>
    <n v="2.0299999999999998"/>
    <m/>
    <m/>
    <m/>
    <m/>
    <m/>
    <m/>
    <m/>
  </r>
  <r>
    <s v="pollinator obs_Captured"/>
    <s v="Human observations"/>
    <s v="Hymenoptera"/>
    <s v="Apidae"/>
    <s v="Apinae"/>
    <s v="Anthophorini"/>
    <s v="Amegilla"/>
    <x v="1"/>
    <x v="1"/>
    <s v="Amegilla species"/>
    <s v="Large buzzer"/>
    <s v="Blue Banded Bee"/>
    <s v="Blue Banded Bee"/>
    <n v="2"/>
    <s v="Invasive"/>
    <s v="Barron River"/>
    <d v="2022-06-30T00:00:00"/>
    <m/>
    <m/>
    <x v="0"/>
    <x v="0"/>
    <n v="1"/>
    <n v="1"/>
    <x v="1"/>
    <n v="184"/>
    <n v="0.85064935064935066"/>
    <n v="1"/>
    <n v="4.72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3"/>
    <s v="Invasive"/>
    <s v="Centenary Park"/>
    <d v="2022-05-26T00:00:00"/>
    <m/>
    <m/>
    <x v="0"/>
    <x v="0"/>
    <n v="1"/>
    <n v="1"/>
    <x v="2"/>
    <n v="0"/>
    <n v="1"/>
    <n v="1"/>
    <n v="0.48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4"/>
    <s v="Invasive"/>
    <s v="Centenary Park"/>
    <d v="2022-05-26T00:00:00"/>
    <m/>
    <m/>
    <x v="0"/>
    <x v="0"/>
    <n v="1"/>
    <n v="1"/>
    <x v="3"/>
    <n v="0"/>
    <n v="1"/>
    <n v="1"/>
    <n v="3.41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5"/>
    <s v="Invasive"/>
    <s v="Centenary Park"/>
    <d v="2022-05-26T00:00:00"/>
    <m/>
    <m/>
    <x v="0"/>
    <x v="0"/>
    <n v="1"/>
    <n v="1"/>
    <x v="4"/>
    <n v="0"/>
    <n v="1"/>
    <n v="1"/>
    <n v="3.72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6"/>
    <s v="Invasive"/>
    <s v="West Normanby River"/>
    <d v="2022-06-02T00:00:00"/>
    <m/>
    <m/>
    <x v="0"/>
    <x v="0"/>
    <n v="1"/>
    <n v="1"/>
    <x v="5"/>
    <n v="0"/>
    <n v="1"/>
    <n v="1"/>
    <n v="3.95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7"/>
    <s v="Invasive"/>
    <s v="Centenary Park"/>
    <d v="2022-05-26T00:00:00"/>
    <m/>
    <m/>
    <x v="0"/>
    <x v="0"/>
    <n v="1"/>
    <n v="1"/>
    <x v="6"/>
    <n v="0"/>
    <n v="1"/>
    <n v="1"/>
    <n v="4.03"/>
    <m/>
    <m/>
    <m/>
    <m/>
    <m/>
    <m/>
    <m/>
  </r>
  <r>
    <s v="pollinator obs_Captured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8"/>
    <s v="Invasive"/>
    <s v="ND"/>
    <n v="2022"/>
    <m/>
    <m/>
    <x v="0"/>
    <x v="0"/>
    <n v="1"/>
    <n v="1"/>
    <x v="7"/>
    <n v="31"/>
    <n v="0.9492635024549918"/>
    <n v="1"/>
    <n v="4.12"/>
    <m/>
    <m/>
    <m/>
    <m/>
    <m/>
    <m/>
    <m/>
  </r>
  <r>
    <s v="pollinator obs_Captured"/>
    <s v="Human observations"/>
    <s v="Hymenoptera"/>
    <s v="Chalcididae"/>
    <m/>
    <m/>
    <m/>
    <x v="3"/>
    <x v="3"/>
    <s v="Others"/>
    <s v="Non bee, non-buzzer"/>
    <s v="Wasp"/>
    <s v="Wasp (2)"/>
    <n v="33"/>
    <s v="Invasive"/>
    <s v="Barron River"/>
    <d v="2022-05-16T00:00:00"/>
    <m/>
    <m/>
    <x v="0"/>
    <x v="0"/>
    <n v="1"/>
    <n v="1"/>
    <x v="0"/>
    <n v="0"/>
    <m/>
    <n v="1"/>
    <n v="1.67"/>
    <m/>
    <m/>
    <m/>
    <m/>
    <m/>
    <m/>
    <m/>
  </r>
  <r>
    <s v="pollinator obs_Captured"/>
    <s v="Human observations"/>
    <s v="Hymenoptera"/>
    <s v="Halictidae"/>
    <s v="Halictinae"/>
    <s v="Halictini"/>
    <s v="Homalictus"/>
    <x v="1"/>
    <x v="4"/>
    <s v="Halictidae"/>
    <s v="Medium buzzer"/>
    <s v="Sweat Bee"/>
    <s v="Sweat bee (5)"/>
    <n v="46"/>
    <s v="Invasive"/>
    <s v="Springvale"/>
    <d v="2020-06-15T00:00:00"/>
    <m/>
    <m/>
    <x v="0"/>
    <x v="0"/>
    <n v="1"/>
    <n v="1"/>
    <x v="8"/>
    <m/>
    <m/>
    <n v="1"/>
    <n v="1.1499999999999999"/>
    <m/>
    <m/>
    <m/>
    <m/>
    <m/>
    <m/>
    <m/>
  </r>
  <r>
    <s v="pollinator obs_Captured"/>
    <s v="Human observations"/>
    <s v="Hymenoptera"/>
    <s v="Halictidae"/>
    <s v="Halictinae"/>
    <s v="Halictini"/>
    <s v="Homalictus"/>
    <x v="1"/>
    <x v="4"/>
    <s v="Halictidae"/>
    <s v="Medium buzzer"/>
    <s v="Sweat Bee"/>
    <s v="Sweat bee (5)"/>
    <n v="47"/>
    <s v="Invasive"/>
    <s v="Springvale"/>
    <d v="2020-06-15T00:00:00"/>
    <m/>
    <m/>
    <x v="0"/>
    <x v="0"/>
    <n v="1"/>
    <n v="1"/>
    <x v="8"/>
    <m/>
    <m/>
    <n v="1"/>
    <n v="1.6"/>
    <m/>
    <m/>
    <m/>
    <m/>
    <m/>
    <m/>
    <m/>
  </r>
  <r>
    <s v="pollinator obs_Captured"/>
    <s v="Human observations"/>
    <s v="Hymenoptera"/>
    <s v="Halictidae"/>
    <s v="Halictinae"/>
    <s v="Halictini"/>
    <s v="Homalictus"/>
    <x v="1"/>
    <x v="4"/>
    <s v="Halictidae"/>
    <s v="Medium buzzer"/>
    <s v="Sweat Bee"/>
    <s v="Sweat bee (5)"/>
    <n v="48"/>
    <s v="Invasive"/>
    <s v="Springvale"/>
    <d v="2020-06-15T00:00:00"/>
    <m/>
    <m/>
    <x v="0"/>
    <x v="0"/>
    <n v="1"/>
    <n v="1"/>
    <x v="9"/>
    <n v="3"/>
    <n v="0.99976061283115225"/>
    <n v="1"/>
    <n v="1.68"/>
    <m/>
    <m/>
    <m/>
    <m/>
    <m/>
    <m/>
    <m/>
  </r>
  <r>
    <s v="pollinator obs_Captured"/>
    <s v="Human observations"/>
    <s v="Hymenoptera"/>
    <s v="Halictidae"/>
    <s v="Halictinae"/>
    <s v="Halictini"/>
    <s v="Homalictus"/>
    <x v="1"/>
    <x v="4"/>
    <s v="Halictidae"/>
    <s v="Medium buzzer"/>
    <s v="Sweat Bee"/>
    <s v="Sweat bee (5)"/>
    <n v="49"/>
    <s v="Invasive"/>
    <s v="Springvale"/>
    <d v="2020-06-15T00:00:00"/>
    <m/>
    <m/>
    <x v="0"/>
    <x v="0"/>
    <n v="1"/>
    <n v="1"/>
    <x v="10"/>
    <n v="9349"/>
    <n v="-14.103392568659128"/>
    <n v="2"/>
    <n v="1.88"/>
    <m/>
    <m/>
    <m/>
    <m/>
    <m/>
    <m/>
    <m/>
  </r>
  <r>
    <s v="pollinator obs_Captured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6"/>
    <s v="Invasive"/>
    <s v="Barron River"/>
    <d v="2022-06-15T00:00:00"/>
    <m/>
    <m/>
    <x v="0"/>
    <x v="0"/>
    <n v="1"/>
    <n v="1"/>
    <x v="11"/>
    <n v="0"/>
    <n v="1"/>
    <n v="1"/>
    <n v="3.24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7"/>
    <s v="Invasive"/>
    <s v="White Rock"/>
    <d v="2022-06-13T00:00:00"/>
    <m/>
    <m/>
    <x v="0"/>
    <x v="0"/>
    <n v="1"/>
    <n v="1"/>
    <x v="12"/>
    <n v="0"/>
    <n v="1"/>
    <n v="2"/>
    <n v="2.15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8"/>
    <s v="Invasive"/>
    <s v="White Rock"/>
    <d v="2022-06-13T00:00:00"/>
    <m/>
    <m/>
    <x v="0"/>
    <x v="0"/>
    <n v="1"/>
    <n v="1"/>
    <x v="13"/>
    <n v="20"/>
    <n v="0.99502611290723697"/>
    <n v="2"/>
    <n v="2.58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9"/>
    <s v="Invasive"/>
    <s v="White Rock"/>
    <d v="2022-07-01T00:00:00"/>
    <m/>
    <m/>
    <x v="0"/>
    <x v="0"/>
    <n v="1"/>
    <n v="1"/>
    <x v="14"/>
    <n v="0"/>
    <n v="1"/>
    <n v="1"/>
    <n v="2.74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40"/>
    <s v="Invasive"/>
    <s v="White Rock"/>
    <d v="2022-06-23T00:00:00"/>
    <m/>
    <m/>
    <x v="0"/>
    <x v="0"/>
    <n v="1"/>
    <n v="1"/>
    <x v="15"/>
    <n v="0"/>
    <n v="1"/>
    <n v="1"/>
    <n v="2.85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41"/>
    <s v="Invasive"/>
    <s v="White Rock"/>
    <d v="2022-06-23T00:00:00"/>
    <m/>
    <m/>
    <x v="0"/>
    <x v="0"/>
    <n v="1"/>
    <n v="1"/>
    <x v="16"/>
    <n v="8"/>
    <n v="0.99944979367262721"/>
    <n v="1"/>
    <n v="2.94"/>
    <m/>
    <m/>
    <m/>
    <m/>
    <m/>
    <m/>
    <m/>
  </r>
  <r>
    <s v="pollinator obs_Captured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42"/>
    <s v="Invasive"/>
    <s v="White Rock"/>
    <d v="2022-07-01T00:00:00"/>
    <m/>
    <m/>
    <x v="0"/>
    <x v="0"/>
    <n v="1"/>
    <n v="1"/>
    <x v="17"/>
    <n v="0"/>
    <n v="1"/>
    <n v="1"/>
    <n v="3.07"/>
    <m/>
    <m/>
    <m/>
    <m/>
    <m/>
    <m/>
    <m/>
  </r>
  <r>
    <s v="pollinator obs_Captured"/>
    <s v="Human observations"/>
    <s v="Hymenoptera"/>
    <s v="Colletidae"/>
    <s v="Hylaeinae"/>
    <m/>
    <s v="Palaeorhiza"/>
    <x v="1"/>
    <x v="7"/>
    <s v="Palaeorhiza species"/>
    <s v="Medium non-buzzer"/>
    <s v="Plasterer Bee"/>
    <s v="Plasterer Bees"/>
    <n v="34"/>
    <s v="Invasive"/>
    <s v="White Rock"/>
    <d v="2022-07-01T00:00:00"/>
    <m/>
    <m/>
    <x v="0"/>
    <x v="0"/>
    <n v="1"/>
    <n v="1"/>
    <x v="18"/>
    <n v="0"/>
    <n v="1"/>
    <n v="2"/>
    <n v="2.42"/>
    <m/>
    <m/>
    <m/>
    <m/>
    <m/>
    <m/>
    <m/>
  </r>
  <r>
    <s v="pollinator obs_Captured"/>
    <s v="Human observations"/>
    <s v="Hymenoptera"/>
    <s v="Colletidae"/>
    <s v="Hylaeinae"/>
    <m/>
    <s v="Palaeorhiza"/>
    <x v="1"/>
    <x v="7"/>
    <s v="Palaeorhiza species"/>
    <s v="Medium non-buzzer"/>
    <s v="Plasterer Bee"/>
    <s v="Plasterer Bees"/>
    <n v="35"/>
    <s v="Invasive"/>
    <s v="White Rock"/>
    <d v="2022-07-01T00:00:00"/>
    <m/>
    <m/>
    <x v="0"/>
    <x v="0"/>
    <n v="1"/>
    <n v="1"/>
    <x v="0"/>
    <n v="0"/>
    <m/>
    <n v="2"/>
    <n v="2.4900000000000002"/>
    <m/>
    <m/>
    <m/>
    <m/>
    <m/>
    <m/>
    <m/>
  </r>
  <r>
    <s v="pollinator obs_Captured"/>
    <s v="Human observations"/>
    <s v="Hymenoptera"/>
    <s v="Halictidae"/>
    <s v="Halictinae"/>
    <s v="Halictini"/>
    <s v="Patellapis"/>
    <x v="4"/>
    <x v="8"/>
    <s v="Halictidae"/>
    <s v="Medium buzzer"/>
    <s v="Halictidae"/>
    <s v="Sweat bee (4)"/>
    <n v="43"/>
    <s v="Invasive"/>
    <s v="West Normanby River"/>
    <d v="2022-06-07T00:00:00"/>
    <m/>
    <m/>
    <x v="0"/>
    <x v="0"/>
    <n v="1"/>
    <n v="1"/>
    <x v="8"/>
    <m/>
    <m/>
    <n v="2"/>
    <n v="1.93"/>
    <m/>
    <m/>
    <m/>
    <m/>
    <m/>
    <m/>
    <m/>
  </r>
  <r>
    <s v="pollinator obs_Captured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44"/>
    <s v="Invasive"/>
    <s v="Centenary Park"/>
    <d v="2022-05-26T00:00:00"/>
    <m/>
    <m/>
    <x v="0"/>
    <x v="0"/>
    <n v="1"/>
    <n v="1"/>
    <x v="19"/>
    <n v="0"/>
    <n v="1"/>
    <n v="2"/>
    <n v="2.35"/>
    <m/>
    <m/>
    <m/>
    <m/>
    <m/>
    <m/>
    <m/>
  </r>
  <r>
    <s v="pollinator obs_Captured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45"/>
    <s v="Invasive"/>
    <s v="West Normanby River"/>
    <d v="2022-06-02T00:00:00"/>
    <m/>
    <m/>
    <x v="0"/>
    <x v="0"/>
    <n v="1"/>
    <n v="1"/>
    <x v="20"/>
    <n v="0"/>
    <n v="1"/>
    <n v="2"/>
    <n v="2.4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9"/>
    <s v="Invasive"/>
    <s v="West Normanby River"/>
    <d v="2022-06-02T00:00:00"/>
    <m/>
    <m/>
    <x v="0"/>
    <x v="0"/>
    <n v="1"/>
    <n v="1"/>
    <x v="21"/>
    <n v="0"/>
    <n v="1"/>
    <n v="1"/>
    <n v="1.65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0"/>
    <s v="Invasive"/>
    <s v="West Normanby River"/>
    <d v="2022-06-02T00:00:00"/>
    <m/>
    <m/>
    <x v="0"/>
    <x v="0"/>
    <n v="1"/>
    <n v="0"/>
    <x v="22"/>
    <n v="0"/>
    <n v="1"/>
    <n v="1"/>
    <n v="1.19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1"/>
    <s v="Invasive"/>
    <s v="Centenary Park"/>
    <d v="2022-05-26T00:00:00"/>
    <m/>
    <m/>
    <x v="0"/>
    <x v="0"/>
    <n v="1"/>
    <n v="0"/>
    <x v="0"/>
    <n v="0"/>
    <m/>
    <n v="1"/>
    <n v="1.33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2"/>
    <s v="Invasive"/>
    <s v="Centenary Park"/>
    <d v="2022-05-26T00:00:00"/>
    <m/>
    <m/>
    <x v="0"/>
    <x v="0"/>
    <n v="1"/>
    <n v="0"/>
    <x v="23"/>
    <n v="0"/>
    <n v="1"/>
    <n v="1"/>
    <n v="1.42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3"/>
    <s v="Invasive"/>
    <s v="West Normanby River"/>
    <d v="2022-06-02T00:00:00"/>
    <m/>
    <m/>
    <x v="0"/>
    <x v="0"/>
    <n v="0"/>
    <n v="0"/>
    <x v="8"/>
    <m/>
    <m/>
    <n v="1"/>
    <n v="1.69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4"/>
    <s v="Invasive"/>
    <s v="West Normanby River"/>
    <d v="2022-06-02T00:00:00"/>
    <m/>
    <m/>
    <x v="0"/>
    <x v="0"/>
    <n v="1"/>
    <n v="1"/>
    <x v="24"/>
    <n v="0"/>
    <n v="1"/>
    <n v="1"/>
    <n v="1.69"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5"/>
    <s v="Invasive"/>
    <s v="Centenary Park"/>
    <d v="2022-05-26T00:00:00"/>
    <m/>
    <m/>
    <x v="0"/>
    <x v="0"/>
    <n v="0"/>
    <n v="1"/>
    <x v="25"/>
    <n v="0"/>
    <n v="1"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"/>
    <s v="Invasive"/>
    <s v="Centenary Park"/>
    <d v="2022-05-26T00:00:00"/>
    <m/>
    <m/>
    <x v="0"/>
    <x v="0"/>
    <n v="0"/>
    <n v="1"/>
    <x v="17"/>
    <n v="0"/>
    <n v="1"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"/>
    <s v="Invasive"/>
    <s v="Centenary Park"/>
    <d v="2022-05-26T00:00:00"/>
    <m/>
    <m/>
    <x v="0"/>
    <x v="0"/>
    <n v="0"/>
    <n v="1"/>
    <x v="14"/>
    <n v="0"/>
    <n v="1"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"/>
    <s v="Invasive"/>
    <s v="West Normanby River"/>
    <d v="2022-06-02T00:00:00"/>
    <m/>
    <m/>
    <x v="0"/>
    <x v="0"/>
    <n v="0"/>
    <n v="0"/>
    <x v="8"/>
    <m/>
    <m/>
    <m/>
    <m/>
    <m/>
    <m/>
    <m/>
    <m/>
    <m/>
    <m/>
    <m/>
  </r>
  <r>
    <s v="pollinator obs_Captured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"/>
    <s v="Invasive"/>
    <s v="West Normanby River"/>
    <d v="2022-06-02T00:00:00"/>
    <m/>
    <m/>
    <x v="0"/>
    <x v="0"/>
    <n v="1"/>
    <n v="0"/>
    <x v="26"/>
    <n v="0"/>
    <n v="1"/>
    <m/>
    <m/>
    <m/>
    <m/>
    <m/>
    <m/>
    <m/>
    <m/>
    <m/>
  </r>
  <r>
    <s v="pollinator obs_Captured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29"/>
    <s v="Invasive"/>
    <s v="Springvale"/>
    <d v="2022-06-15T00:00:00"/>
    <m/>
    <m/>
    <x v="0"/>
    <x v="0"/>
    <n v="1"/>
    <n v="1"/>
    <x v="27"/>
    <n v="0"/>
    <n v="1"/>
    <n v="1"/>
    <n v="7.42"/>
    <m/>
    <m/>
    <m/>
    <m/>
    <m/>
    <m/>
    <m/>
  </r>
  <r>
    <s v="pollinator obs_Captured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0"/>
    <s v="Invasive"/>
    <s v="Barron River"/>
    <d v="2022-06-30T00:00:00"/>
    <m/>
    <m/>
    <x v="0"/>
    <x v="0"/>
    <n v="1"/>
    <n v="1"/>
    <x v="28"/>
    <n v="0"/>
    <n v="1"/>
    <n v="1"/>
    <n v="8.1199999999999992"/>
    <m/>
    <m/>
    <m/>
    <m/>
    <m/>
    <m/>
    <m/>
  </r>
  <r>
    <s v="pollinator obs_Captured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1"/>
    <s v="Invasive"/>
    <s v="Springvale"/>
    <d v="2022-06-15T00:00:00"/>
    <m/>
    <m/>
    <x v="0"/>
    <x v="0"/>
    <n v="1"/>
    <n v="1"/>
    <x v="29"/>
    <n v="0"/>
    <n v="1"/>
    <n v="1"/>
    <n v="8.2100000000000009"/>
    <m/>
    <m/>
    <m/>
    <m/>
    <m/>
    <m/>
    <m/>
  </r>
  <r>
    <s v="pollinator obs_Captured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2"/>
    <s v="Invasive"/>
    <s v="Springvale"/>
    <d v="2022-06-15T00:00:00"/>
    <m/>
    <m/>
    <x v="0"/>
    <x v="0"/>
    <n v="1"/>
    <n v="1"/>
    <x v="30"/>
    <n v="0"/>
    <n v="1"/>
    <n v="1"/>
    <n v="8.6199999999999992"/>
    <m/>
    <m/>
    <m/>
    <m/>
    <m/>
    <m/>
    <m/>
  </r>
  <r>
    <s v="pollinator obs_DVR"/>
    <s v="DVR"/>
    <s v="Hymenoptera"/>
    <s v="Apidae"/>
    <s v="Apinae"/>
    <s v="Apini"/>
    <s v="Apis"/>
    <x v="2"/>
    <x v="2"/>
    <s v="Apis mellifera"/>
    <s v="Medium non-buzzer"/>
    <s v="Honey Bee"/>
    <s v="Honey Bee"/>
    <n v="50"/>
    <s v="Invasive"/>
    <s v="Centenary Park"/>
    <s v="26 May_0930 CP_GoPro"/>
    <n v="1"/>
    <s v="Asleep hugging the anther"/>
    <x v="0"/>
    <x v="0"/>
    <m/>
    <m/>
    <x v="8"/>
    <m/>
    <m/>
    <m/>
    <m/>
    <m/>
    <n v="1"/>
    <m/>
    <n v="3"/>
    <m/>
    <m/>
    <n v="1"/>
  </r>
  <r>
    <s v="pollinator obs_DVR"/>
    <s v="DVR"/>
    <s v="Hymenoptera"/>
    <s v="Halictidae"/>
    <s v="Halictinae"/>
    <s v="Halictini"/>
    <s v="Homalictus"/>
    <x v="1"/>
    <x v="4"/>
    <s v="Halictidae"/>
    <s v="Medium buzzer"/>
    <s v="Sweat Bee"/>
    <s v="Sweat bee (5)"/>
    <n v="120"/>
    <s v="Invasive"/>
    <s v="Springvale"/>
    <s v="15 Jun_0900 Springvale"/>
    <m/>
    <m/>
    <x v="0"/>
    <x v="0"/>
    <m/>
    <m/>
    <x v="8"/>
    <m/>
    <m/>
    <m/>
    <m/>
    <m/>
    <n v="1"/>
    <m/>
    <n v="3"/>
    <m/>
    <m/>
    <n v="2"/>
  </r>
  <r>
    <s v="pollinator obs_DVR"/>
    <s v="DVR"/>
    <s v="Hymenoptera"/>
    <s v="Halictidae"/>
    <s v="Halictinae"/>
    <s v="Halictini"/>
    <s v="Homalictus"/>
    <x v="1"/>
    <x v="4"/>
    <s v="Halictidae"/>
    <s v="Medium buzzer"/>
    <s v="Sweat Bee"/>
    <s v="Sweat bee (5)"/>
    <n v="121"/>
    <s v="Invasive"/>
    <s v="Springvale"/>
    <s v="15 Jun_0900 Springvale"/>
    <m/>
    <m/>
    <x v="0"/>
    <x v="0"/>
    <m/>
    <m/>
    <x v="8"/>
    <m/>
    <m/>
    <m/>
    <m/>
    <m/>
    <n v="1"/>
    <m/>
    <n v="2"/>
    <m/>
    <m/>
    <n v="3"/>
  </r>
  <r>
    <s v="pollinator obs_DVR"/>
    <s v="DVR"/>
    <s v="Hymenoptera"/>
    <s v="Halictidae"/>
    <s v="Halictinae"/>
    <s v="Halictini"/>
    <s v="Homalictus"/>
    <x v="1"/>
    <x v="4"/>
    <s v="Halictidae"/>
    <s v="Medium buzzer"/>
    <s v="Sweat Bee"/>
    <s v="Sweat bee (5)"/>
    <n v="122"/>
    <s v="Invasive"/>
    <s v="White Rock"/>
    <s v="22 Jun_1030 WR_GoPro"/>
    <m/>
    <m/>
    <x v="0"/>
    <x v="0"/>
    <m/>
    <m/>
    <x v="8"/>
    <m/>
    <m/>
    <m/>
    <m/>
    <m/>
    <n v="1"/>
    <m/>
    <n v="2"/>
    <m/>
    <m/>
    <n v="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55"/>
    <s v="Invasive"/>
    <s v="Centenary Park"/>
    <s v="26 May_0840 CP"/>
    <m/>
    <s v="Biting"/>
    <x v="1"/>
    <x v="1"/>
    <m/>
    <m/>
    <x v="8"/>
    <m/>
    <m/>
    <m/>
    <m/>
    <m/>
    <n v="1"/>
    <m/>
    <n v="2"/>
    <m/>
    <m/>
    <n v="6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56"/>
    <s v="Invasive"/>
    <s v="Springvale"/>
    <s v="15 Jun_0900 Springvale"/>
    <n v="1"/>
    <s v="Biting"/>
    <x v="1"/>
    <x v="1"/>
    <m/>
    <m/>
    <x v="8"/>
    <m/>
    <m/>
    <m/>
    <m/>
    <m/>
    <n v="1"/>
    <m/>
    <n v="2"/>
    <m/>
    <m/>
    <n v="6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57"/>
    <s v="Invasive"/>
    <s v="Springvale"/>
    <s v="15 Jun_0900 Springvale"/>
    <m/>
    <s v="Biting"/>
    <x v="1"/>
    <x v="1"/>
    <m/>
    <m/>
    <x v="8"/>
    <m/>
    <m/>
    <m/>
    <m/>
    <m/>
    <n v="1"/>
    <m/>
    <n v="2"/>
    <m/>
    <m/>
    <n v="6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58"/>
    <s v="Invasive"/>
    <s v="West Normanby River"/>
    <s v="01Jun_1030 WNR"/>
    <n v="1"/>
    <s v="Biting"/>
    <x v="1"/>
    <x v="1"/>
    <m/>
    <m/>
    <x v="8"/>
    <m/>
    <m/>
    <m/>
    <m/>
    <m/>
    <n v="1"/>
    <m/>
    <n v="2"/>
    <m/>
    <m/>
    <n v="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59"/>
    <s v="Invasive"/>
    <s v="West Normanby River"/>
    <s v="01Jun_1030 WNR"/>
    <n v="0"/>
    <s v="Biting"/>
    <x v="1"/>
    <x v="1"/>
    <m/>
    <m/>
    <x v="8"/>
    <m/>
    <m/>
    <m/>
    <m/>
    <m/>
    <n v="1"/>
    <m/>
    <n v="2"/>
    <m/>
    <m/>
    <n v="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0"/>
    <s v="Invasive"/>
    <s v="West Normanby River"/>
    <s v="01Jun_1030 WNR"/>
    <n v="0"/>
    <s v="Biting"/>
    <x v="1"/>
    <x v="1"/>
    <m/>
    <m/>
    <x v="8"/>
    <m/>
    <m/>
    <m/>
    <m/>
    <m/>
    <n v="1"/>
    <m/>
    <n v="2"/>
    <m/>
    <m/>
    <n v="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1"/>
    <s v="Invasive"/>
    <s v="West Normanby River"/>
    <s v="01Jun_1030 WNR"/>
    <n v="0"/>
    <s v="Biting"/>
    <x v="1"/>
    <x v="1"/>
    <m/>
    <m/>
    <x v="8"/>
    <m/>
    <m/>
    <m/>
    <m/>
    <m/>
    <n v="1"/>
    <m/>
    <n v="1"/>
    <m/>
    <m/>
    <n v="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2"/>
    <s v="Invasive"/>
    <s v="West Normanby River"/>
    <s v="01Jun_1030 WNR"/>
    <n v="0"/>
    <s v="Biting"/>
    <x v="1"/>
    <x v="1"/>
    <m/>
    <m/>
    <x v="8"/>
    <m/>
    <m/>
    <m/>
    <m/>
    <m/>
    <n v="1"/>
    <m/>
    <n v="4"/>
    <m/>
    <m/>
    <n v="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3"/>
    <s v="Invasive"/>
    <s v="West Normanby River"/>
    <s v="01Jun_1030 WNR"/>
    <n v="0"/>
    <s v="Biting"/>
    <x v="1"/>
    <x v="1"/>
    <m/>
    <m/>
    <x v="8"/>
    <m/>
    <m/>
    <m/>
    <m/>
    <m/>
    <n v="1"/>
    <m/>
    <n v="1"/>
    <m/>
    <m/>
    <n v="1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4"/>
    <s v="Invasive"/>
    <s v="West Normanby River"/>
    <s v="01Jun_1030 WNR"/>
    <n v="0"/>
    <s v="Biting"/>
    <x v="1"/>
    <x v="1"/>
    <m/>
    <m/>
    <x v="8"/>
    <m/>
    <m/>
    <m/>
    <m/>
    <m/>
    <n v="1"/>
    <m/>
    <n v="3"/>
    <m/>
    <m/>
    <n v="1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5"/>
    <s v="Invasive"/>
    <s v="West Normanby River"/>
    <s v="01Jun_1030 WNR"/>
    <n v="1"/>
    <s v="Biting"/>
    <x v="1"/>
    <x v="1"/>
    <m/>
    <m/>
    <x v="8"/>
    <m/>
    <m/>
    <m/>
    <m/>
    <m/>
    <n v="1"/>
    <m/>
    <n v="3"/>
    <m/>
    <m/>
    <n v="1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6"/>
    <s v="Invasive"/>
    <s v="West Normanby River"/>
    <s v="01Jun_1030 WNR"/>
    <n v="0"/>
    <s v="Biting"/>
    <x v="1"/>
    <x v="1"/>
    <m/>
    <m/>
    <x v="8"/>
    <m/>
    <m/>
    <m/>
    <m/>
    <m/>
    <n v="1"/>
    <m/>
    <n v="1"/>
    <m/>
    <m/>
    <n v="1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7"/>
    <s v="Invasive"/>
    <s v="West Normanby River"/>
    <s v="01Jun_1030 WNR"/>
    <n v="0"/>
    <s v="Biting"/>
    <x v="1"/>
    <x v="1"/>
    <m/>
    <m/>
    <x v="8"/>
    <m/>
    <m/>
    <m/>
    <m/>
    <m/>
    <n v="1"/>
    <m/>
    <n v="1"/>
    <m/>
    <m/>
    <n v="1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8"/>
    <s v="Invasive"/>
    <s v="West Normanby River"/>
    <s v="01Jun_1030 WNR"/>
    <n v="0"/>
    <s v="Biting"/>
    <x v="1"/>
    <x v="1"/>
    <m/>
    <m/>
    <x v="8"/>
    <m/>
    <m/>
    <m/>
    <m/>
    <m/>
    <n v="1"/>
    <m/>
    <n v="1"/>
    <m/>
    <m/>
    <n v="1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69"/>
    <s v="Invasive"/>
    <s v="West Normanby River"/>
    <s v="01Jun_1030 WNR"/>
    <n v="0"/>
    <s v="Biting"/>
    <x v="1"/>
    <x v="1"/>
    <m/>
    <m/>
    <x v="8"/>
    <m/>
    <m/>
    <m/>
    <m/>
    <m/>
    <n v="1"/>
    <m/>
    <n v="3"/>
    <m/>
    <m/>
    <n v="1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0"/>
    <s v="Invasive"/>
    <s v="West Normanby River"/>
    <s v="01Jun_1030 WNR"/>
    <n v="1"/>
    <s v="Biting"/>
    <x v="1"/>
    <x v="1"/>
    <m/>
    <m/>
    <x v="8"/>
    <m/>
    <m/>
    <m/>
    <m/>
    <m/>
    <n v="1"/>
    <m/>
    <n v="3"/>
    <m/>
    <m/>
    <n v="1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1"/>
    <s v="Invasive"/>
    <s v="West Normanby River"/>
    <s v="01Jun_1030 WNR"/>
    <n v="1"/>
    <s v="Biting"/>
    <x v="1"/>
    <x v="1"/>
    <m/>
    <m/>
    <x v="8"/>
    <m/>
    <m/>
    <m/>
    <m/>
    <m/>
    <n v="1"/>
    <m/>
    <n v="3"/>
    <m/>
    <m/>
    <n v="1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2"/>
    <s v="Invasive"/>
    <s v="West Normanby River"/>
    <s v="01Jun_1030 WNR"/>
    <n v="0"/>
    <s v="Biting"/>
    <x v="1"/>
    <x v="1"/>
    <m/>
    <m/>
    <x v="8"/>
    <m/>
    <m/>
    <m/>
    <m/>
    <m/>
    <n v="1"/>
    <m/>
    <n v="3"/>
    <m/>
    <m/>
    <n v="1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3"/>
    <s v="Invasive"/>
    <s v="West Normanby River"/>
    <s v="01Jun_1030 WNR"/>
    <n v="1"/>
    <s v="Biting"/>
    <x v="1"/>
    <x v="1"/>
    <m/>
    <m/>
    <x v="8"/>
    <m/>
    <m/>
    <m/>
    <m/>
    <m/>
    <n v="1"/>
    <m/>
    <n v="3"/>
    <m/>
    <m/>
    <n v="2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4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2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5"/>
    <s v="Invasive"/>
    <s v="West Normanby River"/>
    <s v="01Jun_1030 WNR"/>
    <m/>
    <m/>
    <x v="0"/>
    <x v="0"/>
    <m/>
    <m/>
    <x v="8"/>
    <m/>
    <m/>
    <m/>
    <m/>
    <m/>
    <n v="1"/>
    <m/>
    <n v="1"/>
    <m/>
    <m/>
    <n v="2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6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2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7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2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8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2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79"/>
    <s v="Invasive"/>
    <s v="West Normanby River"/>
    <s v="01Jun_1030 WNR"/>
    <m/>
    <m/>
    <x v="0"/>
    <x v="0"/>
    <m/>
    <m/>
    <x v="8"/>
    <m/>
    <m/>
    <m/>
    <m/>
    <m/>
    <n v="1"/>
    <m/>
    <n v="1"/>
    <m/>
    <m/>
    <n v="2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0"/>
    <s v="Invasive"/>
    <s v="West Normanby River"/>
    <s v="01Jun_1030 WNR"/>
    <m/>
    <m/>
    <x v="0"/>
    <x v="0"/>
    <m/>
    <m/>
    <x v="8"/>
    <m/>
    <m/>
    <m/>
    <m/>
    <m/>
    <n v="1"/>
    <m/>
    <n v="1"/>
    <m/>
    <m/>
    <n v="2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1"/>
    <s v="Invasive"/>
    <s v="West Normanby River"/>
    <s v="01Jun_1030 WNR"/>
    <m/>
    <m/>
    <x v="0"/>
    <x v="0"/>
    <m/>
    <m/>
    <x v="8"/>
    <m/>
    <m/>
    <m/>
    <m/>
    <m/>
    <n v="1"/>
    <m/>
    <n v="1"/>
    <m/>
    <m/>
    <n v="2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2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2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3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4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5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6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7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8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89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0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1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2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3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3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4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5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6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7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8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99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0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1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2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4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3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5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4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5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5"/>
    <s v="Invasive"/>
    <s v="West Normanby River"/>
    <s v="01Jun_1030 WNR"/>
    <m/>
    <m/>
    <x v="0"/>
    <x v="0"/>
    <m/>
    <m/>
    <x v="8"/>
    <m/>
    <m/>
    <m/>
    <m/>
    <m/>
    <n v="1"/>
    <m/>
    <n v="3"/>
    <m/>
    <m/>
    <n v="5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6"/>
    <s v="Invasive"/>
    <s v="West Normanby River"/>
    <s v="01Jun_1030 WNR"/>
    <n v="0"/>
    <s v="Biting"/>
    <x v="1"/>
    <x v="1"/>
    <m/>
    <m/>
    <x v="8"/>
    <m/>
    <m/>
    <m/>
    <m/>
    <m/>
    <n v="1"/>
    <m/>
    <n v="3"/>
    <m/>
    <m/>
    <n v="5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7"/>
    <s v="Invasive"/>
    <s v="West Normanby River"/>
    <s v="01Jun_1030 WNR"/>
    <n v="0"/>
    <s v="Biting"/>
    <x v="1"/>
    <x v="1"/>
    <m/>
    <m/>
    <x v="8"/>
    <m/>
    <m/>
    <m/>
    <m/>
    <m/>
    <n v="1"/>
    <m/>
    <n v="3"/>
    <m/>
    <m/>
    <n v="5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8"/>
    <s v="Invasive"/>
    <s v="West Normanby River"/>
    <s v="14 Jun_1200 WNR"/>
    <n v="1"/>
    <s v="Biting"/>
    <x v="1"/>
    <x v="1"/>
    <m/>
    <m/>
    <x v="8"/>
    <m/>
    <m/>
    <m/>
    <m/>
    <m/>
    <n v="1"/>
    <m/>
    <n v="3"/>
    <m/>
    <m/>
    <n v="55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09"/>
    <s v="Invasive"/>
    <s v="West Normanby River"/>
    <s v="14 Jun_1200 WNR"/>
    <n v="0"/>
    <s v="Biting"/>
    <x v="1"/>
    <x v="1"/>
    <m/>
    <m/>
    <x v="8"/>
    <m/>
    <m/>
    <m/>
    <m/>
    <m/>
    <n v="1"/>
    <m/>
    <n v="3"/>
    <m/>
    <m/>
    <n v="56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0"/>
    <s v="Invasive"/>
    <s v="West Normanby River"/>
    <s v="14 Jun_1200 WNR"/>
    <n v="1"/>
    <s v="Biting"/>
    <x v="1"/>
    <x v="1"/>
    <m/>
    <m/>
    <x v="8"/>
    <m/>
    <m/>
    <m/>
    <m/>
    <m/>
    <n v="1"/>
    <m/>
    <n v="3"/>
    <m/>
    <m/>
    <n v="57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1"/>
    <s v="Invasive"/>
    <s v="West Normanby River"/>
    <s v="14 Jun_1200 WNR"/>
    <n v="1"/>
    <s v="Biting"/>
    <x v="1"/>
    <x v="1"/>
    <m/>
    <m/>
    <x v="8"/>
    <m/>
    <m/>
    <m/>
    <m/>
    <m/>
    <n v="1"/>
    <m/>
    <n v="1"/>
    <m/>
    <m/>
    <n v="58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2"/>
    <s v="Invasive"/>
    <s v="West Normanby River"/>
    <s v="14 Jun_1200 WNR"/>
    <m/>
    <s v="Biting"/>
    <x v="1"/>
    <x v="1"/>
    <m/>
    <m/>
    <x v="8"/>
    <m/>
    <m/>
    <m/>
    <m/>
    <m/>
    <n v="1"/>
    <m/>
    <n v="3"/>
    <m/>
    <m/>
    <n v="59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3"/>
    <s v="Invasive"/>
    <s v="West Normanby River"/>
    <s v="14 Jun_1200 WNR_GoPro"/>
    <n v="0"/>
    <s v="Biting"/>
    <x v="1"/>
    <x v="1"/>
    <m/>
    <m/>
    <x v="8"/>
    <m/>
    <m/>
    <m/>
    <m/>
    <m/>
    <n v="1"/>
    <m/>
    <n v="2"/>
    <m/>
    <m/>
    <n v="60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4"/>
    <s v="Invasive"/>
    <s v="West Normanby River"/>
    <s v="14 Jun_1200 WNR_GoPro"/>
    <n v="0"/>
    <s v="Biting"/>
    <x v="1"/>
    <x v="1"/>
    <m/>
    <m/>
    <x v="8"/>
    <m/>
    <m/>
    <m/>
    <m/>
    <m/>
    <n v="1"/>
    <m/>
    <n v="2"/>
    <m/>
    <m/>
    <n v="61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5"/>
    <s v="Invasive"/>
    <s v="West Normanby River"/>
    <s v="14 Jun_1200 WNR_GoPro"/>
    <m/>
    <m/>
    <x v="0"/>
    <x v="0"/>
    <m/>
    <m/>
    <x v="8"/>
    <m/>
    <m/>
    <m/>
    <m/>
    <m/>
    <n v="1"/>
    <m/>
    <n v="2"/>
    <m/>
    <m/>
    <n v="62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6"/>
    <s v="Invasive"/>
    <s v="West Normanby River"/>
    <s v="14 Jun_1200 WNR_GoPro"/>
    <m/>
    <m/>
    <x v="0"/>
    <x v="0"/>
    <m/>
    <m/>
    <x v="8"/>
    <m/>
    <m/>
    <m/>
    <m/>
    <m/>
    <n v="1"/>
    <m/>
    <n v="2"/>
    <m/>
    <m/>
    <n v="63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7"/>
    <s v="Invasive"/>
    <s v="West Normanby River"/>
    <s v="14 Jun_1200 WNR_GoPro"/>
    <m/>
    <m/>
    <x v="0"/>
    <x v="0"/>
    <m/>
    <m/>
    <x v="8"/>
    <m/>
    <m/>
    <m/>
    <m/>
    <m/>
    <n v="1"/>
    <m/>
    <n v="2"/>
    <m/>
    <m/>
    <n v="64"/>
  </r>
  <r>
    <s v="pollinator obs_DVR"/>
    <s v="DVR"/>
    <s v="Hymenoptera"/>
    <s v="Apidae"/>
    <s v="Apinae"/>
    <s v="Meliponini"/>
    <m/>
    <x v="3"/>
    <x v="11"/>
    <s v="Meliponini"/>
    <s v="Small non-buzzer"/>
    <s v="Stingless Bee"/>
    <s v="Stingless bee"/>
    <n v="118"/>
    <s v="Invasive"/>
    <s v="West Normanby River"/>
    <s v="14 Jun_1200 WNR_GoPro"/>
    <m/>
    <m/>
    <x v="0"/>
    <x v="0"/>
    <m/>
    <m/>
    <x v="8"/>
    <m/>
    <m/>
    <m/>
    <m/>
    <m/>
    <n v="1"/>
    <m/>
    <n v="2"/>
    <m/>
    <m/>
    <n v="65"/>
  </r>
  <r>
    <s v="pollinator obs_DVR"/>
    <s v="DVR"/>
    <s v="Hymenoptera"/>
    <s v="Halictidae"/>
    <s v="Halictinae"/>
    <s v="Halictini"/>
    <s v="Patellapis"/>
    <x v="4"/>
    <x v="8"/>
    <s v="Halictidae"/>
    <s v="Medium buzzer"/>
    <s v="Sweat Bee"/>
    <s v="Sweat bee (4)"/>
    <n v="119"/>
    <s v="Invasive"/>
    <s v="Barron River"/>
    <s v="16 Jun_0900_BR"/>
    <n v="1"/>
    <s v="Biting"/>
    <x v="1"/>
    <x v="1"/>
    <m/>
    <m/>
    <x v="8"/>
    <m/>
    <m/>
    <m/>
    <m/>
    <m/>
    <n v="1"/>
    <m/>
    <n v="2"/>
    <m/>
    <m/>
    <n v="69"/>
  </r>
  <r>
    <s v="pollinator obs_DVR"/>
    <s v="DVR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51"/>
    <s v="Invasive"/>
    <s v="Barron River"/>
    <s v="16 Jun_0900_BR"/>
    <n v="1"/>
    <s v="BI(?)"/>
    <x v="1"/>
    <x v="1"/>
    <m/>
    <m/>
    <x v="8"/>
    <m/>
    <m/>
    <m/>
    <m/>
    <m/>
    <n v="1"/>
    <m/>
    <n v="2"/>
    <m/>
    <m/>
    <n v="72"/>
  </r>
  <r>
    <s v="pollinator obs_DVR"/>
    <s v="DVR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52"/>
    <s v="Invasive"/>
    <s v="Centenary Park"/>
    <s v="26 May_0840 CP"/>
    <m/>
    <s v="BI?"/>
    <x v="1"/>
    <x v="1"/>
    <m/>
    <m/>
    <x v="8"/>
    <m/>
    <m/>
    <m/>
    <m/>
    <m/>
    <n v="1"/>
    <m/>
    <n v="2"/>
    <m/>
    <m/>
    <n v="73"/>
  </r>
  <r>
    <s v="pollinator obs_DVR"/>
    <s v="DVR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53"/>
    <s v="Invasive"/>
    <s v="Springvale"/>
    <s v="15 Jun_0900 Springvale"/>
    <m/>
    <s v="BI?"/>
    <x v="1"/>
    <x v="1"/>
    <m/>
    <m/>
    <x v="8"/>
    <m/>
    <m/>
    <m/>
    <m/>
    <m/>
    <n v="1"/>
    <m/>
    <n v="2"/>
    <m/>
    <m/>
    <n v="70"/>
  </r>
  <r>
    <s v="pollinator obs_DVR"/>
    <s v="DVR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54"/>
    <s v="Invasive"/>
    <s v="Springvale"/>
    <s v="15 Jun_0900 Springvale"/>
    <m/>
    <s v="bi? (videoed)"/>
    <x v="1"/>
    <x v="1"/>
    <m/>
    <m/>
    <x v="8"/>
    <m/>
    <m/>
    <m/>
    <m/>
    <m/>
    <n v="1"/>
    <m/>
    <n v="2"/>
    <m/>
    <m/>
    <n v="71"/>
  </r>
  <r>
    <s v="pollinator obs_DVR"/>
    <s v="DVR"/>
    <s v="Lepidoptera"/>
    <s v="Nymphalidae"/>
    <s v="Heliconiinae"/>
    <s v="Acraeini"/>
    <s v="Acraea"/>
    <x v="1"/>
    <x v="12"/>
    <s v="Others"/>
    <s v="Non bee, non-buzzer"/>
    <s v="Glasswing butterfly"/>
    <s v="Glasswing butterfly"/>
    <n v="123"/>
    <s v="Invasive"/>
    <s v="Springvale"/>
    <s v="15 Jun_0900 Springvale"/>
    <n v="0"/>
    <m/>
    <x v="0"/>
    <x v="0"/>
    <m/>
    <m/>
    <x v="8"/>
    <m/>
    <m/>
    <m/>
    <m/>
    <m/>
    <n v="1"/>
    <m/>
    <n v="2"/>
    <m/>
    <m/>
    <n v="7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16"/>
    <s v="Native"/>
    <s v="Xmatkuil"/>
    <s v=" CTBA_09102023_GoPro9_0730"/>
    <n v="1"/>
    <s v="gleaning"/>
    <x v="2"/>
    <x v="1"/>
    <m/>
    <m/>
    <x v="8"/>
    <m/>
    <m/>
    <m/>
    <m/>
    <m/>
    <n v="1"/>
    <m/>
    <n v="2"/>
    <m/>
    <m/>
    <n v="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17"/>
    <s v="Native"/>
    <s v="Xmatkuil"/>
    <s v=" CTBA_09102023_GoPro9_0730"/>
    <n v="1"/>
    <s v="gleaning"/>
    <x v="2"/>
    <x v="1"/>
    <m/>
    <m/>
    <x v="8"/>
    <m/>
    <m/>
    <m/>
    <m/>
    <m/>
    <n v="1"/>
    <m/>
    <n v="2"/>
    <m/>
    <m/>
    <n v="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18"/>
    <s v="Native"/>
    <s v="Xmatkuil"/>
    <s v=" CTBA_09102023_GoPro9_0730"/>
    <n v="1"/>
    <s v="gleaning"/>
    <x v="2"/>
    <x v="1"/>
    <m/>
    <m/>
    <x v="8"/>
    <m/>
    <m/>
    <m/>
    <m/>
    <m/>
    <n v="1"/>
    <m/>
    <n v="2"/>
    <m/>
    <m/>
    <n v="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19"/>
    <s v="Native"/>
    <s v="Chochola"/>
    <s v="Chochola_10102023_XeroX-0725"/>
    <n v="1"/>
    <s v="gleaning"/>
    <x v="2"/>
    <x v="1"/>
    <m/>
    <m/>
    <x v="8"/>
    <m/>
    <m/>
    <m/>
    <m/>
    <m/>
    <n v="1"/>
    <m/>
    <n v="2"/>
    <m/>
    <m/>
    <n v="1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0"/>
    <s v="Native"/>
    <s v="Chochola"/>
    <s v="Chochola_10102023_XeroX-0725"/>
    <n v="1"/>
    <s v="gleaning"/>
    <x v="2"/>
    <x v="1"/>
    <m/>
    <m/>
    <x v="8"/>
    <m/>
    <m/>
    <m/>
    <m/>
    <m/>
    <n v="1"/>
    <m/>
    <n v="2"/>
    <m/>
    <m/>
    <n v="1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3"/>
    <s v="Native"/>
    <s v="Chochola"/>
    <s v="Chochola_26092023_GoPro9"/>
    <n v="1"/>
    <s v="gleaning"/>
    <x v="2"/>
    <x v="1"/>
    <m/>
    <m/>
    <x v="8"/>
    <m/>
    <m/>
    <m/>
    <m/>
    <m/>
    <n v="1"/>
    <m/>
    <n v="3"/>
    <m/>
    <m/>
    <n v="2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4"/>
    <s v="Native"/>
    <s v="Chochola"/>
    <s v="Chochola_26092023_GoPro9"/>
    <n v="1"/>
    <s v="gleaning"/>
    <x v="2"/>
    <x v="1"/>
    <m/>
    <m/>
    <x v="8"/>
    <m/>
    <m/>
    <m/>
    <m/>
    <m/>
    <n v="1"/>
    <m/>
    <n v="3"/>
    <m/>
    <m/>
    <n v="25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5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2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6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2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7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2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8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3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29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32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0"/>
    <s v="Native"/>
    <s v="Chochola"/>
    <s v="Chochola_26092023_GoPro9"/>
    <n v="1"/>
    <s v="gleaning"/>
    <x v="2"/>
    <x v="1"/>
    <m/>
    <m/>
    <x v="8"/>
    <m/>
    <m/>
    <m/>
    <m/>
    <m/>
    <n v="1"/>
    <m/>
    <n v="1"/>
    <m/>
    <m/>
    <n v="3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1"/>
    <s v="Native"/>
    <s v="Xmatkuil"/>
    <s v="CTBA_04102023_GoPro_9_0700"/>
    <n v="1"/>
    <s v="gleaning"/>
    <x v="2"/>
    <x v="1"/>
    <m/>
    <m/>
    <x v="8"/>
    <m/>
    <m/>
    <m/>
    <m/>
    <m/>
    <n v="1"/>
    <m/>
    <n v="1"/>
    <m/>
    <m/>
    <n v="3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2"/>
    <s v="Native"/>
    <s v="Xmatkuil"/>
    <s v="CTBA_09102023_XeroX_0730"/>
    <n v="1"/>
    <s v="gleaning"/>
    <x v="2"/>
    <x v="1"/>
    <m/>
    <m/>
    <x v="8"/>
    <m/>
    <m/>
    <m/>
    <m/>
    <m/>
    <n v="1"/>
    <m/>
    <n v="1"/>
    <m/>
    <m/>
    <n v="52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3"/>
    <s v="Native"/>
    <s v="Tekik de Regil"/>
    <s v="Rancho_18102023_GoPro9_0720"/>
    <n v="1"/>
    <s v="gleaning"/>
    <x v="2"/>
    <x v="1"/>
    <m/>
    <m/>
    <x v="8"/>
    <m/>
    <m/>
    <m/>
    <m/>
    <m/>
    <n v="1"/>
    <m/>
    <n v="1"/>
    <m/>
    <m/>
    <n v="6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4"/>
    <s v="Native"/>
    <s v="Tekik de Regil"/>
    <s v="Rancho_18102023_GoPro9_0720"/>
    <n v="1"/>
    <s v="gleaning"/>
    <x v="2"/>
    <x v="1"/>
    <m/>
    <m/>
    <x v="8"/>
    <m/>
    <m/>
    <m/>
    <m/>
    <m/>
    <n v="1"/>
    <m/>
    <n v="1"/>
    <m/>
    <m/>
    <n v="6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5"/>
    <s v="Native"/>
    <s v="Tekik de Regil"/>
    <s v="Rancho_18102023_GoPro9_0720"/>
    <n v="1"/>
    <s v="gleaning"/>
    <x v="2"/>
    <x v="1"/>
    <m/>
    <m/>
    <x v="8"/>
    <m/>
    <m/>
    <m/>
    <m/>
    <m/>
    <n v="1"/>
    <m/>
    <n v="3"/>
    <m/>
    <m/>
    <n v="75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6"/>
    <s v="Native"/>
    <s v="Tekik de Regil"/>
    <s v="Rancho_18102023_GoPro9_0720"/>
    <n v="1"/>
    <s v="gleaning"/>
    <x v="2"/>
    <x v="1"/>
    <m/>
    <m/>
    <x v="8"/>
    <m/>
    <m/>
    <m/>
    <m/>
    <m/>
    <n v="1"/>
    <m/>
    <n v="3"/>
    <m/>
    <m/>
    <n v="7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7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8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39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5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0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1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2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8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3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4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5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5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6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7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8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9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49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10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0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102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1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103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2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10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3"/>
    <s v="Native"/>
    <s v="Chochola"/>
    <s v="Chochola_17102023_GoPro 9_0725"/>
    <n v="1"/>
    <s v="gleaning"/>
    <x v="2"/>
    <x v="1"/>
    <m/>
    <m/>
    <x v="8"/>
    <m/>
    <m/>
    <m/>
    <m/>
    <m/>
    <n v="1"/>
    <m/>
    <n v="1"/>
    <m/>
    <m/>
    <n v="10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4"/>
    <s v="Native"/>
    <s v="Chochola"/>
    <s v="Chochola_17102023_GoPro 9_0725"/>
    <n v="0"/>
    <s v="gleaning"/>
    <x v="2"/>
    <x v="1"/>
    <m/>
    <m/>
    <x v="8"/>
    <m/>
    <m/>
    <m/>
    <m/>
    <m/>
    <m/>
    <m/>
    <n v="1"/>
    <m/>
    <m/>
    <n v="11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5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2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6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3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57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63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5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64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65"/>
    <s v="Native"/>
    <s v="Chochola"/>
    <s v="Chochola_17102023_GoPro 9_0725"/>
    <n v="1"/>
    <s v="gleaning"/>
    <x v="2"/>
    <x v="1"/>
    <m/>
    <m/>
    <x v="8"/>
    <m/>
    <m/>
    <m/>
    <m/>
    <m/>
    <n v="1"/>
    <m/>
    <m/>
    <m/>
    <m/>
    <n v="11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83"/>
    <s v="Native"/>
    <s v="Tekik de Regil"/>
    <s v="Rancho_02102023_GoPro 9"/>
    <n v="1"/>
    <s v="gleaning"/>
    <x v="2"/>
    <x v="1"/>
    <m/>
    <m/>
    <x v="8"/>
    <m/>
    <m/>
    <m/>
    <m/>
    <m/>
    <n v="1"/>
    <m/>
    <m/>
    <m/>
    <m/>
    <n v="12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84"/>
    <s v="Native"/>
    <s v="Tekik de Regil"/>
    <s v="Rancho_02102023_GoPro 9"/>
    <n v="1"/>
    <s v="gleaning"/>
    <x v="2"/>
    <x v="1"/>
    <m/>
    <m/>
    <x v="8"/>
    <m/>
    <m/>
    <m/>
    <m/>
    <m/>
    <n v="1"/>
    <m/>
    <m/>
    <m/>
    <m/>
    <n v="12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85"/>
    <s v="Native"/>
    <s v="Tekik de Regil"/>
    <s v="Rancho_02102023_GoPro 9"/>
    <n v="1"/>
    <s v="gleaning"/>
    <x v="2"/>
    <x v="1"/>
    <m/>
    <m/>
    <x v="8"/>
    <m/>
    <m/>
    <m/>
    <m/>
    <m/>
    <n v="1"/>
    <m/>
    <m/>
    <m/>
    <m/>
    <n v="13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86"/>
    <s v="Native"/>
    <s v="Chochola"/>
    <s v="Chochola_26092023_GoPro9"/>
    <n v="1"/>
    <s v="gleaning/biting"/>
    <x v="3"/>
    <x v="1"/>
    <m/>
    <m/>
    <x v="8"/>
    <m/>
    <m/>
    <m/>
    <m/>
    <m/>
    <n v="1"/>
    <m/>
    <n v="3"/>
    <m/>
    <m/>
    <n v="23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87"/>
    <s v="Native"/>
    <s v="Chochola"/>
    <s v="Chochola_26092023_GoPro9"/>
    <n v="1"/>
    <s v="gleaning/biting"/>
    <x v="3"/>
    <x v="1"/>
    <m/>
    <m/>
    <x v="8"/>
    <m/>
    <m/>
    <m/>
    <m/>
    <m/>
    <n v="1"/>
    <m/>
    <n v="1"/>
    <m/>
    <m/>
    <n v="2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s v="European Honey Bee"/>
    <n v="890"/>
    <s v="Native"/>
    <s v="Chochola"/>
    <s v="Chochola_10102023_XeroX-0725"/>
    <n v="1"/>
    <s v="gleaning/biting?"/>
    <x v="3"/>
    <x v="1"/>
    <m/>
    <m/>
    <x v="8"/>
    <m/>
    <m/>
    <m/>
    <m/>
    <m/>
    <n v="1"/>
    <m/>
    <n v="3"/>
    <m/>
    <m/>
    <n v="2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1"/>
    <s v="Native"/>
    <s v="Chochola"/>
    <s v="Chochola_10102023_XeroX-0725"/>
    <n v="1"/>
    <s v="gleaning/biting?"/>
    <x v="3"/>
    <x v="1"/>
    <m/>
    <m/>
    <x v="8"/>
    <m/>
    <m/>
    <m/>
    <m/>
    <m/>
    <n v="1"/>
    <m/>
    <n v="3"/>
    <m/>
    <m/>
    <n v="2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3"/>
    <s v="Native"/>
    <s v="Chochola"/>
    <s v="Chochola_10102023_XeroX-0725"/>
    <n v="1"/>
    <s v="gleaning/biting?"/>
    <x v="3"/>
    <x v="1"/>
    <m/>
    <m/>
    <x v="8"/>
    <m/>
    <m/>
    <m/>
    <m/>
    <m/>
    <n v="1"/>
    <m/>
    <n v="3"/>
    <m/>
    <m/>
    <n v="22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4"/>
    <s v="Native"/>
    <s v="Xmatkuil"/>
    <s v="CTBA_09102023_XeroX_0730"/>
    <n v="1"/>
    <s v="gleaning/biting?"/>
    <x v="3"/>
    <x v="1"/>
    <m/>
    <m/>
    <x v="8"/>
    <m/>
    <m/>
    <m/>
    <m/>
    <m/>
    <n v="1"/>
    <m/>
    <n v="1"/>
    <m/>
    <m/>
    <n v="5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6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83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7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8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8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89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899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9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0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10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1"/>
    <s v="Native"/>
    <s v="Chochola"/>
    <s v="Chochola_17102023_GoPro 9_0725"/>
    <n v="1"/>
    <s v="gleaning/biting?"/>
    <x v="3"/>
    <x v="1"/>
    <m/>
    <m/>
    <x v="8"/>
    <m/>
    <m/>
    <m/>
    <m/>
    <m/>
    <n v="1"/>
    <m/>
    <n v="1"/>
    <m/>
    <m/>
    <n v="10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2"/>
    <s v="Native"/>
    <s v="Chochola"/>
    <s v="Chochola_17102023_GoPro 9_0725"/>
    <n v="1"/>
    <s v="gleaning/biting?"/>
    <x v="3"/>
    <x v="1"/>
    <m/>
    <m/>
    <x v="8"/>
    <m/>
    <m/>
    <m/>
    <m/>
    <m/>
    <n v="1"/>
    <m/>
    <m/>
    <m/>
    <m/>
    <n v="11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3"/>
    <s v="Native"/>
    <s v="Tekik de Regil"/>
    <s v="Rancho_02102023_GoPro 9"/>
    <n v="1"/>
    <s v="gleaning/biting?"/>
    <x v="3"/>
    <x v="1"/>
    <m/>
    <m/>
    <x v="8"/>
    <m/>
    <m/>
    <m/>
    <m/>
    <m/>
    <n v="1"/>
    <m/>
    <m/>
    <m/>
    <m/>
    <n v="120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4"/>
    <s v="Native"/>
    <s v="Tekik de Regil"/>
    <s v="Rancho_02102023_GoPro 9"/>
    <n v="1"/>
    <s v="gleaning/biting?"/>
    <x v="3"/>
    <x v="1"/>
    <m/>
    <m/>
    <x v="8"/>
    <m/>
    <m/>
    <m/>
    <m/>
    <m/>
    <n v="1"/>
    <m/>
    <m/>
    <m/>
    <m/>
    <n v="12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5"/>
    <s v="Native"/>
    <s v="Tekik de Regil"/>
    <s v="Rancho_02102023_GoPro 9"/>
    <n v="1"/>
    <s v="gleaning/biting?"/>
    <x v="3"/>
    <x v="1"/>
    <m/>
    <m/>
    <x v="8"/>
    <m/>
    <m/>
    <m/>
    <m/>
    <m/>
    <n v="1"/>
    <m/>
    <m/>
    <m/>
    <m/>
    <n v="127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6"/>
    <s v="Native"/>
    <s v="Tekik de Regil"/>
    <s v="Rancho_02102023_GoPro 9"/>
    <n v="1"/>
    <s v="gleaning/biting?"/>
    <x v="3"/>
    <x v="1"/>
    <m/>
    <m/>
    <x v="8"/>
    <m/>
    <m/>
    <m/>
    <m/>
    <m/>
    <n v="1"/>
    <m/>
    <m/>
    <m/>
    <m/>
    <n v="128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07"/>
    <s v="Native"/>
    <s v="Chochola"/>
    <s v="Chochola_17102023_GoPro 9_0725"/>
    <m/>
    <s v="gleaning?"/>
    <x v="2"/>
    <x v="1"/>
    <m/>
    <m/>
    <x v="8"/>
    <m/>
    <m/>
    <m/>
    <m/>
    <m/>
    <n v="1"/>
    <m/>
    <n v="1"/>
    <m/>
    <m/>
    <n v="106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39"/>
    <s v="Native"/>
    <s v="Chochola"/>
    <s v="Chochola_26092023_GoPro9"/>
    <n v="0"/>
    <s v="quick check for pollen"/>
    <x v="0"/>
    <x v="0"/>
    <m/>
    <m/>
    <x v="8"/>
    <m/>
    <m/>
    <m/>
    <m/>
    <m/>
    <n v="1"/>
    <m/>
    <n v="1"/>
    <m/>
    <m/>
    <n v="31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40"/>
    <s v="Native"/>
    <s v="Chochola"/>
    <s v="Chochola_26092023_GoPro9"/>
    <n v="1"/>
    <s v="quick check for pollen"/>
    <x v="0"/>
    <x v="0"/>
    <m/>
    <m/>
    <x v="8"/>
    <m/>
    <m/>
    <m/>
    <m/>
    <m/>
    <n v="1"/>
    <m/>
    <n v="1"/>
    <m/>
    <m/>
    <n v="33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41"/>
    <s v="Native"/>
    <s v="Chochola"/>
    <s v="Chochola_26092023_GoPro9"/>
    <n v="1"/>
    <s v="quick check for pollen"/>
    <x v="0"/>
    <x v="0"/>
    <m/>
    <m/>
    <x v="8"/>
    <m/>
    <m/>
    <m/>
    <m/>
    <m/>
    <n v="1"/>
    <m/>
    <n v="1"/>
    <m/>
    <m/>
    <n v="34"/>
  </r>
  <r>
    <s v="Pollinator obs_DVR_MEX"/>
    <s v="DVR"/>
    <s v="Hymenoptera"/>
    <s v="Apidae"/>
    <s v="Apinae"/>
    <s v="Apini"/>
    <s v="Apis"/>
    <x v="2"/>
    <x v="2"/>
    <s v="Apis mellifera"/>
    <s v="Medium non-buzzer"/>
    <s v="European Honey Bee"/>
    <m/>
    <n v="942"/>
    <s v="Native"/>
    <s v="Tekik de Regil"/>
    <s v="Rancho_18102023_GoPro9_0720"/>
    <n v="1"/>
    <s v="quick check for pollen"/>
    <x v="0"/>
    <x v="0"/>
    <m/>
    <m/>
    <x v="8"/>
    <m/>
    <m/>
    <m/>
    <m/>
    <m/>
    <n v="1"/>
    <m/>
    <n v="3"/>
    <m/>
    <m/>
    <n v="70"/>
  </r>
  <r>
    <s v="Pollinator obs_DVR_MEX"/>
    <s v="DVR"/>
    <s v="Hymenoptera"/>
    <s v="Halictidae"/>
    <m/>
    <s v="Augochlorini "/>
    <s v="Augochlora"/>
    <x v="1"/>
    <x v="13"/>
    <s v="Halictidae"/>
    <s v="Medium buzzer"/>
    <s v="Sweat Bee"/>
    <m/>
    <n v="355"/>
    <s v="Native"/>
    <s v="Xmatkuil"/>
    <s v="CTBA_04102023_GoPro_9_0700"/>
    <m/>
    <s v="buzz"/>
    <x v="4"/>
    <x v="2"/>
    <n v="0"/>
    <m/>
    <x v="8"/>
    <m/>
    <m/>
    <m/>
    <m/>
    <m/>
    <n v="1"/>
    <m/>
    <n v="1"/>
    <m/>
    <m/>
    <n v="43"/>
  </r>
  <r>
    <s v="Pollinator obs_DVR_MEX"/>
    <s v="DVR"/>
    <s v="Hymenoptera"/>
    <s v="Formicidae"/>
    <m/>
    <m/>
    <m/>
    <x v="3"/>
    <x v="14"/>
    <s v="Others"/>
    <s v="Non bee, non-buzzer"/>
    <s v="Ant"/>
    <m/>
    <n v="924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0"/>
  </r>
  <r>
    <s v="Pollinator obs_DVR_MEX"/>
    <s v="DVR"/>
    <s v="Hymenoptera"/>
    <s v="Formicidae"/>
    <m/>
    <m/>
    <m/>
    <x v="3"/>
    <x v="14"/>
    <s v="Others"/>
    <s v="Non bee, non-buzzer"/>
    <s v="Ant"/>
    <m/>
    <n v="925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1"/>
  </r>
  <r>
    <s v="Pollinator obs_DVR_MEX"/>
    <s v="DVR"/>
    <s v="Hymenoptera"/>
    <s v="Formicidae"/>
    <m/>
    <m/>
    <m/>
    <x v="3"/>
    <x v="14"/>
    <s v="Others"/>
    <s v="Non bee, non-buzzer"/>
    <s v="Ant"/>
    <m/>
    <n v="926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2"/>
  </r>
  <r>
    <s v="Pollinator obs_DVR_MEX"/>
    <s v="DVR"/>
    <s v="Hymenoptera"/>
    <s v="Formicidae"/>
    <m/>
    <m/>
    <m/>
    <x v="3"/>
    <x v="14"/>
    <s v="Others"/>
    <s v="Non bee, non-buzzer"/>
    <s v="Ant"/>
    <m/>
    <n v="927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3"/>
  </r>
  <r>
    <s v="Pollinator obs_DVR_MEX"/>
    <s v="DVR"/>
    <s v="Hymenoptera"/>
    <s v="Formicidae"/>
    <m/>
    <m/>
    <m/>
    <x v="3"/>
    <x v="14"/>
    <s v="Others"/>
    <s v="Non bee, non-buzzer"/>
    <s v="Ant"/>
    <m/>
    <n v="928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4"/>
  </r>
  <r>
    <s v="Pollinator obs_DVR_MEX"/>
    <s v="DVR"/>
    <s v="Hymenoptera"/>
    <s v="Formicidae"/>
    <m/>
    <m/>
    <m/>
    <x v="3"/>
    <x v="14"/>
    <s v="Others"/>
    <s v="Non bee, non-buzzer"/>
    <s v="Ant"/>
    <m/>
    <n v="929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5"/>
  </r>
  <r>
    <s v="Pollinator obs_DVR_MEX"/>
    <s v="DVR"/>
    <s v="Hymenoptera"/>
    <s v="Formicidae"/>
    <m/>
    <m/>
    <m/>
    <x v="3"/>
    <x v="14"/>
    <s v="Others"/>
    <s v="Non bee, non-buzzer"/>
    <s v="Ant"/>
    <m/>
    <n v="930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16"/>
  </r>
  <r>
    <s v="Pollinator obs_DVR_MEX"/>
    <s v="DVR"/>
    <s v="Hymenoptera"/>
    <s v="Formicidae"/>
    <m/>
    <m/>
    <m/>
    <x v="3"/>
    <x v="14"/>
    <s v="Others"/>
    <s v="Non bee, non-buzzer"/>
    <s v="Ant"/>
    <m/>
    <n v="931"/>
    <s v="Native"/>
    <s v="Chochola"/>
    <s v="Chochola_26092023_GoPro9"/>
    <n v="0"/>
    <s v="not foraging for pollen"/>
    <x v="0"/>
    <x v="0"/>
    <m/>
    <m/>
    <x v="8"/>
    <m/>
    <m/>
    <m/>
    <m/>
    <m/>
    <n v="1"/>
    <m/>
    <n v="1"/>
    <m/>
    <m/>
    <n v="35"/>
  </r>
  <r>
    <s v="Pollinator obs_DVR_MEX"/>
    <s v="DVR"/>
    <s v="Hymenoptera"/>
    <s v="Formicidae"/>
    <m/>
    <m/>
    <m/>
    <x v="3"/>
    <x v="14"/>
    <s v="Others"/>
    <s v="Non bee, non-buzzer"/>
    <s v="Ant"/>
    <m/>
    <n v="932"/>
    <s v="Native"/>
    <s v="Xmatkuil"/>
    <s v="CTBA_04102023_GoPro_9_0700"/>
    <n v="0"/>
    <s v="not foraging for pollen"/>
    <x v="0"/>
    <x v="0"/>
    <m/>
    <m/>
    <x v="8"/>
    <m/>
    <m/>
    <m/>
    <m/>
    <m/>
    <n v="1"/>
    <m/>
    <n v="1"/>
    <m/>
    <m/>
    <n v="38"/>
  </r>
  <r>
    <s v="Pollinator obs_DVR_MEX"/>
    <s v="DVR"/>
    <s v="Hymenoptera"/>
    <s v="Formicidae"/>
    <m/>
    <m/>
    <m/>
    <x v="3"/>
    <x v="14"/>
    <s v="Others"/>
    <s v="Non bee, non-buzzer"/>
    <s v="Ant"/>
    <m/>
    <n v="934"/>
    <s v="Native"/>
    <s v="Xmatkuil"/>
    <s v="CTBA_04102023_GoPro_9_0700"/>
    <n v="0"/>
    <s v="not foraging for pollen"/>
    <x v="0"/>
    <x v="0"/>
    <m/>
    <m/>
    <x v="8"/>
    <m/>
    <m/>
    <m/>
    <m/>
    <m/>
    <n v="1"/>
    <m/>
    <n v="1"/>
    <m/>
    <m/>
    <n v="40"/>
  </r>
  <r>
    <s v="Pollinator obs_DVR_MEX"/>
    <s v="DVR"/>
    <s v="Hymenoptera"/>
    <s v="Formicidae"/>
    <m/>
    <m/>
    <m/>
    <x v="3"/>
    <x v="14"/>
    <s v="Others"/>
    <s v="Non bee, non-buzzer"/>
    <s v="Ant"/>
    <m/>
    <n v="935"/>
    <s v="Native"/>
    <s v="Xmatkuil"/>
    <s v="CTBA_04102023_GoPro_9_0700"/>
    <n v="0"/>
    <s v="not foraging for pollen"/>
    <x v="0"/>
    <x v="0"/>
    <m/>
    <m/>
    <x v="8"/>
    <m/>
    <m/>
    <m/>
    <m/>
    <m/>
    <n v="1"/>
    <m/>
    <n v="1"/>
    <m/>
    <m/>
    <n v="41"/>
  </r>
  <r>
    <s v="Pollinator obs_DVR_MEX"/>
    <s v="DVR"/>
    <s v="Hymenoptera"/>
    <s v="Formicidae"/>
    <m/>
    <m/>
    <m/>
    <x v="3"/>
    <x v="14"/>
    <s v="Others"/>
    <s v="Non bee, non-buzzer"/>
    <s v="Ant"/>
    <m/>
    <n v="936"/>
    <s v="Native"/>
    <s v="Xmatkuil"/>
    <s v="CTBA_04102023_GoPro_9_0700"/>
    <n v="0"/>
    <s v="not foraging for pollen"/>
    <x v="0"/>
    <x v="0"/>
    <m/>
    <m/>
    <x v="8"/>
    <m/>
    <m/>
    <m/>
    <m/>
    <m/>
    <n v="1"/>
    <m/>
    <n v="1"/>
    <m/>
    <m/>
    <n v="42"/>
  </r>
  <r>
    <s v="Pollinator obs_DVR_MEX"/>
    <s v="DVR"/>
    <s v="Hymenoptera"/>
    <s v="Formicidae"/>
    <m/>
    <m/>
    <m/>
    <x v="3"/>
    <x v="14"/>
    <s v="Others"/>
    <s v="Non bee, non-buzzer"/>
    <s v="Ant"/>
    <m/>
    <n v="937"/>
    <s v="Native"/>
    <s v="Xmatkuil"/>
    <s v="CTBA_04102023_GoPro_9_0700"/>
    <m/>
    <s v="not foraging for pollen"/>
    <x v="0"/>
    <x v="0"/>
    <m/>
    <m/>
    <x v="8"/>
    <m/>
    <m/>
    <m/>
    <m/>
    <m/>
    <n v="1"/>
    <m/>
    <n v="1"/>
    <m/>
    <m/>
    <n v="44"/>
  </r>
  <r>
    <s v="Pollinator obs_DVR_MEX"/>
    <s v="DVR"/>
    <s v="Hymenoptera"/>
    <s v="Formicidae"/>
    <m/>
    <m/>
    <m/>
    <x v="3"/>
    <x v="14"/>
    <s v="Others"/>
    <s v="Non bee, non-buzzer"/>
    <s v="Ant"/>
    <m/>
    <n v="938"/>
    <s v="Native"/>
    <s v="Xmatkuil"/>
    <s v="CTBA_09102023_XeroX_0730"/>
    <m/>
    <s v="not foraging for pollen"/>
    <x v="0"/>
    <x v="0"/>
    <m/>
    <m/>
    <x v="8"/>
    <m/>
    <m/>
    <m/>
    <m/>
    <m/>
    <n v="1"/>
    <m/>
    <n v="1"/>
    <m/>
    <m/>
    <n v="50"/>
  </r>
  <r>
    <s v="Pollinator obs_DVR_MEX"/>
    <s v="DVR"/>
    <s v="Hymenoptera"/>
    <s v="Halictidae"/>
    <m/>
    <m/>
    <m/>
    <x v="5"/>
    <x v="15"/>
    <s v="Halictidae"/>
    <s v="Medium buzzer"/>
    <s v="Sweat Bee"/>
    <m/>
    <n v="888"/>
    <s v="Native"/>
    <s v="Xmatkuil"/>
    <s v=" CTBA_09102023_GoPro9_0730"/>
    <n v="1"/>
    <s v="gleaning/biting?"/>
    <x v="3"/>
    <x v="1"/>
    <m/>
    <m/>
    <x v="8"/>
    <m/>
    <m/>
    <m/>
    <m/>
    <m/>
    <n v="1"/>
    <m/>
    <n v="2"/>
    <m/>
    <m/>
    <n v="1"/>
  </r>
  <r>
    <s v="Pollinator obs_DVR_MEX"/>
    <s v="DVR"/>
    <s v="Hymenoptera"/>
    <s v="Halictidae"/>
    <m/>
    <m/>
    <m/>
    <x v="5"/>
    <x v="15"/>
    <s v="Halictidae"/>
    <s v="Medium buzzer"/>
    <s v="Sweat Bee"/>
    <m/>
    <n v="889"/>
    <s v="Native"/>
    <s v="Xmatkuil"/>
    <s v=" CTBA_09102023_GoPro9_0730"/>
    <n v="1"/>
    <s v="gleaning/biting?"/>
    <x v="3"/>
    <x v="1"/>
    <m/>
    <m/>
    <x v="8"/>
    <m/>
    <m/>
    <m/>
    <m/>
    <m/>
    <n v="1"/>
    <m/>
    <n v="2"/>
    <m/>
    <m/>
    <n v="5"/>
  </r>
  <r>
    <s v="Pollinator obs_DVR_MEX"/>
    <s v="DVR"/>
    <s v="Hymenoptera"/>
    <s v="Halictidae"/>
    <m/>
    <m/>
    <m/>
    <x v="5"/>
    <x v="15"/>
    <s v="Halictidae"/>
    <s v="Medium buzzer"/>
    <s v="Sweat Bee"/>
    <m/>
    <n v="923"/>
    <s v="Native"/>
    <s v="Xmatkuil"/>
    <s v=" CTBA_09102023_GoPro9_0730"/>
    <n v="0"/>
    <s v="not foraging for pollen"/>
    <x v="0"/>
    <x v="0"/>
    <m/>
    <m/>
    <x v="8"/>
    <m/>
    <m/>
    <m/>
    <m/>
    <m/>
    <n v="1"/>
    <m/>
    <n v="2"/>
    <m/>
    <m/>
    <n v="3"/>
  </r>
  <r>
    <s v="Pollinator obs_DVR_MEX"/>
    <s v="DVR"/>
    <s v="Hymenoptera"/>
    <s v="Halictidae"/>
    <m/>
    <m/>
    <m/>
    <x v="6"/>
    <x v="16"/>
    <s v="Halictidae"/>
    <s v="Medium buzzer"/>
    <s v="Sweat Bee"/>
    <m/>
    <n v="862"/>
    <s v="Native"/>
    <s v="Xmatkuil"/>
    <s v="CTBA_09102023_XeroX_0730"/>
    <n v="1"/>
    <m/>
    <x v="0"/>
    <x v="0"/>
    <m/>
    <m/>
    <x v="8"/>
    <m/>
    <m/>
    <m/>
    <m/>
    <m/>
    <n v="1"/>
    <m/>
    <n v="1"/>
    <m/>
    <m/>
    <n v="49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69"/>
    <s v="Native"/>
    <s v="Tekik de Regil"/>
    <s v="Rancho_18102023_XeroX_0720"/>
    <m/>
    <m/>
    <x v="0"/>
    <x v="0"/>
    <m/>
    <m/>
    <x v="8"/>
    <m/>
    <m/>
    <m/>
    <m/>
    <m/>
    <n v="1"/>
    <m/>
    <n v="1"/>
    <m/>
    <m/>
    <n v="56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70"/>
    <s v="Native"/>
    <s v="Tekik de Regil"/>
    <s v="Rancho_18102023_XeroX_0720"/>
    <m/>
    <m/>
    <x v="0"/>
    <x v="0"/>
    <m/>
    <m/>
    <x v="8"/>
    <m/>
    <m/>
    <m/>
    <m/>
    <m/>
    <n v="1"/>
    <m/>
    <n v="1"/>
    <m/>
    <m/>
    <n v="57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71"/>
    <s v="Native"/>
    <s v="Tekik de Regil"/>
    <s v="Rancho_18102023_XeroX_0720"/>
    <m/>
    <m/>
    <x v="0"/>
    <x v="0"/>
    <m/>
    <m/>
    <x v="8"/>
    <m/>
    <m/>
    <m/>
    <m/>
    <m/>
    <n v="1"/>
    <m/>
    <n v="1"/>
    <m/>
    <m/>
    <n v="58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72"/>
    <s v="Native"/>
    <s v="Tekik de Regil"/>
    <s v="Rancho_18102023_XeroX_0720"/>
    <m/>
    <m/>
    <x v="0"/>
    <x v="0"/>
    <m/>
    <m/>
    <x v="8"/>
    <m/>
    <m/>
    <m/>
    <m/>
    <m/>
    <n v="1"/>
    <m/>
    <n v="1"/>
    <m/>
    <m/>
    <n v="59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73"/>
    <s v="Native"/>
    <s v="Tekik de Regil"/>
    <s v="Rancho_18102023_XeroX_0720"/>
    <m/>
    <m/>
    <x v="0"/>
    <x v="0"/>
    <m/>
    <m/>
    <x v="8"/>
    <m/>
    <m/>
    <m/>
    <m/>
    <m/>
    <n v="1"/>
    <m/>
    <n v="1"/>
    <m/>
    <m/>
    <n v="60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81"/>
    <s v="Native"/>
    <s v="Tekik de Regil"/>
    <s v="Rancho_02102023_GoPro 9"/>
    <n v="0"/>
    <s v="gleaning"/>
    <x v="2"/>
    <x v="1"/>
    <m/>
    <m/>
    <x v="8"/>
    <m/>
    <m/>
    <m/>
    <m/>
    <m/>
    <n v="1"/>
    <m/>
    <m/>
    <m/>
    <m/>
    <n v="119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882"/>
    <s v="Native"/>
    <s v="Tekik de Regil"/>
    <s v="Rancho_02102023_GoPro 9"/>
    <n v="0"/>
    <s v="gleaning"/>
    <x v="2"/>
    <x v="1"/>
    <m/>
    <m/>
    <x v="8"/>
    <m/>
    <m/>
    <m/>
    <m/>
    <m/>
    <n v="1"/>
    <m/>
    <m/>
    <m/>
    <m/>
    <n v="123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08"/>
    <s v="Native"/>
    <s v="Tekik de Regil"/>
    <s v="Rancho_02102023_GoPro 9"/>
    <n v="0"/>
    <s v="gleaning?"/>
    <x v="2"/>
    <x v="1"/>
    <m/>
    <m/>
    <x v="8"/>
    <m/>
    <m/>
    <m/>
    <m/>
    <m/>
    <n v="1"/>
    <m/>
    <m/>
    <m/>
    <m/>
    <n v="125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09"/>
    <s v="Native"/>
    <s v="Chochola"/>
    <s v="Chochola_17102023_GoPro 9_0725"/>
    <n v="1"/>
    <s v="licking"/>
    <x v="5"/>
    <x v="1"/>
    <m/>
    <m/>
    <x v="8"/>
    <m/>
    <m/>
    <m/>
    <m/>
    <m/>
    <n v="1"/>
    <m/>
    <n v="1"/>
    <m/>
    <m/>
    <n v="92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0"/>
    <s v="Native"/>
    <s v="Chochola"/>
    <s v="Chochola_17102023_GoPro 9_0725"/>
    <n v="1"/>
    <s v="licking"/>
    <x v="5"/>
    <x v="1"/>
    <m/>
    <m/>
    <x v="8"/>
    <m/>
    <m/>
    <m/>
    <m/>
    <m/>
    <n v="1"/>
    <m/>
    <n v="1"/>
    <m/>
    <m/>
    <n v="93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1"/>
    <s v="Native"/>
    <s v="Chochola"/>
    <s v="Chochola_17102023_GoPro 9_0725"/>
    <n v="0"/>
    <s v="licking"/>
    <x v="5"/>
    <x v="1"/>
    <m/>
    <m/>
    <x v="8"/>
    <m/>
    <m/>
    <m/>
    <m/>
    <m/>
    <n v="1"/>
    <m/>
    <n v="1"/>
    <m/>
    <m/>
    <n v="105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2"/>
    <s v="Native"/>
    <s v="Chochola"/>
    <s v="Chochola_17102023_GoPro 9_0725"/>
    <n v="1"/>
    <s v="licking"/>
    <x v="5"/>
    <x v="1"/>
    <m/>
    <m/>
    <x v="8"/>
    <m/>
    <m/>
    <m/>
    <m/>
    <m/>
    <n v="1"/>
    <m/>
    <n v="1"/>
    <m/>
    <m/>
    <n v="109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3"/>
    <s v="Native"/>
    <s v="Tekik de Regil"/>
    <s v="Rancho_02102023_GoPro 9"/>
    <n v="0"/>
    <s v="licking"/>
    <x v="5"/>
    <x v="1"/>
    <m/>
    <m/>
    <x v="8"/>
    <m/>
    <m/>
    <m/>
    <m/>
    <m/>
    <n v="1"/>
    <m/>
    <m/>
    <m/>
    <m/>
    <n v="126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4"/>
    <s v="Native"/>
    <s v="Tekik de Regil"/>
    <s v="Rancho_18102023_GoPro9_0720"/>
    <n v="1"/>
    <s v="licking/biting"/>
    <x v="6"/>
    <x v="1"/>
    <m/>
    <m/>
    <x v="8"/>
    <m/>
    <m/>
    <m/>
    <m/>
    <m/>
    <n v="1"/>
    <m/>
    <n v="3"/>
    <m/>
    <m/>
    <n v="71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5"/>
    <s v="Native"/>
    <s v="Tekik de Regil"/>
    <s v="Rancho_18102023_GoPro9_0720"/>
    <n v="0"/>
    <s v="licking/biting"/>
    <x v="6"/>
    <x v="1"/>
    <m/>
    <m/>
    <x v="8"/>
    <m/>
    <m/>
    <m/>
    <m/>
    <m/>
    <n v="1"/>
    <m/>
    <n v="3"/>
    <m/>
    <m/>
    <n v="72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6"/>
    <s v="Native"/>
    <s v="Tekik de Regil"/>
    <s v="Rancho_18102023_GoPro9_0720"/>
    <n v="0"/>
    <s v="licking/biting"/>
    <x v="6"/>
    <x v="1"/>
    <m/>
    <m/>
    <x v="8"/>
    <m/>
    <m/>
    <m/>
    <m/>
    <m/>
    <n v="1"/>
    <m/>
    <n v="3"/>
    <m/>
    <m/>
    <n v="73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7"/>
    <s v="Native"/>
    <s v="Tekik de Regil"/>
    <s v="Rancho_18102023_GoPro9_0720"/>
    <n v="0"/>
    <s v="licking/biting"/>
    <x v="6"/>
    <x v="1"/>
    <m/>
    <m/>
    <x v="8"/>
    <m/>
    <m/>
    <m/>
    <m/>
    <m/>
    <n v="1"/>
    <m/>
    <n v="3"/>
    <m/>
    <m/>
    <n v="74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8"/>
    <s v="Native"/>
    <s v="Tekik de Regil"/>
    <s v="Rancho_18102023_GoPro9_0720"/>
    <m/>
    <s v="licking/biting"/>
    <x v="6"/>
    <x v="1"/>
    <m/>
    <m/>
    <x v="8"/>
    <m/>
    <m/>
    <m/>
    <m/>
    <m/>
    <n v="1"/>
    <m/>
    <n v="1"/>
    <m/>
    <m/>
    <n v="78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19"/>
    <s v="Native"/>
    <s v="Chochola"/>
    <s v="Chochola_17102023_GoPro 9_0725"/>
    <n v="1"/>
    <s v="licking/gleaning"/>
    <x v="7"/>
    <x v="1"/>
    <m/>
    <m/>
    <x v="8"/>
    <m/>
    <m/>
    <m/>
    <m/>
    <m/>
    <n v="1"/>
    <m/>
    <n v="1"/>
    <m/>
    <m/>
    <n v="97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20"/>
    <s v="Native"/>
    <s v="Tekik de Regil"/>
    <s v="Rancho_18102023_GoPro9_0720"/>
    <n v="1"/>
    <s v="licking/gleaning/biting"/>
    <x v="8"/>
    <x v="1"/>
    <m/>
    <m/>
    <x v="8"/>
    <m/>
    <m/>
    <m/>
    <m/>
    <m/>
    <n v="1"/>
    <m/>
    <n v="3"/>
    <m/>
    <m/>
    <n v="76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21"/>
    <s v="Native"/>
    <s v="Chochola"/>
    <s v="Chochola_17102023_GoPro 9_0725"/>
    <n v="1"/>
    <s v="licking/gleaning?"/>
    <x v="7"/>
    <x v="1"/>
    <m/>
    <m/>
    <x v="8"/>
    <m/>
    <m/>
    <m/>
    <m/>
    <m/>
    <n v="1"/>
    <m/>
    <n v="1"/>
    <m/>
    <m/>
    <n v="111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22"/>
    <s v="Native"/>
    <s v="Chochola"/>
    <s v="Chochola_10102023_XeroX-0725"/>
    <n v="1"/>
    <s v="licking?"/>
    <x v="5"/>
    <x v="1"/>
    <m/>
    <m/>
    <x v="8"/>
    <m/>
    <m/>
    <m/>
    <m/>
    <m/>
    <n v="1"/>
    <m/>
    <n v="2"/>
    <m/>
    <m/>
    <n v="17"/>
  </r>
  <r>
    <s v="Pollinator obs_DVR_MEX"/>
    <s v="DVR"/>
    <s v="Hymenoptera"/>
    <s v="Apidae"/>
    <s v="Apinae"/>
    <s v="Meliponini"/>
    <s v="Trigona"/>
    <x v="7"/>
    <x v="17"/>
    <s v="Meliponini"/>
    <s v="Small non-buzzer"/>
    <s v="Bee"/>
    <m/>
    <n v="943"/>
    <s v="Native"/>
    <s v="Tekik de Regil"/>
    <s v="Rancho_02102023_GoPro 9"/>
    <n v="0"/>
    <s v="quick check for pollen"/>
    <x v="0"/>
    <x v="0"/>
    <m/>
    <m/>
    <x v="8"/>
    <m/>
    <m/>
    <m/>
    <m/>
    <m/>
    <n v="1"/>
    <m/>
    <m/>
    <m/>
    <m/>
    <n v="122"/>
  </r>
  <r>
    <s v="pollinator obs_humans"/>
    <s v="Human observations"/>
    <s v="Blattodea"/>
    <m/>
    <m/>
    <m/>
    <m/>
    <x v="3"/>
    <x v="18"/>
    <s v="Others"/>
    <s v="Non bee, non-buzzer"/>
    <s v="Cockroach"/>
    <s v="Cockroach"/>
    <n v="124"/>
    <s v="Invasive"/>
    <s v="West Normanby River"/>
    <d v="2022-06-02T00:00:00"/>
    <n v="1"/>
    <s v="Biting"/>
    <x v="1"/>
    <x v="1"/>
    <n v="0"/>
    <m/>
    <x v="8"/>
    <m/>
    <m/>
    <m/>
    <m/>
    <m/>
    <n v="1"/>
    <m/>
    <n v="1"/>
    <m/>
    <m/>
    <n v="1"/>
  </r>
  <r>
    <s v="pollinator obs_humans"/>
    <s v="Human observations"/>
    <s v="Coleoptera"/>
    <s v="Coccinellidae"/>
    <m/>
    <m/>
    <m/>
    <x v="3"/>
    <x v="19"/>
    <s v="Others"/>
    <s v="Non bee, non-buzzer"/>
    <s v="Lady Beetle"/>
    <s v="Lady Beetle"/>
    <n v="125"/>
    <s v="Invasive"/>
    <s v="Barron River"/>
    <d v="2022-06-16T00:00:00"/>
    <n v="0"/>
    <m/>
    <x v="0"/>
    <x v="0"/>
    <n v="0"/>
    <m/>
    <x v="8"/>
    <m/>
    <m/>
    <m/>
    <m/>
    <m/>
    <n v="1"/>
    <m/>
    <n v="1"/>
    <m/>
    <m/>
    <n v="2"/>
  </r>
  <r>
    <s v="pollinator obs_humans"/>
    <s v="Human observations"/>
    <s v="Coleoptera"/>
    <s v="Curculionidae"/>
    <s v="Molytinae"/>
    <s v="Mecysolobini"/>
    <s v="Cylindralcides "/>
    <x v="0"/>
    <x v="0"/>
    <s v="Others"/>
    <s v="Non bee, non-buzzer"/>
    <s v="Weevil"/>
    <s v="Weevil"/>
    <n v="126"/>
    <s v="Invasive"/>
    <s v="West Normanby River"/>
    <d v="2022-06-02T00:00:00"/>
    <n v="0"/>
    <s v="Biting"/>
    <x v="1"/>
    <x v="1"/>
    <n v="0"/>
    <m/>
    <x v="8"/>
    <m/>
    <m/>
    <m/>
    <m/>
    <m/>
    <n v="1"/>
    <m/>
    <n v="1"/>
    <m/>
    <m/>
    <n v="3"/>
  </r>
  <r>
    <s v="pollinator obs_humans"/>
    <s v="Human observations"/>
    <s v="Diptera"/>
    <s v="Calliphoridae"/>
    <m/>
    <m/>
    <m/>
    <x v="3"/>
    <x v="20"/>
    <s v="Others"/>
    <s v="Non bee, non-buzzer"/>
    <s v="Blow Fly"/>
    <s v="Blow Fly"/>
    <n v="127"/>
    <s v="Invasive"/>
    <s v="West Normanby River"/>
    <d v="2022-06-02T00:00:00"/>
    <n v="0"/>
    <s v="Biting"/>
    <x v="1"/>
    <x v="1"/>
    <n v="0"/>
    <m/>
    <x v="8"/>
    <m/>
    <m/>
    <m/>
    <m/>
    <m/>
    <n v="1"/>
    <m/>
    <n v="1"/>
    <m/>
    <m/>
    <n v="4"/>
  </r>
  <r>
    <s v="pollinator obs_humans"/>
    <s v="Human observations"/>
    <s v="Hymenoptera"/>
    <s v="Apidae"/>
    <s v="Apinae"/>
    <s v="Anthophorini"/>
    <s v="Amegilla"/>
    <x v="1"/>
    <x v="1"/>
    <s v="Amegilla species"/>
    <s v="Large buzzer"/>
    <s v="Blue Banded Bee"/>
    <s v="Blue Banded Bee"/>
    <n v="129"/>
    <s v="Invasive"/>
    <s v="Barron River"/>
    <d v="2022-06-15T00:00:00"/>
    <n v="0"/>
    <m/>
    <x v="0"/>
    <x v="0"/>
    <n v="0"/>
    <m/>
    <x v="8"/>
    <m/>
    <m/>
    <m/>
    <m/>
    <m/>
    <n v="1"/>
    <m/>
    <n v="1"/>
    <m/>
    <m/>
    <n v="6"/>
  </r>
  <r>
    <s v="pollinator obs_humans"/>
    <s v="Human observations"/>
    <s v="Hymenoptera"/>
    <s v="Apidae"/>
    <s v="Apinae"/>
    <s v="Anthophorini"/>
    <s v="Amegilla"/>
    <x v="1"/>
    <x v="1"/>
    <s v="Amegilla species"/>
    <s v="Large buzzer"/>
    <s v="Blue Banded Bee"/>
    <s v="Blue Banded Bee"/>
    <n v="130"/>
    <s v="Invasive"/>
    <s v="Barron River"/>
    <d v="2022-06-16T00:00:00"/>
    <n v="0"/>
    <m/>
    <x v="0"/>
    <x v="0"/>
    <n v="0"/>
    <m/>
    <x v="8"/>
    <m/>
    <m/>
    <m/>
    <m/>
    <m/>
    <n v="1"/>
    <m/>
    <n v="1"/>
    <m/>
    <m/>
    <n v="7"/>
  </r>
  <r>
    <s v="pollinator obs_humans"/>
    <s v="Human observations"/>
    <s v="Hymenoptera"/>
    <s v="Apidae"/>
    <s v="Apinae"/>
    <s v="Anthophorini"/>
    <s v="Amegilla"/>
    <x v="1"/>
    <x v="1"/>
    <s v="Amegilla species"/>
    <s v="Large buzzer"/>
    <s v="Blue Banded Bee"/>
    <s v="Blue Banded Bee"/>
    <n v="131"/>
    <s v="Invasive"/>
    <s v="Barron River"/>
    <d v="2022-06-16T00:00:00"/>
    <n v="1"/>
    <s v="Biting"/>
    <x v="1"/>
    <x v="1"/>
    <n v="0"/>
    <m/>
    <x v="8"/>
    <m/>
    <m/>
    <m/>
    <m/>
    <m/>
    <n v="1"/>
    <m/>
    <n v="1"/>
    <m/>
    <m/>
    <n v="8"/>
  </r>
  <r>
    <s v="pollinator obs_humans"/>
    <s v="Human observations"/>
    <s v="Hymenoptera"/>
    <s v="Apidae"/>
    <s v="Apinae"/>
    <s v="Anthophorini"/>
    <s v="Amegilla"/>
    <x v="1"/>
    <x v="1"/>
    <s v="Amegilla species"/>
    <s v="Large buzzer"/>
    <s v="Blue Banded Bee"/>
    <s v="Blue Banded Bee"/>
    <n v="132"/>
    <s v="Invasive"/>
    <s v="Barron River"/>
    <d v="2022-06-16T00:00:00"/>
    <n v="1"/>
    <s v="Biting"/>
    <x v="1"/>
    <x v="1"/>
    <n v="0"/>
    <m/>
    <x v="8"/>
    <m/>
    <m/>
    <m/>
    <m/>
    <m/>
    <n v="1"/>
    <m/>
    <n v="1"/>
    <m/>
    <m/>
    <n v="9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3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0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4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1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5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2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6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3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7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4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8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5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39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6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0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7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1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8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2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19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3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0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4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1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5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2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6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3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7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4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8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5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49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6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50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7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51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8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52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29"/>
  </r>
  <r>
    <s v="pollinator obs_humans"/>
    <s v="Human observations"/>
    <s v="Hymenoptera"/>
    <s v="Apidae"/>
    <s v="Apinae"/>
    <s v="Apini"/>
    <s v="Apis"/>
    <x v="2"/>
    <x v="2"/>
    <s v="Apis mellifera"/>
    <s v="Medium non-buzzer"/>
    <s v="Honey Bee"/>
    <s v="Honey Bee"/>
    <n v="153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30"/>
  </r>
  <r>
    <s v="pollinator obs_humans"/>
    <s v="Human observations"/>
    <s v="Hymenoptera"/>
    <s v="Apidae"/>
    <s v="Apinae"/>
    <s v="Meliponini"/>
    <s v="Austroplebeia"/>
    <x v="1"/>
    <x v="21"/>
    <s v="Meliponini"/>
    <s v="Small non-buzzer"/>
    <s v="Stingless Bee"/>
    <s v="Stingless Bee (Austro)"/>
    <n v="154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31"/>
  </r>
  <r>
    <s v="pollinator obs_humans"/>
    <s v="Human observations"/>
    <s v="Hymenoptera"/>
    <s v="Apidae"/>
    <s v="Apinae"/>
    <s v="Meliponini"/>
    <s v="Austroplebeia"/>
    <x v="1"/>
    <x v="21"/>
    <s v="Meliponini"/>
    <s v="Small non-buzzer"/>
    <s v="Stingless Bee"/>
    <s v="Stingless Bee (Austro)"/>
    <n v="155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32"/>
  </r>
  <r>
    <s v="pollinator obs_humans"/>
    <s v="Human observations"/>
    <s v="Hymenoptera"/>
    <s v="Apidae"/>
    <s v="Apinae"/>
    <s v="Meliponini"/>
    <s v="Austroplebeia"/>
    <x v="1"/>
    <x v="21"/>
    <s v="Meliponini"/>
    <s v="Small non-buzzer"/>
    <s v="Stingless Bee"/>
    <s v="Stingless Bee (Austro)"/>
    <n v="156"/>
    <s v="Invasive"/>
    <s v="Centenary Park"/>
    <d v="2022-05-26T00:00:00"/>
    <m/>
    <m/>
    <x v="0"/>
    <x v="0"/>
    <n v="0"/>
    <m/>
    <x v="8"/>
    <m/>
    <m/>
    <m/>
    <m/>
    <m/>
    <n v="1"/>
    <m/>
    <n v="1"/>
    <m/>
    <m/>
    <n v="33"/>
  </r>
  <r>
    <s v="pollinator obs_humans"/>
    <s v="Human observations"/>
    <s v="Hymenoptera"/>
    <s v="Formicidae"/>
    <m/>
    <m/>
    <m/>
    <x v="3"/>
    <x v="14"/>
    <s v="Others"/>
    <s v="Non bee, non-buzzer"/>
    <s v="Ant"/>
    <s v="Ant"/>
    <n v="349"/>
    <s v="Invasive"/>
    <s v="Barron River"/>
    <d v="2022-06-16T00:00:00"/>
    <n v="0"/>
    <m/>
    <x v="0"/>
    <x v="0"/>
    <n v="0"/>
    <m/>
    <x v="8"/>
    <m/>
    <m/>
    <m/>
    <m/>
    <m/>
    <n v="1"/>
    <m/>
    <n v="1"/>
    <m/>
    <m/>
    <n v="34"/>
  </r>
  <r>
    <s v="pollinator obs_humans"/>
    <s v="Human observations"/>
    <s v="Hymenoptera"/>
    <s v="Halicitdae"/>
    <m/>
    <m/>
    <m/>
    <x v="5"/>
    <x v="15"/>
    <s v="Halictidae"/>
    <s v="Medium buzzer"/>
    <s v="Sweat Bee"/>
    <s v="Sweat bee (1)"/>
    <n v="368"/>
    <s v="Invasive"/>
    <s v="Barron River"/>
    <d v="2022-06-15T00:00:00"/>
    <n v="0"/>
    <m/>
    <x v="0"/>
    <x v="0"/>
    <n v="0"/>
    <m/>
    <x v="8"/>
    <m/>
    <m/>
    <m/>
    <m/>
    <m/>
    <n v="1"/>
    <m/>
    <n v="1"/>
    <m/>
    <m/>
    <n v="35"/>
  </r>
  <r>
    <s v="pollinator obs_humans"/>
    <s v="Human observations"/>
    <s v="Hymenoptera"/>
    <s v="Halicitdae"/>
    <m/>
    <m/>
    <m/>
    <x v="5"/>
    <x v="15"/>
    <s v="Halictidae"/>
    <s v="Medium buzzer"/>
    <s v="Sweat Bee"/>
    <s v="Sweat bee (1)"/>
    <n v="369"/>
    <s v="Invasive"/>
    <s v="Barron River"/>
    <d v="2022-06-16T00:00:00"/>
    <n v="0"/>
    <m/>
    <x v="0"/>
    <x v="0"/>
    <n v="0"/>
    <m/>
    <x v="8"/>
    <m/>
    <m/>
    <m/>
    <m/>
    <m/>
    <n v="1"/>
    <m/>
    <n v="1"/>
    <m/>
    <m/>
    <n v="36"/>
  </r>
  <r>
    <s v="pollinator obs_humans"/>
    <s v="Human observations"/>
    <s v="Hymenoptera"/>
    <s v="Halicitdae"/>
    <m/>
    <m/>
    <m/>
    <x v="5"/>
    <x v="15"/>
    <s v="Halictidae"/>
    <s v="Medium buzzer"/>
    <s v="Sweat Bee"/>
    <s v="Sweat bee (1)"/>
    <n v="526"/>
    <s v="Invasive"/>
    <s v="Barron River"/>
    <d v="2022-06-16T00:00:00"/>
    <n v="0"/>
    <s v="gl"/>
    <x v="2"/>
    <x v="1"/>
    <n v="0"/>
    <m/>
    <x v="8"/>
    <m/>
    <m/>
    <m/>
    <m/>
    <m/>
    <n v="1"/>
    <m/>
    <n v="1"/>
    <m/>
    <m/>
    <n v="37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0"/>
    <s v="Invasive"/>
    <s v="Barron River"/>
    <d v="2022-06-16T00:00:00"/>
    <n v="1"/>
    <m/>
    <x v="0"/>
    <x v="0"/>
    <n v="0"/>
    <m/>
    <x v="8"/>
    <m/>
    <m/>
    <m/>
    <m/>
    <m/>
    <n v="1"/>
    <m/>
    <n v="1"/>
    <m/>
    <m/>
    <n v="38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1"/>
    <s v="Invasive"/>
    <s v="Barron River"/>
    <d v="2022-06-16T00:00:00"/>
    <n v="1"/>
    <s v="buzz"/>
    <x v="4"/>
    <x v="2"/>
    <n v="0"/>
    <m/>
    <x v="8"/>
    <m/>
    <m/>
    <m/>
    <m/>
    <m/>
    <n v="1"/>
    <m/>
    <n v="7"/>
    <m/>
    <m/>
    <n v="39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2"/>
    <s v="Invasive"/>
    <s v="Barron River"/>
    <d v="2022-06-16T00:00:00"/>
    <n v="1"/>
    <s v="buzz"/>
    <x v="4"/>
    <x v="2"/>
    <n v="0"/>
    <m/>
    <x v="8"/>
    <m/>
    <m/>
    <m/>
    <m/>
    <m/>
    <n v="1"/>
    <m/>
    <n v="7"/>
    <m/>
    <m/>
    <n v="40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3"/>
    <s v="Invasive"/>
    <s v="Barron River"/>
    <d v="2022-06-16T00:00:00"/>
    <n v="1"/>
    <s v="buzz"/>
    <x v="4"/>
    <x v="2"/>
    <n v="0"/>
    <m/>
    <x v="8"/>
    <m/>
    <m/>
    <m/>
    <m/>
    <m/>
    <n v="1"/>
    <m/>
    <n v="7"/>
    <m/>
    <m/>
    <n v="41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4"/>
    <s v="Invasive"/>
    <s v="Barron River"/>
    <d v="2022-06-16T00:00:00"/>
    <n v="1"/>
    <s v="buzz"/>
    <x v="4"/>
    <x v="2"/>
    <n v="0"/>
    <m/>
    <x v="8"/>
    <m/>
    <m/>
    <m/>
    <m/>
    <m/>
    <n v="1"/>
    <m/>
    <n v="7"/>
    <m/>
    <m/>
    <n v="42"/>
  </r>
  <r>
    <s v="pollinator obs_humans"/>
    <s v="Human observations"/>
    <s v="Hymenoptera"/>
    <s v="Halictidae"/>
    <s v="Nomiinae"/>
    <m/>
    <s v="Lipotriches"/>
    <x v="1"/>
    <x v="5"/>
    <s v="Halictidae"/>
    <s v="Medium buzzer"/>
    <s v="Sweat Bee"/>
    <s v="Sweat bee (2)"/>
    <n v="356"/>
    <s v="Invasive"/>
    <s v="Barron River"/>
    <d v="2022-06-16T00:00:00"/>
    <n v="1"/>
    <s v="Didn't forage"/>
    <x v="0"/>
    <x v="0"/>
    <n v="0"/>
    <m/>
    <x v="8"/>
    <m/>
    <m/>
    <m/>
    <m/>
    <m/>
    <n v="1"/>
    <m/>
    <n v="9"/>
    <m/>
    <m/>
    <n v="43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57"/>
    <s v="Invasive"/>
    <s v="West Normanby River"/>
    <d v="2022-06-02T00:00:00"/>
    <n v="0"/>
    <s v="didn't forage for pollen"/>
    <x v="0"/>
    <x v="0"/>
    <n v="0"/>
    <m/>
    <x v="8"/>
    <m/>
    <m/>
    <m/>
    <m/>
    <m/>
    <n v="1"/>
    <m/>
    <n v="42"/>
    <m/>
    <m/>
    <n v="44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58"/>
    <s v="Invasive"/>
    <s v="White Rock"/>
    <d v="2022-06-22T00:00:00"/>
    <n v="0"/>
    <s v="didn't forage for pollen"/>
    <x v="0"/>
    <x v="0"/>
    <n v="0"/>
    <m/>
    <x v="8"/>
    <m/>
    <m/>
    <m/>
    <m/>
    <m/>
    <n v="1"/>
    <m/>
    <n v="29"/>
    <m/>
    <m/>
    <n v="45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59"/>
    <s v="Invasive"/>
    <s v="White Rock"/>
    <d v="2022-06-22T00:00:00"/>
    <n v="0"/>
    <s v="fought another Tetragonulat in the flower then left"/>
    <x v="0"/>
    <x v="0"/>
    <n v="0"/>
    <m/>
    <x v="8"/>
    <m/>
    <m/>
    <m/>
    <m/>
    <m/>
    <n v="1"/>
    <m/>
    <n v="29"/>
    <m/>
    <m/>
    <n v="46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60"/>
    <s v="Invasive"/>
    <s v="White Rock"/>
    <d v="2022-06-22T00:00:00"/>
    <n v="0"/>
    <m/>
    <x v="0"/>
    <x v="0"/>
    <n v="0"/>
    <m/>
    <x v="8"/>
    <m/>
    <m/>
    <m/>
    <m/>
    <m/>
    <n v="1"/>
    <m/>
    <n v="17"/>
    <m/>
    <m/>
    <n v="47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61"/>
    <s v="Invasive"/>
    <s v="White Rock"/>
    <d v="2022-06-22T00:00:00"/>
    <n v="1"/>
    <s v="gl"/>
    <x v="2"/>
    <x v="1"/>
    <n v="0"/>
    <m/>
    <x v="8"/>
    <m/>
    <m/>
    <m/>
    <m/>
    <m/>
    <n v="1"/>
    <m/>
    <n v="13"/>
    <m/>
    <m/>
    <n v="48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62"/>
    <s v="Invasive"/>
    <s v="White Rock"/>
    <d v="2022-06-22T00:00:00"/>
    <n v="1"/>
    <s v="gl"/>
    <x v="2"/>
    <x v="1"/>
    <n v="0"/>
    <m/>
    <x v="8"/>
    <m/>
    <m/>
    <m/>
    <m/>
    <m/>
    <n v="1"/>
    <m/>
    <n v="13"/>
    <m/>
    <m/>
    <n v="49"/>
  </r>
  <r>
    <s v="pollinator obs_humans"/>
    <s v="Human observations"/>
    <s v="Hymenoptera"/>
    <s v="Halictidae"/>
    <s v="Nomiinae"/>
    <m/>
    <s v="Mellitidia"/>
    <x v="1"/>
    <x v="6"/>
    <s v="Halictidae"/>
    <s v="Medium buzzer"/>
    <s v="Sweat Bee"/>
    <s v="Sweat bee (3)"/>
    <n v="363"/>
    <s v="Invasive"/>
    <s v="White Rock"/>
    <d v="2022-06-22T00:00:00"/>
    <n v="1"/>
    <s v="gl"/>
    <x v="2"/>
    <x v="1"/>
    <n v="0"/>
    <m/>
    <x v="8"/>
    <m/>
    <m/>
    <m/>
    <m/>
    <m/>
    <n v="1"/>
    <m/>
    <n v="13"/>
    <m/>
    <m/>
    <n v="50"/>
  </r>
  <r>
    <s v="pollinator obs_humans"/>
    <s v="Human observations"/>
    <s v="Hymenoptera"/>
    <s v="Colletidae"/>
    <s v="Hylaeinae"/>
    <m/>
    <s v="Palaeorhiza"/>
    <x v="1"/>
    <x v="7"/>
    <s v="Palaeorhiza species"/>
    <s v="Medium non-buzzer"/>
    <s v="Plasterer Bee"/>
    <s v="Plasterer Bees"/>
    <n v="346"/>
    <s v="Invasive"/>
    <s v="White Rock"/>
    <d v="2022-06-22T00:00:00"/>
    <n v="0"/>
    <m/>
    <x v="0"/>
    <x v="0"/>
    <n v="0"/>
    <m/>
    <x v="8"/>
    <m/>
    <m/>
    <m/>
    <m/>
    <m/>
    <n v="1"/>
    <m/>
    <n v="29"/>
    <m/>
    <m/>
    <n v="51"/>
  </r>
  <r>
    <s v="pollinator obs_humans"/>
    <s v="Human observations"/>
    <s v="Hymenoptera"/>
    <s v="Colletidae"/>
    <s v="Hylaeinae"/>
    <m/>
    <s v="Palaeorhiza"/>
    <x v="1"/>
    <x v="7"/>
    <s v="Palaeorhiza species"/>
    <s v="Medium non-buzzer"/>
    <s v="Plasterer Bee"/>
    <s v="Plasterer Bees"/>
    <n v="347"/>
    <s v="Invasive"/>
    <s v="White Rock"/>
    <d v="2022-06-22T00:00:00"/>
    <n v="0"/>
    <s v="buzz"/>
    <x v="4"/>
    <x v="2"/>
    <n v="0"/>
    <m/>
    <x v="8"/>
    <m/>
    <m/>
    <m/>
    <m/>
    <m/>
    <n v="1"/>
    <m/>
    <n v="17"/>
    <m/>
    <m/>
    <n v="52"/>
  </r>
  <r>
    <s v="pollinator obs_humans"/>
    <s v="Human observations"/>
    <s v="Hymenoptera"/>
    <s v="Colletidae"/>
    <s v="Hylaeinae"/>
    <m/>
    <s v="Palaeorhiza"/>
    <x v="1"/>
    <x v="7"/>
    <s v="Palaeorhiza species"/>
    <s v="Medium non-buzzer"/>
    <s v="Plasterer Bee"/>
    <s v="Plasterer Bees"/>
    <n v="348"/>
    <s v="Invasive"/>
    <s v="White Rock"/>
    <d v="2022-06-22T00:00:00"/>
    <n v="1"/>
    <s v="buzz"/>
    <x v="4"/>
    <x v="2"/>
    <n v="0"/>
    <m/>
    <x v="8"/>
    <m/>
    <m/>
    <m/>
    <m/>
    <m/>
    <n v="1"/>
    <m/>
    <n v="15"/>
    <m/>
    <m/>
    <n v="53"/>
  </r>
  <r>
    <s v="pollinator obs_humans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364"/>
    <s v="Invasive"/>
    <s v="West Normanby River"/>
    <d v="2022-06-02T00:00:00"/>
    <n v="0"/>
    <m/>
    <x v="0"/>
    <x v="0"/>
    <n v="0"/>
    <m/>
    <x v="8"/>
    <m/>
    <m/>
    <m/>
    <m/>
    <m/>
    <n v="1"/>
    <m/>
    <n v="30"/>
    <m/>
    <m/>
    <n v="55"/>
  </r>
  <r>
    <s v="pollinator obs_humans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365"/>
    <s v="Invasive"/>
    <s v="Centenary Park"/>
    <d v="2022-05-26T00:00:00"/>
    <m/>
    <s v="gl"/>
    <x v="2"/>
    <x v="1"/>
    <n v="0"/>
    <m/>
    <x v="8"/>
    <m/>
    <m/>
    <m/>
    <m/>
    <m/>
    <n v="1"/>
    <m/>
    <n v="36"/>
    <m/>
    <m/>
    <n v="54"/>
  </r>
  <r>
    <s v="pollinator obs_humans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366"/>
    <s v="Invasive"/>
    <s v="West Normanby River"/>
    <d v="2022-06-02T00:00:00"/>
    <n v="0"/>
    <m/>
    <x v="0"/>
    <x v="0"/>
    <n v="0"/>
    <m/>
    <x v="8"/>
    <m/>
    <m/>
    <m/>
    <m/>
    <m/>
    <n v="1"/>
    <m/>
    <n v="19"/>
    <m/>
    <m/>
    <n v="56"/>
  </r>
  <r>
    <s v="pollinator obs_humans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367"/>
    <s v="Invasive"/>
    <s v="White Rock"/>
    <d v="2022-06-22T00:00:00"/>
    <n v="0"/>
    <m/>
    <x v="0"/>
    <x v="0"/>
    <n v="0"/>
    <m/>
    <x v="8"/>
    <m/>
    <m/>
    <m/>
    <m/>
    <m/>
    <n v="1"/>
    <m/>
    <n v="13"/>
    <m/>
    <m/>
    <n v="58"/>
  </r>
  <r>
    <s v="pollinator obs_humans"/>
    <s v="Human observations"/>
    <s v="Hymenoptera"/>
    <s v="Halictidae"/>
    <s v="Halictinae"/>
    <s v="Halictini"/>
    <s v="Patellapis"/>
    <x v="4"/>
    <x v="8"/>
    <s v="Halictidae"/>
    <s v="Medium buzzer"/>
    <s v="Sweat Bee"/>
    <s v="Sweat bee (4)"/>
    <n v="370"/>
    <s v="Invasive"/>
    <s v="West Normanby River"/>
    <d v="2022-06-02T00:00:00"/>
    <n v="0"/>
    <s v="gl"/>
    <x v="2"/>
    <x v="1"/>
    <n v="0"/>
    <m/>
    <x v="8"/>
    <m/>
    <m/>
    <m/>
    <m/>
    <m/>
    <n v="1"/>
    <m/>
    <n v="19"/>
    <m/>
    <m/>
    <n v="57"/>
  </r>
  <r>
    <s v="pollinator obs_humans"/>
    <s v="Human observations"/>
    <s v="Hymenoptera"/>
    <s v="Vespidae"/>
    <s v="Polistinae"/>
    <s v="Polistini"/>
    <s v="Polistes"/>
    <x v="1"/>
    <x v="22"/>
    <s v="Others"/>
    <s v="Non bee, non-buzzer"/>
    <s v="Paper Wasp"/>
    <s v="Paper Wasp"/>
    <n v="371"/>
    <s v="Invasive"/>
    <s v="Barron River"/>
    <d v="2022-06-16T00:00:00"/>
    <n v="0"/>
    <m/>
    <x v="0"/>
    <x v="0"/>
    <n v="0"/>
    <m/>
    <x v="8"/>
    <m/>
    <m/>
    <m/>
    <m/>
    <m/>
    <n v="1"/>
    <m/>
    <n v="9"/>
    <m/>
    <m/>
    <n v="59"/>
  </r>
  <r>
    <s v="pollinator obs_humans"/>
    <s v="Human observations"/>
    <s v="Hymenoptera"/>
    <s v="Syrphidae"/>
    <m/>
    <m/>
    <m/>
    <x v="3"/>
    <x v="23"/>
    <s v="Others"/>
    <s v="Non bee, non-buzzer"/>
    <s v="Hover Fly"/>
    <s v="Hover Fly"/>
    <n v="128"/>
    <s v="Invasive"/>
    <s v="Barron River"/>
    <d v="2022-06-16T00:00:00"/>
    <n v="1"/>
    <s v="Biting"/>
    <x v="1"/>
    <x v="1"/>
    <n v="0"/>
    <m/>
    <x v="8"/>
    <m/>
    <m/>
    <m/>
    <m/>
    <m/>
    <n v="1"/>
    <m/>
    <n v="1"/>
    <m/>
    <m/>
    <n v="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57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6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58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6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59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6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0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6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1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6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2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6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3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6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4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6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5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6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6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6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7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8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69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0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1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2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3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4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5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6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7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7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8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8"/>
    <s v="Invasive"/>
    <s v="Centenary Park"/>
    <d v="2022-05-26T00:00:00"/>
    <m/>
    <m/>
    <x v="0"/>
    <x v="0"/>
    <n v="0"/>
    <m/>
    <x v="8"/>
    <m/>
    <m/>
    <m/>
    <m/>
    <m/>
    <n v="1"/>
    <m/>
    <n v="46"/>
    <m/>
    <m/>
    <n v="8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79"/>
    <s v="Invasive"/>
    <s v="Centenary Park"/>
    <d v="2022-05-26T00:00:00"/>
    <m/>
    <m/>
    <x v="0"/>
    <x v="0"/>
    <n v="0"/>
    <m/>
    <x v="8"/>
    <m/>
    <m/>
    <m/>
    <m/>
    <m/>
    <n v="1"/>
    <m/>
    <n v="36"/>
    <m/>
    <m/>
    <n v="8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0"/>
    <s v="Invasive"/>
    <s v="Centenary Park"/>
    <d v="2022-05-26T00:00:00"/>
    <m/>
    <m/>
    <x v="0"/>
    <x v="0"/>
    <n v="0"/>
    <m/>
    <x v="8"/>
    <m/>
    <m/>
    <m/>
    <m/>
    <m/>
    <n v="1"/>
    <m/>
    <n v="22"/>
    <m/>
    <m/>
    <n v="8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1"/>
    <s v="Invasive"/>
    <s v="Centenary Park"/>
    <d v="2022-05-26T00:00:00"/>
    <m/>
    <m/>
    <x v="0"/>
    <x v="0"/>
    <n v="0"/>
    <m/>
    <x v="8"/>
    <m/>
    <m/>
    <m/>
    <m/>
    <m/>
    <n v="1"/>
    <m/>
    <n v="22"/>
    <m/>
    <m/>
    <n v="8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2"/>
    <s v="Invasive"/>
    <s v="Centenary Park"/>
    <d v="2022-05-26T00:00:00"/>
    <m/>
    <m/>
    <x v="0"/>
    <x v="0"/>
    <n v="0"/>
    <m/>
    <x v="8"/>
    <m/>
    <m/>
    <m/>
    <m/>
    <m/>
    <n v="1"/>
    <m/>
    <n v="22"/>
    <m/>
    <m/>
    <n v="8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3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8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4"/>
    <s v="Invasive"/>
    <s v="Centenary Park"/>
    <d v="2022-05-26T00:00:00"/>
    <m/>
    <s v="Biting"/>
    <x v="1"/>
    <x v="1"/>
    <n v="0"/>
    <m/>
    <x v="8"/>
    <m/>
    <m/>
    <m/>
    <m/>
    <m/>
    <n v="1"/>
    <m/>
    <n v="31"/>
    <m/>
    <m/>
    <n v="8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5"/>
    <s v="Invasive"/>
    <s v="Centenary Park"/>
    <d v="2022-05-26T00:00:00"/>
    <m/>
    <m/>
    <x v="0"/>
    <x v="0"/>
    <n v="0"/>
    <m/>
    <x v="8"/>
    <m/>
    <m/>
    <m/>
    <m/>
    <m/>
    <n v="1"/>
    <m/>
    <n v="31"/>
    <m/>
    <m/>
    <n v="8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6"/>
    <s v="Invasive"/>
    <s v="Centenary Park"/>
    <d v="2022-05-26T00:00:00"/>
    <n v="0"/>
    <m/>
    <x v="0"/>
    <x v="0"/>
    <n v="0"/>
    <m/>
    <x v="8"/>
    <m/>
    <m/>
    <m/>
    <m/>
    <m/>
    <n v="1"/>
    <m/>
    <n v="31"/>
    <m/>
    <m/>
    <n v="8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7"/>
    <s v="Invasive"/>
    <s v="Centenary Park"/>
    <d v="2022-05-26T00:00:00"/>
    <n v="0"/>
    <m/>
    <x v="0"/>
    <x v="0"/>
    <n v="0"/>
    <m/>
    <x v="8"/>
    <m/>
    <m/>
    <m/>
    <m/>
    <m/>
    <n v="1"/>
    <m/>
    <n v="31"/>
    <m/>
    <m/>
    <n v="9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8"/>
    <s v="Invasive"/>
    <s v="Centenary Park"/>
    <d v="2022-05-26T00:00:00"/>
    <n v="1"/>
    <m/>
    <x v="0"/>
    <x v="0"/>
    <n v="0"/>
    <m/>
    <x v="8"/>
    <m/>
    <m/>
    <m/>
    <m/>
    <m/>
    <n v="1"/>
    <m/>
    <n v="31"/>
    <m/>
    <m/>
    <n v="9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89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0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9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1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2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3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4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5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9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6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9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7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8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0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199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0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1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2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3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0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4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5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6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0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7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1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8"/>
    <s v="Invasive"/>
    <s v="West Normanby River"/>
    <d v="2022-06-02T00:00:00"/>
    <n v="0"/>
    <s v="Biting"/>
    <x v="1"/>
    <x v="1"/>
    <n v="0"/>
    <m/>
    <x v="8"/>
    <m/>
    <m/>
    <m/>
    <m/>
    <m/>
    <n v="1"/>
    <m/>
    <n v="32"/>
    <m/>
    <m/>
    <n v="11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09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1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0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1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1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1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2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1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3"/>
    <s v="Invasive"/>
    <s v="West Normanby River"/>
    <d v="2022-06-02T00:00:00"/>
    <n v="1"/>
    <s v="Biting"/>
    <x v="1"/>
    <x v="1"/>
    <n v="0"/>
    <m/>
    <x v="8"/>
    <m/>
    <m/>
    <m/>
    <m/>
    <m/>
    <n v="1"/>
    <m/>
    <n v="32"/>
    <m/>
    <m/>
    <n v="11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4"/>
    <s v="Invasive"/>
    <s v="West Normanby River"/>
    <d v="2022-06-02T00:00:00"/>
    <n v="0"/>
    <s v="Biting"/>
    <x v="1"/>
    <x v="1"/>
    <n v="0"/>
    <m/>
    <x v="8"/>
    <m/>
    <m/>
    <m/>
    <m/>
    <m/>
    <n v="1"/>
    <m/>
    <n v="26"/>
    <m/>
    <m/>
    <n v="11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5"/>
    <s v="Invasive"/>
    <s v="West Normanby River"/>
    <d v="2022-06-02T00:00:00"/>
    <n v="1"/>
    <s v="Biting"/>
    <x v="1"/>
    <x v="1"/>
    <n v="0"/>
    <m/>
    <x v="8"/>
    <m/>
    <m/>
    <m/>
    <m/>
    <m/>
    <n v="1"/>
    <m/>
    <n v="26"/>
    <m/>
    <m/>
    <n v="11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6"/>
    <s v="Invasive"/>
    <s v="West Normanby River"/>
    <d v="2022-06-02T00:00:00"/>
    <n v="0"/>
    <s v="Biting"/>
    <x v="1"/>
    <x v="1"/>
    <n v="0"/>
    <m/>
    <x v="8"/>
    <m/>
    <m/>
    <m/>
    <m/>
    <m/>
    <n v="1"/>
    <m/>
    <n v="26"/>
    <m/>
    <m/>
    <n v="11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7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8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2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19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0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1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2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2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3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4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5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2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6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2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7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3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8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29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3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0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3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1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3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2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3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4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5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6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3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7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8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39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0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1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2"/>
    <s v="Invasive"/>
    <s v="West Normanby River"/>
    <d v="2022-06-02T00:00:00"/>
    <n v="0"/>
    <s v="Biting"/>
    <x v="1"/>
    <x v="1"/>
    <n v="0"/>
    <m/>
    <x v="8"/>
    <m/>
    <m/>
    <m/>
    <m/>
    <m/>
    <n v="1"/>
    <m/>
    <n v="45"/>
    <m/>
    <m/>
    <n v="14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3"/>
    <s v="Invasive"/>
    <s v="West Normanby River"/>
    <d v="2022-06-02T00:00:00"/>
    <n v="1"/>
    <s v="Biting"/>
    <x v="1"/>
    <x v="1"/>
    <n v="0"/>
    <m/>
    <x v="8"/>
    <m/>
    <m/>
    <m/>
    <m/>
    <m/>
    <n v="1"/>
    <m/>
    <n v="45"/>
    <m/>
    <m/>
    <n v="14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4"/>
    <s v="Invasive"/>
    <s v="West Normanby River"/>
    <d v="2022-06-02T00:00:00"/>
    <n v="1"/>
    <s v="Biting"/>
    <x v="1"/>
    <x v="1"/>
    <n v="0"/>
    <m/>
    <x v="8"/>
    <m/>
    <m/>
    <m/>
    <m/>
    <m/>
    <n v="1"/>
    <m/>
    <n v="30"/>
    <m/>
    <m/>
    <n v="14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5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4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6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4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7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8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49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0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1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2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3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4"/>
    <s v="Invasive"/>
    <s v="West Normanby River"/>
    <d v="2022-06-02T00:00:00"/>
    <n v="1"/>
    <s v="Biting"/>
    <x v="1"/>
    <x v="1"/>
    <n v="0"/>
    <m/>
    <x v="8"/>
    <m/>
    <m/>
    <m/>
    <m/>
    <m/>
    <n v="1"/>
    <m/>
    <n v="30"/>
    <m/>
    <m/>
    <n v="15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5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6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5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7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6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8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6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59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6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0"/>
    <s v="Invasive"/>
    <s v="West Normanby River"/>
    <d v="2022-06-02T00:00:00"/>
    <n v="0"/>
    <s v="Biting"/>
    <x v="1"/>
    <x v="1"/>
    <n v="0"/>
    <m/>
    <x v="8"/>
    <m/>
    <m/>
    <m/>
    <m/>
    <m/>
    <n v="1"/>
    <m/>
    <n v="30"/>
    <m/>
    <m/>
    <n v="16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1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6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2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6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3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6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4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6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5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6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6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6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7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7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8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7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69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7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0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7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1"/>
    <s v="Invasive"/>
    <s v="West Normanby River"/>
    <d v="2022-06-02T00:00:00"/>
    <n v="0"/>
    <s v="Biting"/>
    <x v="1"/>
    <x v="1"/>
    <n v="0"/>
    <m/>
    <x v="8"/>
    <m/>
    <m/>
    <m/>
    <m/>
    <m/>
    <n v="1"/>
    <m/>
    <n v="42"/>
    <m/>
    <m/>
    <n v="17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2"/>
    <s v="Invasive"/>
    <s v="West Normanby River"/>
    <d v="2022-06-02T00:00:00"/>
    <n v="1"/>
    <s v="Biting"/>
    <x v="1"/>
    <x v="1"/>
    <n v="0"/>
    <m/>
    <x v="8"/>
    <m/>
    <m/>
    <m/>
    <m/>
    <m/>
    <n v="1"/>
    <m/>
    <n v="42"/>
    <m/>
    <m/>
    <n v="17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3"/>
    <s v="Invasive"/>
    <s v="West Normanby River"/>
    <d v="2022-06-02T00:00:00"/>
    <n v="0"/>
    <s v="Biting"/>
    <x v="1"/>
    <x v="1"/>
    <n v="0"/>
    <m/>
    <x v="8"/>
    <m/>
    <m/>
    <m/>
    <m/>
    <m/>
    <n v="1"/>
    <m/>
    <n v="42"/>
    <m/>
    <m/>
    <n v="17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4"/>
    <s v="Invasive"/>
    <s v="West Normanby River"/>
    <d v="2022-06-02T00:00:00"/>
    <n v="0"/>
    <s v="Biting"/>
    <x v="1"/>
    <x v="1"/>
    <n v="0"/>
    <m/>
    <x v="8"/>
    <m/>
    <m/>
    <m/>
    <m/>
    <m/>
    <n v="1"/>
    <m/>
    <n v="42"/>
    <m/>
    <m/>
    <n v="17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5"/>
    <s v="Invasive"/>
    <s v="West Normanby River"/>
    <d v="2022-06-02T00:00:00"/>
    <n v="0"/>
    <s v="Biting"/>
    <x v="1"/>
    <x v="1"/>
    <n v="0"/>
    <m/>
    <x v="8"/>
    <m/>
    <m/>
    <m/>
    <m/>
    <m/>
    <n v="1"/>
    <m/>
    <n v="42"/>
    <m/>
    <m/>
    <n v="17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6"/>
    <s v="Invasive"/>
    <s v="West Normanby River"/>
    <d v="2022-06-02T00:00:00"/>
    <n v="0"/>
    <s v="Biting"/>
    <x v="1"/>
    <x v="1"/>
    <n v="0"/>
    <m/>
    <x v="8"/>
    <m/>
    <m/>
    <m/>
    <m/>
    <m/>
    <n v="1"/>
    <m/>
    <n v="42"/>
    <m/>
    <m/>
    <n v="17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7"/>
    <s v="Invasive"/>
    <s v="West Normanby River"/>
    <d v="2022-06-02T00:00:00"/>
    <n v="0"/>
    <m/>
    <x v="0"/>
    <x v="0"/>
    <n v="0"/>
    <m/>
    <x v="8"/>
    <m/>
    <m/>
    <m/>
    <m/>
    <m/>
    <n v="1"/>
    <m/>
    <n v="19"/>
    <m/>
    <m/>
    <n v="18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8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8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79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8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0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8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1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8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2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8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3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8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4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8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5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8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6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8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7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8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89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0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1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2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3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4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5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19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6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19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7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20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8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20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299"/>
    <s v="Invasive"/>
    <s v="West Normanby River"/>
    <d v="2022-06-02T00:00:00"/>
    <n v="0"/>
    <s v="Biting"/>
    <x v="1"/>
    <x v="1"/>
    <n v="0"/>
    <m/>
    <x v="8"/>
    <m/>
    <m/>
    <m/>
    <m/>
    <m/>
    <n v="1"/>
    <m/>
    <n v="19"/>
    <m/>
    <m/>
    <n v="20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0"/>
    <s v="Invasive"/>
    <s v="West Normanby River"/>
    <d v="2022-06-02T00:00:00"/>
    <n v="1"/>
    <s v="Biting"/>
    <x v="1"/>
    <x v="1"/>
    <n v="0"/>
    <m/>
    <x v="8"/>
    <m/>
    <m/>
    <m/>
    <m/>
    <m/>
    <n v="1"/>
    <m/>
    <n v="19"/>
    <m/>
    <m/>
    <n v="20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1"/>
    <s v="Invasive"/>
    <s v="West Normanby River"/>
    <d v="2022-06-02T00:00:00"/>
    <n v="0"/>
    <s v="Biting"/>
    <x v="1"/>
    <x v="1"/>
    <n v="0"/>
    <m/>
    <x v="8"/>
    <m/>
    <m/>
    <m/>
    <m/>
    <m/>
    <n v="1"/>
    <m/>
    <n v="13"/>
    <m/>
    <m/>
    <n v="20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2"/>
    <s v="Invasive"/>
    <s v="West Normanby River"/>
    <d v="2022-06-02T00:00:00"/>
    <n v="1"/>
    <s v="Biting"/>
    <x v="1"/>
    <x v="1"/>
    <n v="0"/>
    <m/>
    <x v="8"/>
    <m/>
    <m/>
    <m/>
    <m/>
    <m/>
    <n v="1"/>
    <m/>
    <n v="13"/>
    <m/>
    <m/>
    <n v="20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3"/>
    <s v="Invasive"/>
    <s v="West Normanby River"/>
    <d v="2022-06-02T00:00:00"/>
    <n v="0"/>
    <s v="Biting"/>
    <x v="1"/>
    <x v="1"/>
    <n v="0"/>
    <m/>
    <x v="8"/>
    <m/>
    <m/>
    <m/>
    <m/>
    <m/>
    <n v="1"/>
    <m/>
    <n v="13"/>
    <m/>
    <m/>
    <n v="20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4"/>
    <s v="Invasive"/>
    <s v="West Normanby River"/>
    <d v="2022-06-02T00:00:00"/>
    <n v="1"/>
    <s v="Biting"/>
    <x v="1"/>
    <x v="1"/>
    <n v="0"/>
    <m/>
    <x v="8"/>
    <m/>
    <m/>
    <m/>
    <m/>
    <m/>
    <n v="1"/>
    <m/>
    <n v="13"/>
    <m/>
    <m/>
    <n v="20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5"/>
    <s v="Invasive"/>
    <s v="West Normanby River"/>
    <d v="2022-06-02T00:00:00"/>
    <n v="0"/>
    <s v="Biting"/>
    <x v="1"/>
    <x v="1"/>
    <n v="0"/>
    <m/>
    <x v="8"/>
    <m/>
    <m/>
    <m/>
    <m/>
    <m/>
    <n v="1"/>
    <m/>
    <n v="13"/>
    <m/>
    <m/>
    <n v="20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6"/>
    <s v="Invasive"/>
    <s v="West Normanby River"/>
    <d v="2022-06-02T00:00:00"/>
    <n v="0"/>
    <s v="Biting"/>
    <x v="1"/>
    <x v="1"/>
    <n v="0"/>
    <m/>
    <x v="8"/>
    <m/>
    <m/>
    <m/>
    <m/>
    <m/>
    <n v="1"/>
    <m/>
    <n v="13"/>
    <m/>
    <m/>
    <n v="20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7"/>
    <s v="Invasive"/>
    <s v="West Normanby River"/>
    <d v="2022-06-02T00:00:00"/>
    <n v="1"/>
    <s v="Biting"/>
    <x v="1"/>
    <x v="1"/>
    <n v="0"/>
    <m/>
    <x v="8"/>
    <m/>
    <m/>
    <m/>
    <m/>
    <m/>
    <n v="1"/>
    <m/>
    <n v="13"/>
    <m/>
    <m/>
    <n v="21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8"/>
    <s v="Invasive"/>
    <s v="West Normanby River"/>
    <d v="2022-06-02T00:00:00"/>
    <n v="0"/>
    <s v="Biting"/>
    <x v="1"/>
    <x v="1"/>
    <n v="0"/>
    <m/>
    <x v="8"/>
    <m/>
    <m/>
    <m/>
    <m/>
    <m/>
    <n v="1"/>
    <m/>
    <n v="13"/>
    <m/>
    <m/>
    <n v="21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09"/>
    <s v="Invasive"/>
    <s v="West Normanby River"/>
    <d v="2022-06-02T00:00:00"/>
    <n v="0"/>
    <s v="Biting"/>
    <x v="1"/>
    <x v="1"/>
    <n v="0"/>
    <m/>
    <x v="8"/>
    <m/>
    <m/>
    <m/>
    <m/>
    <m/>
    <n v="1"/>
    <m/>
    <n v="23"/>
    <m/>
    <m/>
    <n v="21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0"/>
    <s v="Invasive"/>
    <s v="West Normanby River"/>
    <d v="2022-06-02T00:00:00"/>
    <n v="0"/>
    <s v="Biting"/>
    <x v="1"/>
    <x v="1"/>
    <n v="0"/>
    <m/>
    <x v="8"/>
    <m/>
    <m/>
    <m/>
    <m/>
    <m/>
    <n v="1"/>
    <m/>
    <n v="23"/>
    <m/>
    <m/>
    <n v="21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1"/>
    <s v="Invasive"/>
    <s v="West Normanby River"/>
    <d v="2022-06-02T00:00:00"/>
    <n v="1"/>
    <s v="Biting"/>
    <x v="1"/>
    <x v="1"/>
    <n v="0"/>
    <m/>
    <x v="8"/>
    <m/>
    <m/>
    <m/>
    <m/>
    <m/>
    <n v="1"/>
    <m/>
    <n v="23"/>
    <m/>
    <m/>
    <n v="21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2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1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3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1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4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1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5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1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6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1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7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2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8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2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19"/>
    <s v="Invasive"/>
    <s v="West Normanby River"/>
    <d v="2022-06-02T00:00:00"/>
    <n v="1"/>
    <s v="Biting/gleaning"/>
    <x v="3"/>
    <x v="1"/>
    <n v="0"/>
    <m/>
    <x v="8"/>
    <m/>
    <m/>
    <m/>
    <m/>
    <m/>
    <n v="1"/>
    <m/>
    <n v="23"/>
    <m/>
    <m/>
    <n v="22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0"/>
    <s v="Invasive"/>
    <s v="West Normanby River"/>
    <d v="2022-06-02T00:00:00"/>
    <n v="0"/>
    <s v="Biting/gleaning"/>
    <x v="3"/>
    <x v="1"/>
    <n v="0"/>
    <m/>
    <x v="8"/>
    <m/>
    <m/>
    <m/>
    <m/>
    <m/>
    <n v="1"/>
    <m/>
    <n v="23"/>
    <m/>
    <m/>
    <n v="22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1"/>
    <s v="Invasive"/>
    <s v="West Normanby River"/>
    <d v="2022-06-02T00:00:00"/>
    <n v="1"/>
    <m/>
    <x v="0"/>
    <x v="0"/>
    <n v="0"/>
    <m/>
    <x v="8"/>
    <m/>
    <m/>
    <m/>
    <m/>
    <m/>
    <n v="1"/>
    <m/>
    <n v="13"/>
    <m/>
    <m/>
    <n v="22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2"/>
    <s v="Invasive"/>
    <s v="West Normanby River"/>
    <d v="2022-06-02T00:00:00"/>
    <n v="0"/>
    <m/>
    <x v="0"/>
    <x v="0"/>
    <n v="0"/>
    <m/>
    <x v="8"/>
    <m/>
    <m/>
    <m/>
    <m/>
    <m/>
    <n v="1"/>
    <m/>
    <n v="13"/>
    <m/>
    <m/>
    <n v="22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3"/>
    <s v="Invasive"/>
    <s v="West Normanby River"/>
    <d v="2022-06-02T00:00:00"/>
    <n v="0"/>
    <m/>
    <x v="0"/>
    <x v="0"/>
    <n v="0"/>
    <m/>
    <x v="8"/>
    <m/>
    <m/>
    <m/>
    <m/>
    <m/>
    <n v="1"/>
    <m/>
    <n v="13"/>
    <m/>
    <m/>
    <n v="22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4"/>
    <s v="Invasive"/>
    <s v="West Normanby River"/>
    <d v="2022-06-02T00:00:00"/>
    <n v="1"/>
    <m/>
    <x v="0"/>
    <x v="0"/>
    <n v="0"/>
    <m/>
    <x v="8"/>
    <m/>
    <m/>
    <m/>
    <m/>
    <m/>
    <n v="1"/>
    <m/>
    <n v="15"/>
    <m/>
    <m/>
    <n v="22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5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2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6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2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7"/>
    <s v="Invasive"/>
    <s v="West Normanby River"/>
    <d v="2022-06-02T00:00:00"/>
    <n v="1"/>
    <m/>
    <x v="0"/>
    <x v="0"/>
    <n v="0"/>
    <m/>
    <x v="8"/>
    <m/>
    <m/>
    <m/>
    <m/>
    <m/>
    <n v="1"/>
    <m/>
    <n v="15"/>
    <m/>
    <m/>
    <n v="23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8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1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29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2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0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3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1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4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2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5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3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6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4"/>
    <s v="Invasive"/>
    <s v="West Normanby River"/>
    <d v="2022-06-02T00:00:00"/>
    <n v="1"/>
    <m/>
    <x v="0"/>
    <x v="0"/>
    <n v="0"/>
    <m/>
    <x v="8"/>
    <m/>
    <m/>
    <m/>
    <m/>
    <m/>
    <n v="1"/>
    <m/>
    <n v="15"/>
    <m/>
    <m/>
    <n v="237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5"/>
    <s v="Invasive"/>
    <s v="West Normanby River"/>
    <d v="2022-06-02T00:00:00"/>
    <n v="0"/>
    <m/>
    <x v="0"/>
    <x v="0"/>
    <n v="0"/>
    <m/>
    <x v="8"/>
    <m/>
    <m/>
    <m/>
    <m/>
    <m/>
    <n v="1"/>
    <m/>
    <n v="15"/>
    <m/>
    <m/>
    <n v="238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6"/>
    <s v="Invasive"/>
    <s v="West Normanby River"/>
    <d v="2022-06-02T00:00:00"/>
    <n v="1"/>
    <m/>
    <x v="0"/>
    <x v="0"/>
    <n v="0"/>
    <m/>
    <x v="8"/>
    <m/>
    <m/>
    <m/>
    <m/>
    <m/>
    <n v="1"/>
    <m/>
    <n v="15"/>
    <m/>
    <m/>
    <n v="239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7"/>
    <s v="Invasive"/>
    <s v="West Normanby River"/>
    <d v="2022-06-02T00:00:00"/>
    <n v="1"/>
    <m/>
    <x v="0"/>
    <x v="0"/>
    <n v="0"/>
    <m/>
    <x v="8"/>
    <m/>
    <m/>
    <m/>
    <m/>
    <m/>
    <n v="1"/>
    <m/>
    <n v="15"/>
    <m/>
    <m/>
    <n v="240"/>
  </r>
  <r>
    <s v="pollinator obs_humans"/>
    <s v="Human observations"/>
    <s v="Hymenoptera"/>
    <s v="Apidae"/>
    <s v="Apinae"/>
    <s v="Meliponini"/>
    <s v="Tetragonula"/>
    <x v="1"/>
    <x v="9"/>
    <s v="Meliponini"/>
    <s v="Small non-buzzer"/>
    <s v="Stingless Bee"/>
    <s v="Stingless Bee (Tetra)"/>
    <n v="338"/>
    <s v="Invasive"/>
    <s v="White Rock"/>
    <d v="2022-06-22T00:00:00"/>
    <n v="1"/>
    <m/>
    <x v="0"/>
    <x v="0"/>
    <n v="0"/>
    <m/>
    <x v="8"/>
    <m/>
    <m/>
    <m/>
    <m/>
    <m/>
    <n v="1"/>
    <m/>
    <n v="13"/>
    <m/>
    <m/>
    <n v="241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39"/>
    <s v="Invasive"/>
    <s v="Barron River"/>
    <d v="2022-06-15T00:00:00"/>
    <n v="1"/>
    <s v="buzz"/>
    <x v="4"/>
    <x v="2"/>
    <n v="0"/>
    <m/>
    <x v="8"/>
    <m/>
    <m/>
    <m/>
    <m/>
    <m/>
    <n v="1"/>
    <m/>
    <n v="6"/>
    <m/>
    <m/>
    <n v="243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0"/>
    <s v="Invasive"/>
    <s v="Barron River"/>
    <d v="2022-06-15T00:00:00"/>
    <n v="1"/>
    <s v="buzz"/>
    <x v="4"/>
    <x v="2"/>
    <n v="0"/>
    <m/>
    <x v="8"/>
    <m/>
    <m/>
    <m/>
    <m/>
    <m/>
    <n v="1"/>
    <m/>
    <n v="6"/>
    <m/>
    <m/>
    <n v="244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1"/>
    <s v="Invasive"/>
    <s v="Barron River"/>
    <d v="2022-06-16T00:00:00"/>
    <n v="1"/>
    <s v="buzz"/>
    <x v="4"/>
    <x v="2"/>
    <n v="0"/>
    <m/>
    <x v="8"/>
    <m/>
    <m/>
    <m/>
    <m/>
    <m/>
    <n v="1"/>
    <m/>
    <n v="7"/>
    <m/>
    <m/>
    <n v="245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2"/>
    <s v="Invasive"/>
    <s v="Barron River"/>
    <d v="2022-06-16T00:00:00"/>
    <n v="0"/>
    <s v="buzz"/>
    <x v="4"/>
    <x v="2"/>
    <n v="0"/>
    <m/>
    <x v="8"/>
    <m/>
    <m/>
    <m/>
    <m/>
    <m/>
    <n v="1"/>
    <m/>
    <n v="7"/>
    <m/>
    <m/>
    <n v="246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3"/>
    <s v="Invasive"/>
    <s v="Barron River"/>
    <d v="2022-06-16T00:00:00"/>
    <m/>
    <s v="buzz"/>
    <x v="4"/>
    <x v="2"/>
    <n v="0"/>
    <m/>
    <x v="8"/>
    <m/>
    <m/>
    <m/>
    <m/>
    <m/>
    <n v="1"/>
    <m/>
    <n v="7"/>
    <m/>
    <m/>
    <n v="247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4"/>
    <s v="Invasive"/>
    <s v="Barron River"/>
    <d v="2022-06-16T00:00:00"/>
    <m/>
    <s v="buzz"/>
    <x v="4"/>
    <x v="2"/>
    <n v="0"/>
    <m/>
    <x v="8"/>
    <m/>
    <m/>
    <m/>
    <m/>
    <m/>
    <n v="1"/>
    <m/>
    <n v="7"/>
    <m/>
    <m/>
    <n v="248"/>
  </r>
  <r>
    <s v="pollinator obs_humans"/>
    <s v="Human observations"/>
    <s v="Hymenoptera"/>
    <s v="Apidae"/>
    <s v="Xylocopinae"/>
    <s v="Xylocopini"/>
    <s v="Xylocopa"/>
    <x v="1"/>
    <x v="10"/>
    <s v="Xylocopa species"/>
    <s v="Large buzzer"/>
    <s v="Greater Carpenter Bee"/>
    <s v="Greater Carpenter Bee"/>
    <n v="345"/>
    <s v="Invasive"/>
    <s v="West Normanby River"/>
    <d v="2022-06-02T00:00:00"/>
    <m/>
    <s v="buzz"/>
    <x v="4"/>
    <x v="2"/>
    <n v="0"/>
    <m/>
    <x v="8"/>
    <m/>
    <m/>
    <m/>
    <m/>
    <m/>
    <n v="1"/>
    <m/>
    <n v="30"/>
    <m/>
    <m/>
    <n v="24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1"/>
    <s v="Native"/>
    <s v="Chochola"/>
    <d v="2023-10-17T00:00:00"/>
    <n v="1"/>
    <m/>
    <x v="0"/>
    <x v="0"/>
    <m/>
    <m/>
    <x v="8"/>
    <m/>
    <m/>
    <m/>
    <m/>
    <m/>
    <n v="2"/>
    <s v="&lt;5"/>
    <n v="33"/>
    <n v="42"/>
    <n v="2"/>
    <n v="26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2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6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3"/>
    <s v="Native"/>
    <s v="Chochola"/>
    <d v="2023-10-17T00:00:00"/>
    <n v="1"/>
    <m/>
    <x v="0"/>
    <x v="0"/>
    <m/>
    <m/>
    <x v="8"/>
    <m/>
    <m/>
    <m/>
    <m/>
    <m/>
    <n v="2"/>
    <s v="&gt;60"/>
    <n v="33"/>
    <n v="42"/>
    <n v="2"/>
    <n v="26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4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6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5"/>
    <s v="Native"/>
    <s v="Chochola"/>
    <d v="2023-10-17T00:00:00"/>
    <n v="1"/>
    <m/>
    <x v="0"/>
    <x v="0"/>
    <m/>
    <m/>
    <x v="8"/>
    <m/>
    <m/>
    <m/>
    <m/>
    <m/>
    <n v="2"/>
    <s v="5-29"/>
    <n v="33"/>
    <n v="42"/>
    <n v="2"/>
    <n v="26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6"/>
    <s v="Native"/>
    <s v="Chochola"/>
    <d v="2023-10-17T00:00:00"/>
    <n v="1"/>
    <m/>
    <x v="0"/>
    <x v="0"/>
    <m/>
    <m/>
    <x v="8"/>
    <m/>
    <m/>
    <m/>
    <m/>
    <m/>
    <n v="2"/>
    <s v="&lt;5"/>
    <n v="33"/>
    <n v="42"/>
    <n v="2"/>
    <n v="26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7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6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8"/>
    <s v="Native"/>
    <s v="Chochola"/>
    <d v="2023-10-17T00:00:00"/>
    <n v="1"/>
    <m/>
    <x v="0"/>
    <x v="0"/>
    <m/>
    <m/>
    <x v="8"/>
    <m/>
    <m/>
    <m/>
    <m/>
    <m/>
    <n v="4"/>
    <s v="5-29"/>
    <n v="33"/>
    <n v="42"/>
    <n v="2"/>
    <n v="26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09"/>
    <s v="Native"/>
    <s v="Chochola"/>
    <d v="2023-10-17T00:00:00"/>
    <n v="1"/>
    <m/>
    <x v="0"/>
    <x v="0"/>
    <m/>
    <m/>
    <x v="8"/>
    <m/>
    <m/>
    <m/>
    <m/>
    <m/>
    <n v="2"/>
    <s v="5-29"/>
    <n v="33"/>
    <n v="42"/>
    <n v="2"/>
    <n v="27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0"/>
    <s v="Native"/>
    <s v="Chochola"/>
    <d v="2023-10-17T00:00:00"/>
    <n v="1"/>
    <m/>
    <x v="0"/>
    <x v="0"/>
    <m/>
    <m/>
    <x v="8"/>
    <m/>
    <m/>
    <m/>
    <m/>
    <m/>
    <n v="1"/>
    <s v="&gt;60"/>
    <n v="33"/>
    <n v="42"/>
    <n v="2"/>
    <n v="27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1"/>
    <s v="Native"/>
    <s v="Chochola"/>
    <d v="2023-10-17T00:00:00"/>
    <n v="1"/>
    <m/>
    <x v="0"/>
    <x v="0"/>
    <m/>
    <m/>
    <x v="8"/>
    <m/>
    <m/>
    <m/>
    <m/>
    <m/>
    <n v="1"/>
    <s v="&gt;60"/>
    <n v="33"/>
    <n v="42"/>
    <n v="2"/>
    <n v="27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2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7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3"/>
    <s v="Native"/>
    <s v="Chochola"/>
    <d v="2023-10-17T00:00:00"/>
    <n v="1"/>
    <m/>
    <x v="0"/>
    <x v="0"/>
    <m/>
    <m/>
    <x v="8"/>
    <m/>
    <m/>
    <m/>
    <m/>
    <m/>
    <n v="3"/>
    <s v="30-59"/>
    <n v="33"/>
    <n v="42"/>
    <n v="2"/>
    <n v="27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4"/>
    <s v="Native"/>
    <s v="Chochola"/>
    <d v="2023-10-17T00:00:00"/>
    <n v="1"/>
    <m/>
    <x v="0"/>
    <x v="0"/>
    <m/>
    <m/>
    <x v="8"/>
    <m/>
    <m/>
    <m/>
    <m/>
    <m/>
    <n v="2"/>
    <s v="5-29"/>
    <n v="33"/>
    <n v="42"/>
    <n v="2"/>
    <n v="27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5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7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6"/>
    <s v="Native"/>
    <s v="Chochola"/>
    <d v="2023-10-17T00:00:00"/>
    <n v="1"/>
    <m/>
    <x v="0"/>
    <x v="0"/>
    <m/>
    <m/>
    <x v="8"/>
    <m/>
    <m/>
    <m/>
    <m/>
    <m/>
    <n v="1"/>
    <s v="&lt;5"/>
    <n v="33"/>
    <n v="42"/>
    <n v="2"/>
    <n v="27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7"/>
    <s v="Native"/>
    <s v="Chochola"/>
    <d v="2023-10-17T00:00:00"/>
    <n v="1"/>
    <m/>
    <x v="0"/>
    <x v="0"/>
    <m/>
    <m/>
    <x v="8"/>
    <m/>
    <m/>
    <m/>
    <m/>
    <m/>
    <n v="1"/>
    <s v="30-59"/>
    <n v="33"/>
    <n v="42"/>
    <n v="2"/>
    <n v="27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8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7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19"/>
    <s v="Native"/>
    <s v="Chochola"/>
    <d v="2023-10-17T00:00:00"/>
    <n v="1"/>
    <m/>
    <x v="0"/>
    <x v="0"/>
    <m/>
    <m/>
    <x v="8"/>
    <m/>
    <m/>
    <m/>
    <m/>
    <m/>
    <n v="1"/>
    <s v="5-29"/>
    <n v="33"/>
    <n v="42"/>
    <n v="2"/>
    <n v="28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0"/>
    <s v="Native"/>
    <s v="Chochola"/>
    <d v="2023-10-17T00:00:00"/>
    <n v="1"/>
    <m/>
    <x v="0"/>
    <x v="0"/>
    <m/>
    <m/>
    <x v="8"/>
    <m/>
    <m/>
    <m/>
    <m/>
    <m/>
    <n v="1"/>
    <s v="&lt;5"/>
    <n v="17"/>
    <n v="8"/>
    <n v="10"/>
    <n v="28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1"/>
    <s v="Native"/>
    <s v="Chochola"/>
    <d v="2023-10-17T00:00:00"/>
    <n v="1"/>
    <m/>
    <x v="0"/>
    <x v="0"/>
    <m/>
    <m/>
    <x v="8"/>
    <m/>
    <m/>
    <m/>
    <m/>
    <m/>
    <n v="1"/>
    <s v="&lt;5"/>
    <n v="35"/>
    <n v="24"/>
    <n v="0"/>
    <n v="28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2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8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3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8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4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8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5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8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6"/>
    <s v="Native"/>
    <s v="Chochola"/>
    <d v="2023-10-17T00:00:00"/>
    <n v="1"/>
    <m/>
    <x v="0"/>
    <x v="0"/>
    <m/>
    <m/>
    <x v="8"/>
    <m/>
    <m/>
    <m/>
    <m/>
    <m/>
    <n v="1"/>
    <s v="&lt;5"/>
    <n v="35"/>
    <n v="24"/>
    <n v="0"/>
    <n v="28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7"/>
    <s v="Native"/>
    <s v="Chochola"/>
    <d v="2023-10-17T00:00:00"/>
    <n v="1"/>
    <m/>
    <x v="0"/>
    <x v="0"/>
    <m/>
    <m/>
    <x v="8"/>
    <m/>
    <m/>
    <m/>
    <m/>
    <m/>
    <n v="1"/>
    <s v="30-59"/>
    <n v="35"/>
    <n v="24"/>
    <n v="0"/>
    <n v="28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8"/>
    <s v="Native"/>
    <s v="Chochola"/>
    <d v="2023-10-17T00:00:00"/>
    <n v="1"/>
    <m/>
    <x v="0"/>
    <x v="0"/>
    <m/>
    <m/>
    <x v="8"/>
    <m/>
    <m/>
    <m/>
    <m/>
    <m/>
    <n v="1"/>
    <s v="30-59"/>
    <n v="35"/>
    <n v="24"/>
    <n v="0"/>
    <n v="28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29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0"/>
    <s v="Native"/>
    <s v="Chochola"/>
    <d v="2023-10-17T00:00:00"/>
    <n v="1"/>
    <m/>
    <x v="0"/>
    <x v="0"/>
    <m/>
    <m/>
    <x v="8"/>
    <m/>
    <m/>
    <m/>
    <m/>
    <m/>
    <n v="1"/>
    <s v="&gt;60"/>
    <n v="35"/>
    <n v="24"/>
    <n v="0"/>
    <n v="29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1"/>
    <s v="Native"/>
    <s v="Chochola"/>
    <d v="2023-10-17T00:00:00"/>
    <n v="1"/>
    <m/>
    <x v="0"/>
    <x v="0"/>
    <m/>
    <m/>
    <x v="8"/>
    <m/>
    <m/>
    <m/>
    <m/>
    <m/>
    <n v="3"/>
    <s v="30-59"/>
    <n v="35"/>
    <n v="24"/>
    <n v="0"/>
    <n v="29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2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3"/>
    <s v="Native"/>
    <s v="Chochola"/>
    <d v="2023-10-17T00:00:00"/>
    <n v="1"/>
    <m/>
    <x v="0"/>
    <x v="0"/>
    <m/>
    <m/>
    <x v="8"/>
    <m/>
    <m/>
    <m/>
    <m/>
    <m/>
    <n v="2"/>
    <s v="&lt;5"/>
    <n v="35"/>
    <n v="24"/>
    <n v="0"/>
    <n v="29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4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5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6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7"/>
    <s v="Native"/>
    <s v="Chochola"/>
    <d v="2023-10-17T00:00:00"/>
    <n v="1"/>
    <m/>
    <x v="0"/>
    <x v="0"/>
    <m/>
    <m/>
    <x v="8"/>
    <m/>
    <m/>
    <m/>
    <m/>
    <m/>
    <n v="2"/>
    <s v="&gt;60"/>
    <n v="35"/>
    <n v="24"/>
    <n v="0"/>
    <n v="29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8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29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39"/>
    <s v="Native"/>
    <s v="Chochola"/>
    <d v="2023-10-17T00:00:00"/>
    <n v="1"/>
    <m/>
    <x v="0"/>
    <x v="0"/>
    <m/>
    <m/>
    <x v="8"/>
    <m/>
    <m/>
    <m/>
    <m/>
    <m/>
    <n v="1"/>
    <s v="&gt;60"/>
    <n v="35"/>
    <n v="24"/>
    <n v="0"/>
    <n v="30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0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30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1"/>
    <s v="Native"/>
    <s v="Chochola"/>
    <d v="2023-10-17T00:00:00"/>
    <n v="1"/>
    <m/>
    <x v="0"/>
    <x v="0"/>
    <m/>
    <m/>
    <x v="8"/>
    <m/>
    <m/>
    <m/>
    <m/>
    <m/>
    <n v="1"/>
    <s v="&gt;60"/>
    <n v="35"/>
    <n v="24"/>
    <n v="0"/>
    <n v="30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2"/>
    <s v="Native"/>
    <s v="Chochola"/>
    <d v="2023-10-17T00:00:00"/>
    <n v="1"/>
    <m/>
    <x v="0"/>
    <x v="0"/>
    <m/>
    <m/>
    <x v="8"/>
    <m/>
    <m/>
    <m/>
    <m/>
    <m/>
    <n v="1"/>
    <s v="5-29"/>
    <n v="35"/>
    <n v="24"/>
    <n v="0"/>
    <n v="30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3"/>
    <s v="Native"/>
    <s v="Chochola"/>
    <d v="2023-10-17T00:00:00"/>
    <n v="1"/>
    <m/>
    <x v="0"/>
    <x v="0"/>
    <m/>
    <m/>
    <x v="8"/>
    <m/>
    <m/>
    <m/>
    <m/>
    <m/>
    <n v="1"/>
    <s v="5-29"/>
    <n v="33"/>
    <n v="23"/>
    <n v="0"/>
    <n v="30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4"/>
    <s v="Native"/>
    <s v="Chochola"/>
    <d v="2023-10-17T00:00:00"/>
    <n v="1"/>
    <m/>
    <x v="0"/>
    <x v="0"/>
    <m/>
    <m/>
    <x v="8"/>
    <m/>
    <m/>
    <m/>
    <m/>
    <m/>
    <n v="1"/>
    <s v="5-29"/>
    <n v="33"/>
    <n v="23"/>
    <n v="0"/>
    <n v="30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5"/>
    <s v="Native"/>
    <s v="Chochola"/>
    <d v="2023-10-17T00:00:00"/>
    <n v="1"/>
    <m/>
    <x v="0"/>
    <x v="0"/>
    <m/>
    <m/>
    <x v="8"/>
    <m/>
    <m/>
    <m/>
    <m/>
    <m/>
    <n v="1"/>
    <s v="&lt;5"/>
    <n v="33"/>
    <n v="23"/>
    <n v="0"/>
    <n v="30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6"/>
    <s v="Native"/>
    <s v="Chochola"/>
    <d v="2023-10-17T00:00:00"/>
    <n v="1"/>
    <m/>
    <x v="0"/>
    <x v="0"/>
    <m/>
    <m/>
    <x v="8"/>
    <m/>
    <m/>
    <m/>
    <m/>
    <m/>
    <n v="1"/>
    <s v="30-59"/>
    <n v="33"/>
    <n v="23"/>
    <n v="0"/>
    <n v="30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7"/>
    <s v="Native"/>
    <s v="Chochola"/>
    <d v="2023-10-17T00:00:00"/>
    <n v="1"/>
    <m/>
    <x v="0"/>
    <x v="0"/>
    <m/>
    <m/>
    <x v="8"/>
    <m/>
    <m/>
    <m/>
    <m/>
    <m/>
    <n v="1"/>
    <s v="5-29"/>
    <n v="33"/>
    <n v="23"/>
    <n v="0"/>
    <n v="30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8"/>
    <s v="Native"/>
    <s v="Chochola"/>
    <d v="2023-10-17T00:00:00"/>
    <n v="1"/>
    <m/>
    <x v="0"/>
    <x v="0"/>
    <m/>
    <m/>
    <x v="8"/>
    <m/>
    <m/>
    <m/>
    <m/>
    <m/>
    <n v="6"/>
    <s v="30-59"/>
    <n v="33"/>
    <n v="23"/>
    <n v="0"/>
    <n v="30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49"/>
    <s v="Native"/>
    <s v="Chochola"/>
    <d v="2023-10-17T00:00:00"/>
    <n v="1"/>
    <m/>
    <x v="0"/>
    <x v="0"/>
    <m/>
    <m/>
    <x v="8"/>
    <m/>
    <m/>
    <m/>
    <m/>
    <m/>
    <n v="1"/>
    <s v="&lt;5"/>
    <n v="33"/>
    <n v="23"/>
    <n v="0"/>
    <n v="31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0"/>
    <s v="Native"/>
    <s v="Chochola"/>
    <d v="2023-10-17T00:00:00"/>
    <n v="1"/>
    <m/>
    <x v="0"/>
    <x v="0"/>
    <m/>
    <m/>
    <x v="8"/>
    <m/>
    <m/>
    <m/>
    <m/>
    <m/>
    <n v="1"/>
    <s v="&lt;5"/>
    <n v="33"/>
    <n v="23"/>
    <n v="0"/>
    <n v="31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1"/>
    <s v="Native"/>
    <s v="Chochola"/>
    <d v="2023-10-17T00:00:00"/>
    <n v="1"/>
    <m/>
    <x v="0"/>
    <x v="0"/>
    <m/>
    <m/>
    <x v="8"/>
    <m/>
    <m/>
    <m/>
    <m/>
    <m/>
    <n v="1"/>
    <s v="30-59"/>
    <n v="33"/>
    <n v="23"/>
    <n v="0"/>
    <n v="31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2"/>
    <s v="Native"/>
    <s v="Chochola"/>
    <d v="2023-10-17T00:00:00"/>
    <n v="1"/>
    <m/>
    <x v="0"/>
    <x v="0"/>
    <m/>
    <m/>
    <x v="8"/>
    <m/>
    <m/>
    <m/>
    <m/>
    <m/>
    <n v="2"/>
    <s v="30-59"/>
    <n v="36"/>
    <n v="47"/>
    <n v="0"/>
    <n v="31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3"/>
    <s v="Native"/>
    <s v="Chochola"/>
    <d v="2023-10-17T00:00:00"/>
    <n v="1"/>
    <m/>
    <x v="0"/>
    <x v="0"/>
    <m/>
    <m/>
    <x v="8"/>
    <m/>
    <m/>
    <m/>
    <m/>
    <m/>
    <n v="3"/>
    <s v="5-29"/>
    <n v="36"/>
    <n v="47"/>
    <n v="0"/>
    <n v="31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4"/>
    <s v="Native"/>
    <s v="Chochola"/>
    <d v="2023-10-17T00:00:00"/>
    <n v="1"/>
    <m/>
    <x v="0"/>
    <x v="0"/>
    <m/>
    <m/>
    <x v="8"/>
    <m/>
    <m/>
    <m/>
    <m/>
    <m/>
    <n v="1"/>
    <s v="&lt;5"/>
    <n v="36"/>
    <n v="47"/>
    <n v="0"/>
    <n v="31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5"/>
    <s v="Native"/>
    <s v="Chochola"/>
    <d v="2023-10-17T00:00:00"/>
    <n v="1"/>
    <m/>
    <x v="0"/>
    <x v="0"/>
    <m/>
    <m/>
    <x v="8"/>
    <m/>
    <m/>
    <m/>
    <m/>
    <m/>
    <n v="3"/>
    <s v="5-29"/>
    <n v="36"/>
    <n v="47"/>
    <n v="0"/>
    <n v="31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6"/>
    <s v="Native"/>
    <s v="Chochola"/>
    <d v="2023-10-17T00:00:00"/>
    <n v="1"/>
    <m/>
    <x v="0"/>
    <x v="0"/>
    <m/>
    <m/>
    <x v="8"/>
    <m/>
    <m/>
    <m/>
    <m/>
    <m/>
    <n v="3"/>
    <s v="5-29"/>
    <n v="36"/>
    <n v="47"/>
    <n v="0"/>
    <n v="31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7"/>
    <s v="Native"/>
    <s v="Chochola"/>
    <d v="2023-10-17T00:00:00"/>
    <n v="1"/>
    <m/>
    <x v="0"/>
    <x v="0"/>
    <m/>
    <m/>
    <x v="8"/>
    <m/>
    <m/>
    <m/>
    <m/>
    <m/>
    <n v="3"/>
    <s v="5-29"/>
    <n v="36"/>
    <n v="47"/>
    <n v="0"/>
    <n v="31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8"/>
    <s v="Native"/>
    <s v="Chochola"/>
    <d v="2023-10-17T00:00:00"/>
    <n v="1"/>
    <m/>
    <x v="0"/>
    <x v="0"/>
    <m/>
    <m/>
    <x v="8"/>
    <m/>
    <m/>
    <m/>
    <m/>
    <m/>
    <n v="2"/>
    <s v="&lt;5"/>
    <n v="36"/>
    <n v="47"/>
    <n v="0"/>
    <n v="31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59"/>
    <s v="Native"/>
    <s v="Chochola"/>
    <d v="2023-10-17T00:00:00"/>
    <n v="1"/>
    <m/>
    <x v="0"/>
    <x v="0"/>
    <m/>
    <m/>
    <x v="8"/>
    <m/>
    <m/>
    <m/>
    <m/>
    <m/>
    <n v="2"/>
    <s v="5-29"/>
    <n v="36"/>
    <n v="47"/>
    <n v="0"/>
    <n v="32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0"/>
    <s v="Native"/>
    <s v="Chochola"/>
    <d v="2023-10-17T00:00:00"/>
    <n v="1"/>
    <m/>
    <x v="0"/>
    <x v="0"/>
    <m/>
    <m/>
    <x v="8"/>
    <m/>
    <m/>
    <m/>
    <m/>
    <m/>
    <n v="3"/>
    <s v="30-59"/>
    <n v="36"/>
    <n v="47"/>
    <n v="0"/>
    <n v="32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1"/>
    <s v="Native"/>
    <s v="Chochola"/>
    <d v="2023-10-17T00:00:00"/>
    <n v="1"/>
    <m/>
    <x v="0"/>
    <x v="0"/>
    <m/>
    <m/>
    <x v="8"/>
    <m/>
    <m/>
    <m/>
    <m/>
    <m/>
    <n v="3"/>
    <s v="30-59"/>
    <n v="36"/>
    <n v="47"/>
    <n v="0"/>
    <n v="32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2"/>
    <s v="Native"/>
    <s v="Chochola"/>
    <d v="2023-10-17T00:00:00"/>
    <n v="1"/>
    <m/>
    <x v="0"/>
    <x v="0"/>
    <m/>
    <m/>
    <x v="8"/>
    <m/>
    <m/>
    <m/>
    <m/>
    <m/>
    <n v="1"/>
    <s v="30-59"/>
    <n v="36"/>
    <n v="47"/>
    <n v="0"/>
    <n v="32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3"/>
    <s v="Native"/>
    <s v="Chochola"/>
    <d v="2023-10-17T00:00:00"/>
    <n v="1"/>
    <m/>
    <x v="0"/>
    <x v="0"/>
    <m/>
    <m/>
    <x v="8"/>
    <m/>
    <m/>
    <m/>
    <m/>
    <m/>
    <n v="1"/>
    <s v="30-59"/>
    <n v="36"/>
    <n v="47"/>
    <n v="0"/>
    <n v="32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4"/>
    <s v="Native"/>
    <s v="Chochola"/>
    <d v="2023-10-17T00:00:00"/>
    <n v="1"/>
    <m/>
    <x v="0"/>
    <x v="0"/>
    <m/>
    <m/>
    <x v="8"/>
    <m/>
    <m/>
    <m/>
    <m/>
    <m/>
    <n v="2"/>
    <s v="&gt;60"/>
    <n v="36"/>
    <n v="47"/>
    <n v="0"/>
    <n v="32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5"/>
    <s v="Native"/>
    <s v="Chochola"/>
    <d v="2023-10-17T00:00:00"/>
    <n v="1"/>
    <m/>
    <x v="0"/>
    <x v="0"/>
    <m/>
    <m/>
    <x v="8"/>
    <m/>
    <m/>
    <m/>
    <m/>
    <m/>
    <n v="2"/>
    <s v="30-59"/>
    <n v="36"/>
    <n v="47"/>
    <n v="0"/>
    <n v="32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6"/>
    <s v="Native"/>
    <s v="Chochola"/>
    <d v="2023-10-17T00:00:00"/>
    <n v="1"/>
    <m/>
    <x v="0"/>
    <x v="0"/>
    <m/>
    <m/>
    <x v="8"/>
    <m/>
    <m/>
    <m/>
    <m/>
    <m/>
    <n v="2"/>
    <s v="5-29"/>
    <n v="36"/>
    <n v="47"/>
    <n v="0"/>
    <n v="32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7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2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8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2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69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0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1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2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3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4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5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6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7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8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3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79"/>
    <s v="Native"/>
    <s v="Chochola"/>
    <d v="2023-10-17T00:00:00"/>
    <m/>
    <m/>
    <x v="0"/>
    <x v="0"/>
    <m/>
    <m/>
    <x v="8"/>
    <m/>
    <m/>
    <m/>
    <m/>
    <m/>
    <m/>
    <m/>
    <n v="36"/>
    <n v="47"/>
    <n v="0"/>
    <n v="34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0"/>
    <s v="Native"/>
    <s v="Chochola"/>
    <d v="2023-10-17T00:00:00"/>
    <n v="1"/>
    <m/>
    <x v="0"/>
    <x v="0"/>
    <m/>
    <m/>
    <x v="8"/>
    <m/>
    <m/>
    <m/>
    <m/>
    <m/>
    <n v="4"/>
    <s v="5-29"/>
    <n v="57"/>
    <n v="12"/>
    <n v="20"/>
    <n v="34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1"/>
    <s v="Native"/>
    <s v="Chochola"/>
    <d v="2023-10-17T00:00:00"/>
    <n v="1"/>
    <m/>
    <x v="0"/>
    <x v="0"/>
    <m/>
    <m/>
    <x v="8"/>
    <m/>
    <m/>
    <m/>
    <m/>
    <m/>
    <n v="3"/>
    <s v="&gt;60"/>
    <n v="57"/>
    <n v="12"/>
    <n v="20"/>
    <n v="34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2"/>
    <s v="Native"/>
    <s v="Chochola"/>
    <d v="2023-10-17T00:00:00"/>
    <n v="1"/>
    <m/>
    <x v="0"/>
    <x v="0"/>
    <m/>
    <m/>
    <x v="8"/>
    <m/>
    <m/>
    <m/>
    <m/>
    <m/>
    <n v="2"/>
    <s v="5-29"/>
    <n v="57"/>
    <n v="12"/>
    <n v="20"/>
    <n v="34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3"/>
    <s v="Native"/>
    <s v="Chochola"/>
    <d v="2023-10-17T00:00:00"/>
    <n v="1"/>
    <m/>
    <x v="0"/>
    <x v="0"/>
    <m/>
    <m/>
    <x v="8"/>
    <m/>
    <m/>
    <m/>
    <m/>
    <m/>
    <n v="2"/>
    <s v="&gt;60"/>
    <n v="57"/>
    <n v="12"/>
    <n v="20"/>
    <n v="34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4"/>
    <s v="Native"/>
    <s v="Chochola"/>
    <d v="2023-10-17T00:00:00"/>
    <n v="1"/>
    <m/>
    <x v="0"/>
    <x v="0"/>
    <m/>
    <m/>
    <x v="8"/>
    <m/>
    <m/>
    <m/>
    <m/>
    <m/>
    <n v="2"/>
    <s v="5-29"/>
    <n v="57"/>
    <n v="12"/>
    <n v="20"/>
    <n v="34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5"/>
    <s v="Native"/>
    <s v="Chochola"/>
    <d v="2023-10-17T00:00:00"/>
    <n v="1"/>
    <m/>
    <x v="0"/>
    <x v="0"/>
    <m/>
    <m/>
    <x v="8"/>
    <m/>
    <m/>
    <m/>
    <m/>
    <m/>
    <n v="3"/>
    <s v="5-29"/>
    <n v="57"/>
    <n v="12"/>
    <n v="20"/>
    <n v="34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6"/>
    <s v="Native"/>
    <s v="Chochola"/>
    <d v="2023-10-17T00:00:00"/>
    <n v="1"/>
    <m/>
    <x v="0"/>
    <x v="0"/>
    <m/>
    <m/>
    <x v="8"/>
    <m/>
    <m/>
    <m/>
    <m/>
    <m/>
    <n v="2"/>
    <s v="30-59"/>
    <n v="57"/>
    <n v="12"/>
    <n v="20"/>
    <n v="34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7"/>
    <s v="Native"/>
    <s v="Chochola"/>
    <d v="2023-10-17T00:00:00"/>
    <n v="1"/>
    <m/>
    <x v="0"/>
    <x v="0"/>
    <m/>
    <m/>
    <x v="8"/>
    <m/>
    <m/>
    <m/>
    <m/>
    <m/>
    <n v="2"/>
    <s v="5-29"/>
    <n v="57"/>
    <n v="12"/>
    <n v="20"/>
    <n v="34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8"/>
    <s v="Native"/>
    <s v="Chochola"/>
    <d v="2023-10-17T00:00:00"/>
    <n v="1"/>
    <m/>
    <x v="0"/>
    <x v="0"/>
    <m/>
    <m/>
    <x v="8"/>
    <m/>
    <m/>
    <m/>
    <m/>
    <m/>
    <n v="1"/>
    <s v="30-59"/>
    <n v="57"/>
    <n v="12"/>
    <n v="20"/>
    <n v="34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89"/>
    <s v="Native"/>
    <s v="Chochola"/>
    <d v="2023-10-17T00:00:00"/>
    <n v="1"/>
    <m/>
    <x v="0"/>
    <x v="0"/>
    <m/>
    <m/>
    <x v="8"/>
    <m/>
    <m/>
    <m/>
    <m/>
    <m/>
    <n v="2"/>
    <s v="30-59"/>
    <n v="57"/>
    <n v="12"/>
    <n v="20"/>
    <n v="35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0"/>
    <s v="Native"/>
    <s v="Chochola"/>
    <d v="2023-10-17T00:00:00"/>
    <n v="1"/>
    <m/>
    <x v="0"/>
    <x v="0"/>
    <m/>
    <m/>
    <x v="8"/>
    <m/>
    <m/>
    <m/>
    <m/>
    <m/>
    <n v="2"/>
    <s v="30-59"/>
    <n v="57"/>
    <n v="12"/>
    <n v="20"/>
    <n v="35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1"/>
    <s v="Native"/>
    <s v="Chochola"/>
    <d v="2023-10-17T00:00:00"/>
    <n v="1"/>
    <m/>
    <x v="0"/>
    <x v="0"/>
    <m/>
    <m/>
    <x v="8"/>
    <m/>
    <m/>
    <m/>
    <m/>
    <m/>
    <n v="4"/>
    <s v="&gt;60"/>
    <n v="57"/>
    <n v="12"/>
    <n v="20"/>
    <n v="35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2"/>
    <s v="Native"/>
    <s v="Chochola"/>
    <d v="2023-10-17T00:00:00"/>
    <n v="1"/>
    <m/>
    <x v="0"/>
    <x v="0"/>
    <m/>
    <m/>
    <x v="8"/>
    <m/>
    <m/>
    <m/>
    <m/>
    <m/>
    <n v="2"/>
    <s v="30-59"/>
    <n v="57"/>
    <n v="12"/>
    <n v="20"/>
    <n v="35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3"/>
    <s v="Native"/>
    <s v="Chochola"/>
    <d v="2023-10-17T00:00:00"/>
    <n v="1"/>
    <m/>
    <x v="0"/>
    <x v="0"/>
    <m/>
    <m/>
    <x v="8"/>
    <m/>
    <m/>
    <m/>
    <m/>
    <m/>
    <n v="4"/>
    <s v="&gt;60"/>
    <n v="57"/>
    <n v="12"/>
    <n v="20"/>
    <n v="35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4"/>
    <s v="Native"/>
    <s v="Chochola"/>
    <d v="2023-10-17T00:00:00"/>
    <n v="1"/>
    <m/>
    <x v="0"/>
    <x v="0"/>
    <m/>
    <m/>
    <x v="8"/>
    <m/>
    <m/>
    <m/>
    <m/>
    <m/>
    <n v="2"/>
    <s v="5-29"/>
    <n v="57"/>
    <n v="12"/>
    <n v="20"/>
    <n v="35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5"/>
    <s v="Native"/>
    <s v="Chochola"/>
    <d v="2023-10-17T00:00:00"/>
    <n v="1"/>
    <m/>
    <x v="0"/>
    <x v="0"/>
    <m/>
    <m/>
    <x v="8"/>
    <m/>
    <m/>
    <m/>
    <m/>
    <m/>
    <n v="1"/>
    <s v="30-59"/>
    <n v="57"/>
    <n v="12"/>
    <n v="20"/>
    <n v="35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6"/>
    <s v="Native"/>
    <s v="Chochola"/>
    <d v="2023-10-17T00:00:00"/>
    <n v="1"/>
    <m/>
    <x v="0"/>
    <x v="0"/>
    <m/>
    <m/>
    <x v="8"/>
    <m/>
    <m/>
    <m/>
    <m/>
    <m/>
    <n v="2"/>
    <s v="5-29"/>
    <n v="57"/>
    <n v="12"/>
    <n v="20"/>
    <n v="35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7"/>
    <s v="Native"/>
    <s v="Chochola"/>
    <d v="2023-10-17T00:00:00"/>
    <n v="1"/>
    <m/>
    <x v="0"/>
    <x v="0"/>
    <m/>
    <m/>
    <x v="8"/>
    <m/>
    <m/>
    <m/>
    <m/>
    <m/>
    <n v="1"/>
    <s v="5-29"/>
    <n v="57"/>
    <n v="12"/>
    <n v="20"/>
    <n v="35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498"/>
    <s v="Native"/>
    <s v="Chochola"/>
    <d v="2023-10-17T00:00:00"/>
    <n v="1"/>
    <m/>
    <x v="0"/>
    <x v="0"/>
    <m/>
    <m/>
    <x v="8"/>
    <m/>
    <m/>
    <m/>
    <m/>
    <m/>
    <n v="3"/>
    <s v="&gt;60"/>
    <n v="57"/>
    <n v="12"/>
    <n v="20"/>
    <n v="35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08"/>
    <s v="Native"/>
    <s v="Tekik de Regil"/>
    <d v="2023-10-02T00:00:00"/>
    <n v="1"/>
    <m/>
    <x v="0"/>
    <x v="0"/>
    <m/>
    <m/>
    <x v="8"/>
    <m/>
    <m/>
    <m/>
    <m/>
    <m/>
    <n v="1"/>
    <s v="&gt;60"/>
    <n v="7"/>
    <n v="39"/>
    <n v="0"/>
    <n v="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09"/>
    <s v="Native"/>
    <s v="Tekik de Regil"/>
    <d v="2023-10-02T00:00:00"/>
    <n v="1"/>
    <m/>
    <x v="0"/>
    <x v="0"/>
    <m/>
    <m/>
    <x v="8"/>
    <m/>
    <m/>
    <m/>
    <m/>
    <m/>
    <n v="1"/>
    <s v="5-29"/>
    <n v="6"/>
    <n v="39"/>
    <n v="0"/>
    <n v="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0"/>
    <s v="Native"/>
    <s v="Tekik de Regil"/>
    <d v="2023-10-02T00:00:00"/>
    <n v="1"/>
    <m/>
    <x v="0"/>
    <x v="0"/>
    <m/>
    <m/>
    <x v="8"/>
    <m/>
    <m/>
    <m/>
    <m/>
    <m/>
    <n v="1"/>
    <s v="&gt;60"/>
    <n v="20"/>
    <n v="39"/>
    <n v="0"/>
    <n v="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1"/>
    <s v="Native"/>
    <s v="Tekik de Regil"/>
    <d v="2023-10-02T00:00:00"/>
    <n v="1"/>
    <m/>
    <x v="0"/>
    <x v="0"/>
    <m/>
    <m/>
    <x v="8"/>
    <m/>
    <m/>
    <m/>
    <m/>
    <m/>
    <n v="1"/>
    <s v="&gt;60"/>
    <n v="13"/>
    <n v="39"/>
    <n v="0"/>
    <n v="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2"/>
    <s v="Native"/>
    <s v="Tekik de Regil"/>
    <d v="2023-10-02T00:00:00"/>
    <n v="1"/>
    <m/>
    <x v="0"/>
    <x v="0"/>
    <m/>
    <m/>
    <x v="8"/>
    <m/>
    <m/>
    <m/>
    <m/>
    <m/>
    <n v="1"/>
    <s v="5-29"/>
    <n v="17"/>
    <n v="39"/>
    <n v="0"/>
    <n v="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3"/>
    <s v="Native"/>
    <s v="Tekik de Regil"/>
    <d v="2023-10-02T00:00:00"/>
    <n v="1"/>
    <m/>
    <x v="0"/>
    <x v="0"/>
    <m/>
    <m/>
    <x v="8"/>
    <m/>
    <m/>
    <m/>
    <m/>
    <m/>
    <n v="1"/>
    <s v="&gt;60"/>
    <n v="17"/>
    <n v="39"/>
    <n v="0"/>
    <n v="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4"/>
    <s v="Native"/>
    <s v="Tekik de Regil"/>
    <d v="2023-10-02T00:00:00"/>
    <n v="1"/>
    <m/>
    <x v="0"/>
    <x v="0"/>
    <m/>
    <m/>
    <x v="8"/>
    <m/>
    <m/>
    <m/>
    <m/>
    <m/>
    <n v="1"/>
    <s v="&lt;5"/>
    <n v="17"/>
    <n v="39"/>
    <n v="0"/>
    <n v="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5"/>
    <s v="Native"/>
    <s v="Tekik de Regil"/>
    <d v="2023-10-02T00:00:00"/>
    <n v="1"/>
    <m/>
    <x v="0"/>
    <x v="0"/>
    <m/>
    <m/>
    <x v="8"/>
    <m/>
    <m/>
    <m/>
    <m/>
    <m/>
    <n v="1"/>
    <s v="&lt;5"/>
    <n v="17"/>
    <n v="39"/>
    <n v="0"/>
    <n v="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6"/>
    <s v="Native"/>
    <s v="Tekik de Regil"/>
    <d v="2023-10-02T00:00:00"/>
    <n v="1"/>
    <m/>
    <x v="0"/>
    <x v="0"/>
    <m/>
    <m/>
    <x v="8"/>
    <m/>
    <m/>
    <m/>
    <m/>
    <m/>
    <n v="2"/>
    <s v="5-29"/>
    <n v="17"/>
    <n v="39"/>
    <n v="0"/>
    <n v="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7"/>
    <s v="Native"/>
    <s v="Tekik de Regil"/>
    <d v="2023-10-02T00:00:00"/>
    <n v="1"/>
    <m/>
    <x v="0"/>
    <x v="0"/>
    <m/>
    <m/>
    <x v="8"/>
    <m/>
    <m/>
    <m/>
    <m/>
    <m/>
    <n v="2"/>
    <s v="5-29"/>
    <n v="17"/>
    <n v="39"/>
    <n v="0"/>
    <n v="1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8"/>
    <s v="Native"/>
    <s v="Tekik de Regil"/>
    <d v="2023-10-02T00:00:00"/>
    <n v="1"/>
    <m/>
    <x v="0"/>
    <x v="0"/>
    <m/>
    <m/>
    <x v="8"/>
    <m/>
    <m/>
    <m/>
    <m/>
    <m/>
    <n v="1"/>
    <s v="&gt;60"/>
    <n v="17"/>
    <n v="39"/>
    <n v="0"/>
    <n v="1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19"/>
    <s v="Native"/>
    <s v="Tekik de Regil"/>
    <d v="2023-10-02T00:00:00"/>
    <n v="1"/>
    <m/>
    <x v="0"/>
    <x v="0"/>
    <m/>
    <m/>
    <x v="8"/>
    <m/>
    <m/>
    <m/>
    <m/>
    <m/>
    <n v="1"/>
    <s v="5-29"/>
    <n v="17"/>
    <n v="39"/>
    <n v="0"/>
    <n v="1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0"/>
    <s v="Native"/>
    <s v="Tekik de Regil"/>
    <d v="2023-10-02T00:00:00"/>
    <n v="1"/>
    <m/>
    <x v="0"/>
    <x v="0"/>
    <m/>
    <m/>
    <x v="8"/>
    <m/>
    <m/>
    <m/>
    <m/>
    <m/>
    <n v="2"/>
    <s v="5-29"/>
    <n v="17"/>
    <n v="39"/>
    <n v="0"/>
    <n v="1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1"/>
    <s v="Native"/>
    <s v="Tekik de Regil"/>
    <d v="2023-10-02T00:00:00"/>
    <n v="1"/>
    <m/>
    <x v="0"/>
    <x v="0"/>
    <m/>
    <m/>
    <x v="8"/>
    <m/>
    <m/>
    <m/>
    <m/>
    <m/>
    <n v="2"/>
    <s v="5-29"/>
    <n v="17"/>
    <n v="39"/>
    <n v="0"/>
    <n v="1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2"/>
    <s v="Native"/>
    <s v="Tekik de Regil"/>
    <d v="2023-10-02T00:00:00"/>
    <n v="1"/>
    <m/>
    <x v="0"/>
    <x v="0"/>
    <m/>
    <m/>
    <x v="8"/>
    <m/>
    <m/>
    <m/>
    <m/>
    <m/>
    <n v="1"/>
    <s v="&lt;5"/>
    <n v="17"/>
    <n v="39"/>
    <n v="0"/>
    <n v="1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3"/>
    <s v="Native"/>
    <s v="Tekik de Regil"/>
    <d v="2023-10-02T00:00:00"/>
    <n v="1"/>
    <m/>
    <x v="0"/>
    <x v="0"/>
    <m/>
    <m/>
    <x v="8"/>
    <m/>
    <m/>
    <m/>
    <m/>
    <m/>
    <n v="1"/>
    <s v="5-29"/>
    <n v="17"/>
    <n v="39"/>
    <n v="0"/>
    <n v="1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4"/>
    <s v="Native"/>
    <s v="Tekik de Regil"/>
    <d v="2023-10-02T00:00:00"/>
    <n v="1"/>
    <m/>
    <x v="0"/>
    <x v="0"/>
    <m/>
    <m/>
    <x v="8"/>
    <m/>
    <m/>
    <m/>
    <m/>
    <m/>
    <n v="2"/>
    <s v="5-29"/>
    <n v="12"/>
    <n v="24"/>
    <n v="10"/>
    <n v="1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5"/>
    <s v="Native"/>
    <s v="Tekik de Regil"/>
    <d v="2023-10-02T00:00:00"/>
    <n v="1"/>
    <m/>
    <x v="0"/>
    <x v="0"/>
    <m/>
    <m/>
    <x v="8"/>
    <m/>
    <m/>
    <m/>
    <m/>
    <m/>
    <n v="2"/>
    <s v="5-29"/>
    <n v="12"/>
    <n v="24"/>
    <n v="10"/>
    <n v="1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7"/>
    <s v="Native"/>
    <s v="Tekik de Regil"/>
    <d v="2023-10-02T00:00:00"/>
    <n v="1"/>
    <s v="gl"/>
    <x v="2"/>
    <x v="1"/>
    <m/>
    <m/>
    <x v="8"/>
    <m/>
    <m/>
    <m/>
    <m/>
    <m/>
    <n v="2"/>
    <s v="5-29"/>
    <n v="12"/>
    <n v="24"/>
    <n v="10"/>
    <n v="1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8"/>
    <s v="Native"/>
    <s v="Tekik de Regil"/>
    <d v="2023-10-02T00:00:00"/>
    <n v="1"/>
    <s v="gl"/>
    <x v="2"/>
    <x v="1"/>
    <m/>
    <m/>
    <x v="8"/>
    <m/>
    <m/>
    <m/>
    <m/>
    <m/>
    <n v="2"/>
    <s v="&gt;60"/>
    <n v="12"/>
    <n v="24"/>
    <n v="10"/>
    <n v="2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29"/>
    <s v="Native"/>
    <s v="Tekik de Regil"/>
    <d v="2023-10-02T00:00:00"/>
    <n v="1"/>
    <s v="gl"/>
    <x v="2"/>
    <x v="1"/>
    <m/>
    <m/>
    <x v="8"/>
    <m/>
    <m/>
    <m/>
    <m/>
    <m/>
    <n v="4"/>
    <s v="5-29"/>
    <n v="12"/>
    <n v="24"/>
    <n v="10"/>
    <n v="2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0"/>
    <s v="Native"/>
    <s v="Tekik de Regil"/>
    <d v="2023-10-02T00:00:00"/>
    <n v="1"/>
    <s v="gl/bi"/>
    <x v="3"/>
    <x v="1"/>
    <m/>
    <m/>
    <x v="8"/>
    <m/>
    <m/>
    <m/>
    <m/>
    <m/>
    <n v="3"/>
    <s v="5-29"/>
    <n v="12"/>
    <n v="24"/>
    <n v="10"/>
    <n v="2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1"/>
    <s v="Native"/>
    <s v="Tekik de Regil"/>
    <d v="2023-10-02T00:00:00"/>
    <n v="1"/>
    <s v="GL?"/>
    <x v="2"/>
    <x v="1"/>
    <m/>
    <m/>
    <x v="8"/>
    <m/>
    <m/>
    <m/>
    <m/>
    <m/>
    <n v="2"/>
    <s v="5-29"/>
    <n v="12"/>
    <n v="24"/>
    <n v="10"/>
    <n v="2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2"/>
    <s v="Native"/>
    <s v="Tekik de Regil"/>
    <d v="2023-10-02T00:00:00"/>
    <n v="1"/>
    <s v="GL?"/>
    <x v="2"/>
    <x v="1"/>
    <m/>
    <m/>
    <x v="8"/>
    <m/>
    <m/>
    <m/>
    <m/>
    <m/>
    <n v="2"/>
    <s v="&gt;60"/>
    <n v="12"/>
    <n v="24"/>
    <n v="10"/>
    <n v="2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3"/>
    <s v="Native"/>
    <s v="Tekik de Regil"/>
    <d v="2023-10-02T00:00:00"/>
    <n v="1"/>
    <s v="GL?"/>
    <x v="2"/>
    <x v="1"/>
    <m/>
    <m/>
    <x v="8"/>
    <m/>
    <m/>
    <m/>
    <m/>
    <m/>
    <n v="5"/>
    <s v="5-29"/>
    <n v="12"/>
    <n v="24"/>
    <n v="10"/>
    <n v="2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4"/>
    <s v="Native"/>
    <s v="Tekik de Regil"/>
    <d v="2023-10-02T00:00:00"/>
    <n v="1"/>
    <s v="GL?"/>
    <x v="2"/>
    <x v="1"/>
    <m/>
    <m/>
    <x v="8"/>
    <m/>
    <m/>
    <m/>
    <m/>
    <m/>
    <n v="4"/>
    <s v="30-59"/>
    <n v="12"/>
    <n v="24"/>
    <n v="10"/>
    <n v="2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5"/>
    <s v="Native"/>
    <s v="Tekik de Regil"/>
    <d v="2023-10-02T00:00:00"/>
    <n v="1"/>
    <s v="GL?"/>
    <x v="2"/>
    <x v="1"/>
    <m/>
    <m/>
    <x v="8"/>
    <m/>
    <m/>
    <m/>
    <m/>
    <m/>
    <n v="3"/>
    <m/>
    <n v="12"/>
    <n v="24"/>
    <n v="10"/>
    <n v="2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6"/>
    <s v="Native"/>
    <s v="Tekik de Regil"/>
    <d v="2023-10-02T00:00:00"/>
    <n v="1"/>
    <s v="gleaning"/>
    <x v="2"/>
    <x v="1"/>
    <m/>
    <m/>
    <x v="8"/>
    <m/>
    <m/>
    <m/>
    <m/>
    <m/>
    <n v="2"/>
    <s v="30-59"/>
    <n v="12"/>
    <n v="24"/>
    <n v="10"/>
    <n v="2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8"/>
    <s v="Native"/>
    <s v="Tekik de Regil"/>
    <d v="2023-10-02T00:00:00"/>
    <n v="1"/>
    <s v="gleaning"/>
    <x v="2"/>
    <x v="1"/>
    <m/>
    <m/>
    <x v="8"/>
    <m/>
    <m/>
    <m/>
    <m/>
    <m/>
    <n v="2"/>
    <s v="&gt;60"/>
    <n v="12"/>
    <n v="24"/>
    <n v="10"/>
    <n v="2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39"/>
    <s v="Native"/>
    <s v="Tekik de Regil"/>
    <d v="2023-10-02T00:00:00"/>
    <n v="1"/>
    <s v="gleaning"/>
    <x v="2"/>
    <x v="1"/>
    <m/>
    <m/>
    <x v="8"/>
    <m/>
    <m/>
    <m/>
    <m/>
    <m/>
    <n v="1"/>
    <s v="5-29"/>
    <n v="12"/>
    <n v="24"/>
    <n v="10"/>
    <n v="3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0"/>
    <s v="Native"/>
    <s v="Tekik de Regil"/>
    <d v="2023-10-02T00:00:00"/>
    <n v="1"/>
    <s v="gleaning"/>
    <x v="2"/>
    <x v="1"/>
    <m/>
    <m/>
    <x v="8"/>
    <m/>
    <m/>
    <m/>
    <m/>
    <m/>
    <n v="2"/>
    <s v="30-59"/>
    <n v="12"/>
    <n v="24"/>
    <n v="10"/>
    <n v="3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1"/>
    <s v="Native"/>
    <s v="Tekik de Regil"/>
    <d v="2023-10-02T00:00:00"/>
    <n v="1"/>
    <s v="gleaning"/>
    <x v="2"/>
    <x v="1"/>
    <m/>
    <m/>
    <x v="8"/>
    <m/>
    <m/>
    <m/>
    <m/>
    <m/>
    <n v="6"/>
    <s v="&gt;60"/>
    <n v="12"/>
    <n v="24"/>
    <n v="10"/>
    <n v="3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2"/>
    <s v="Native"/>
    <s v="Tekik de Regil"/>
    <d v="2023-10-02T00:00:00"/>
    <n v="1"/>
    <s v="gleaning"/>
    <x v="2"/>
    <x v="1"/>
    <m/>
    <m/>
    <x v="8"/>
    <m/>
    <m/>
    <m/>
    <m/>
    <m/>
    <n v="3"/>
    <s v="5-29"/>
    <n v="12"/>
    <n v="24"/>
    <n v="10"/>
    <n v="3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3"/>
    <s v="Native"/>
    <s v="Tekik de Regil"/>
    <d v="2023-10-02T00:00:00"/>
    <n v="1"/>
    <s v="gleaning"/>
    <x v="2"/>
    <x v="1"/>
    <m/>
    <m/>
    <x v="8"/>
    <m/>
    <m/>
    <m/>
    <m/>
    <m/>
    <n v="1"/>
    <s v="5-29"/>
    <n v="12"/>
    <n v="24"/>
    <n v="10"/>
    <n v="3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4"/>
    <s v="Native"/>
    <s v="Tekik de Regil"/>
    <d v="2023-10-02T00:00:00"/>
    <n v="1"/>
    <s v="gleaning"/>
    <x v="2"/>
    <x v="1"/>
    <m/>
    <m/>
    <x v="8"/>
    <m/>
    <m/>
    <m/>
    <m/>
    <m/>
    <n v="1"/>
    <s v="&gt;60"/>
    <n v="12"/>
    <n v="24"/>
    <n v="10"/>
    <n v="3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5"/>
    <s v="Native"/>
    <s v="Tekik de Regil"/>
    <d v="2023-10-02T00:00:00"/>
    <n v="1"/>
    <s v="gleaning"/>
    <x v="2"/>
    <x v="1"/>
    <m/>
    <m/>
    <x v="8"/>
    <m/>
    <m/>
    <m/>
    <m/>
    <m/>
    <n v="3"/>
    <s v="&gt;60"/>
    <n v="12"/>
    <n v="24"/>
    <n v="10"/>
    <n v="3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6"/>
    <s v="Native"/>
    <s v="Tekik de Regil"/>
    <d v="2023-10-02T00:00:00"/>
    <n v="1"/>
    <s v="gleaning"/>
    <x v="2"/>
    <x v="1"/>
    <m/>
    <m/>
    <x v="8"/>
    <m/>
    <m/>
    <m/>
    <m/>
    <m/>
    <n v="1"/>
    <s v="5-29"/>
    <n v="12"/>
    <n v="24"/>
    <n v="10"/>
    <n v="3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7"/>
    <s v="Native"/>
    <s v="Tekik de Regil"/>
    <d v="2023-10-02T00:00:00"/>
    <m/>
    <m/>
    <x v="0"/>
    <x v="0"/>
    <m/>
    <m/>
    <x v="8"/>
    <m/>
    <m/>
    <m/>
    <m/>
    <m/>
    <m/>
    <m/>
    <n v="12"/>
    <n v="24"/>
    <n v="10"/>
    <n v="3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8"/>
    <s v="Native"/>
    <s v="Tekik de Regil"/>
    <d v="2023-10-02T00:00:00"/>
    <m/>
    <m/>
    <x v="0"/>
    <x v="0"/>
    <m/>
    <m/>
    <x v="8"/>
    <m/>
    <m/>
    <m/>
    <m/>
    <m/>
    <m/>
    <m/>
    <n v="12"/>
    <n v="24"/>
    <n v="10"/>
    <n v="3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49"/>
    <s v="Native"/>
    <s v="Tekik de Regil"/>
    <d v="2023-10-02T00:00:00"/>
    <m/>
    <m/>
    <x v="0"/>
    <x v="0"/>
    <m/>
    <m/>
    <x v="8"/>
    <m/>
    <m/>
    <m/>
    <m/>
    <m/>
    <m/>
    <m/>
    <n v="12"/>
    <n v="24"/>
    <n v="10"/>
    <n v="4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0"/>
    <s v="Native"/>
    <s v="Tekik de Regil"/>
    <d v="2023-10-02T00:00:00"/>
    <m/>
    <m/>
    <x v="0"/>
    <x v="0"/>
    <m/>
    <m/>
    <x v="8"/>
    <m/>
    <m/>
    <m/>
    <m/>
    <m/>
    <m/>
    <m/>
    <n v="12"/>
    <n v="24"/>
    <n v="10"/>
    <n v="4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1"/>
    <s v="Native"/>
    <s v="Tekik de Regil"/>
    <d v="2023-10-02T00:00:00"/>
    <m/>
    <m/>
    <x v="0"/>
    <x v="0"/>
    <m/>
    <m/>
    <x v="8"/>
    <m/>
    <m/>
    <m/>
    <m/>
    <m/>
    <m/>
    <m/>
    <n v="12"/>
    <n v="24"/>
    <n v="10"/>
    <n v="4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2"/>
    <s v="Native"/>
    <s v="Tekik de Regil"/>
    <d v="2023-10-02T00:00:00"/>
    <n v="1"/>
    <m/>
    <x v="0"/>
    <x v="0"/>
    <m/>
    <m/>
    <x v="8"/>
    <m/>
    <m/>
    <m/>
    <m/>
    <m/>
    <n v="1"/>
    <s v="5-29"/>
    <n v="10"/>
    <n v="20"/>
    <n v="0"/>
    <n v="4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3"/>
    <s v="Native"/>
    <s v="Tekik de Regil"/>
    <d v="2023-10-02T00:00:00"/>
    <n v="1"/>
    <m/>
    <x v="0"/>
    <x v="0"/>
    <m/>
    <m/>
    <x v="8"/>
    <m/>
    <m/>
    <m/>
    <m/>
    <m/>
    <n v="1"/>
    <s v="&lt;5"/>
    <n v="10"/>
    <n v="20"/>
    <n v="0"/>
    <n v="4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4"/>
    <s v="Native"/>
    <s v="Tekik de Regil"/>
    <d v="2023-10-02T00:00:00"/>
    <n v="1"/>
    <m/>
    <x v="0"/>
    <x v="0"/>
    <m/>
    <m/>
    <x v="8"/>
    <m/>
    <m/>
    <m/>
    <m/>
    <m/>
    <n v="1"/>
    <s v="5-29"/>
    <n v="10"/>
    <n v="20"/>
    <n v="0"/>
    <n v="4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5"/>
    <s v="Native"/>
    <s v="Tekik de Regil"/>
    <d v="2023-10-02T00:00:00"/>
    <n v="1"/>
    <m/>
    <x v="0"/>
    <x v="0"/>
    <m/>
    <m/>
    <x v="8"/>
    <m/>
    <m/>
    <m/>
    <m/>
    <m/>
    <n v="2"/>
    <s v="&lt;5"/>
    <n v="10"/>
    <n v="20"/>
    <n v="0"/>
    <n v="4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6"/>
    <s v="Native"/>
    <s v="Tekik de Regil"/>
    <d v="2023-10-02T00:00:00"/>
    <n v="1"/>
    <m/>
    <x v="0"/>
    <x v="0"/>
    <m/>
    <m/>
    <x v="8"/>
    <m/>
    <m/>
    <m/>
    <m/>
    <m/>
    <n v="1"/>
    <s v="&lt;5"/>
    <n v="10"/>
    <n v="20"/>
    <n v="0"/>
    <n v="4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7"/>
    <s v="Native"/>
    <s v="Tekik de Regil"/>
    <d v="2023-10-02T00:00:00"/>
    <n v="1"/>
    <m/>
    <x v="0"/>
    <x v="0"/>
    <m/>
    <m/>
    <x v="8"/>
    <m/>
    <m/>
    <m/>
    <m/>
    <m/>
    <n v="1"/>
    <s v="5-29"/>
    <n v="10"/>
    <n v="20"/>
    <n v="0"/>
    <n v="4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8"/>
    <s v="Native"/>
    <s v="Tekik de Regil"/>
    <d v="2023-10-02T00:00:00"/>
    <n v="1"/>
    <m/>
    <x v="0"/>
    <x v="0"/>
    <m/>
    <m/>
    <x v="8"/>
    <m/>
    <m/>
    <m/>
    <m/>
    <m/>
    <n v="2"/>
    <s v="&lt;5"/>
    <n v="10"/>
    <n v="20"/>
    <n v="0"/>
    <n v="4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59"/>
    <s v="Native"/>
    <s v="Tekik de Regil"/>
    <d v="2023-10-02T00:00:00"/>
    <n v="1"/>
    <m/>
    <x v="0"/>
    <x v="0"/>
    <m/>
    <m/>
    <x v="8"/>
    <m/>
    <m/>
    <m/>
    <m/>
    <m/>
    <n v="2"/>
    <s v="&lt;5"/>
    <n v="10"/>
    <n v="20"/>
    <n v="0"/>
    <n v="5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0"/>
    <s v="Native"/>
    <s v="Tekik de Regil"/>
    <d v="2023-10-02T00:00:00"/>
    <m/>
    <m/>
    <x v="0"/>
    <x v="0"/>
    <m/>
    <m/>
    <x v="8"/>
    <m/>
    <m/>
    <m/>
    <m/>
    <m/>
    <n v="1"/>
    <s v="5-29"/>
    <n v="10"/>
    <n v="20"/>
    <n v="0"/>
    <n v="5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1"/>
    <s v="Native"/>
    <s v="Tekik de Regil"/>
    <d v="2023-10-02T00:00:00"/>
    <n v="1"/>
    <m/>
    <x v="0"/>
    <x v="0"/>
    <m/>
    <m/>
    <x v="8"/>
    <m/>
    <m/>
    <m/>
    <m/>
    <m/>
    <n v="2"/>
    <s v="5-29"/>
    <n v="10"/>
    <n v="20"/>
    <n v="0"/>
    <n v="5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2"/>
    <s v="Native"/>
    <s v="Tekik de Regil"/>
    <d v="2023-10-02T00:00:00"/>
    <n v="1"/>
    <m/>
    <x v="0"/>
    <x v="0"/>
    <m/>
    <m/>
    <x v="8"/>
    <m/>
    <m/>
    <m/>
    <m/>
    <m/>
    <n v="1"/>
    <s v="5-29"/>
    <n v="10"/>
    <n v="20"/>
    <n v="0"/>
    <n v="5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3"/>
    <s v="Native"/>
    <s v="Tekik de Regil"/>
    <d v="2023-10-02T00:00:00"/>
    <n v="0"/>
    <m/>
    <x v="0"/>
    <x v="0"/>
    <m/>
    <m/>
    <x v="8"/>
    <m/>
    <m/>
    <m/>
    <m/>
    <m/>
    <n v="2"/>
    <s v="&gt;60"/>
    <n v="10"/>
    <n v="16"/>
    <n v="0"/>
    <n v="5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4"/>
    <s v="Native"/>
    <s v="Tekik de Regil"/>
    <d v="2023-10-02T00:00:00"/>
    <n v="1"/>
    <s v="gleaning"/>
    <x v="2"/>
    <x v="1"/>
    <m/>
    <m/>
    <x v="8"/>
    <m/>
    <m/>
    <m/>
    <m/>
    <m/>
    <n v="1"/>
    <s v="30-59"/>
    <n v="12"/>
    <n v="24"/>
    <n v="10"/>
    <n v="5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5"/>
    <s v="Native"/>
    <s v="Tekik de Regil"/>
    <d v="2023-10-02T00:00:00"/>
    <n v="0"/>
    <m/>
    <x v="0"/>
    <x v="0"/>
    <m/>
    <m/>
    <x v="8"/>
    <m/>
    <m/>
    <m/>
    <m/>
    <m/>
    <n v="2"/>
    <s v="5-29"/>
    <n v="10"/>
    <n v="16"/>
    <n v="0"/>
    <n v="5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7"/>
    <s v="Native"/>
    <s v="Tekik de Regil"/>
    <d v="2023-10-02T00:00:00"/>
    <m/>
    <m/>
    <x v="0"/>
    <x v="0"/>
    <m/>
    <m/>
    <x v="8"/>
    <m/>
    <m/>
    <m/>
    <m/>
    <m/>
    <n v="2"/>
    <m/>
    <n v="10"/>
    <n v="16"/>
    <n v="0"/>
    <n v="5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8"/>
    <s v="Native"/>
    <s v="Tekik de Regil"/>
    <d v="2023-10-02T00:00:00"/>
    <n v="1"/>
    <s v="gleaning"/>
    <x v="2"/>
    <x v="1"/>
    <m/>
    <m/>
    <x v="8"/>
    <m/>
    <m/>
    <m/>
    <m/>
    <m/>
    <n v="3"/>
    <s v="5-29"/>
    <n v="10"/>
    <n v="16"/>
    <n v="0"/>
    <n v="5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69"/>
    <s v="Native"/>
    <s v="Tekik de Regil"/>
    <d v="2023-10-02T00:00:00"/>
    <n v="1"/>
    <s v="gleaning"/>
    <x v="2"/>
    <x v="1"/>
    <m/>
    <m/>
    <x v="8"/>
    <m/>
    <m/>
    <m/>
    <m/>
    <m/>
    <n v="2"/>
    <m/>
    <n v="10"/>
    <n v="16"/>
    <n v="0"/>
    <n v="5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0"/>
    <s v="Native"/>
    <s v="Tekik de Regil"/>
    <d v="2023-10-02T00:00:00"/>
    <n v="0"/>
    <s v="gleaning"/>
    <x v="2"/>
    <x v="1"/>
    <m/>
    <m/>
    <x v="8"/>
    <m/>
    <m/>
    <m/>
    <m/>
    <m/>
    <n v="1"/>
    <s v="&lt;5"/>
    <n v="10"/>
    <n v="16"/>
    <n v="0"/>
    <n v="6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1"/>
    <s v="Native"/>
    <s v="Tekik de Regil"/>
    <d v="2023-10-02T00:00:00"/>
    <n v="1"/>
    <s v="gleaning"/>
    <x v="2"/>
    <x v="1"/>
    <m/>
    <m/>
    <x v="8"/>
    <m/>
    <m/>
    <m/>
    <m/>
    <m/>
    <n v="2"/>
    <s v="5-29"/>
    <n v="10"/>
    <n v="16"/>
    <n v="0"/>
    <n v="6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2"/>
    <s v="Native"/>
    <s v="Tekik de Regil"/>
    <d v="2023-10-02T00:00:00"/>
    <n v="1"/>
    <s v="gleaning"/>
    <x v="2"/>
    <x v="1"/>
    <m/>
    <m/>
    <x v="8"/>
    <m/>
    <m/>
    <m/>
    <m/>
    <m/>
    <n v="2"/>
    <s v="5-29"/>
    <n v="10"/>
    <n v="16"/>
    <n v="0"/>
    <n v="6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3"/>
    <s v="Native"/>
    <s v="Tekik de Regil"/>
    <d v="2023-10-02T00:00:00"/>
    <n v="1"/>
    <s v="gleaning"/>
    <x v="2"/>
    <x v="1"/>
    <m/>
    <m/>
    <x v="8"/>
    <m/>
    <m/>
    <m/>
    <m/>
    <m/>
    <n v="2"/>
    <s v="30-59"/>
    <n v="10"/>
    <n v="16"/>
    <n v="0"/>
    <n v="6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4"/>
    <s v="Native"/>
    <s v="Tekik de Regil"/>
    <d v="2023-10-02T00:00:00"/>
    <n v="0"/>
    <s v="gleaning"/>
    <x v="2"/>
    <x v="1"/>
    <m/>
    <m/>
    <x v="8"/>
    <m/>
    <m/>
    <m/>
    <m/>
    <m/>
    <n v="3"/>
    <s v="30-59"/>
    <n v="10"/>
    <n v="16"/>
    <n v="0"/>
    <n v="6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5"/>
    <s v="Native"/>
    <s v="Tekik de Regil"/>
    <d v="2023-10-02T00:00:00"/>
    <n v="1"/>
    <s v="gleaning"/>
    <x v="2"/>
    <x v="1"/>
    <m/>
    <m/>
    <x v="8"/>
    <m/>
    <m/>
    <m/>
    <m/>
    <m/>
    <n v="1"/>
    <s v="5-29"/>
    <n v="10"/>
    <n v="16"/>
    <n v="0"/>
    <n v="6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6"/>
    <s v="Native"/>
    <s v="Tekik de Regil"/>
    <d v="2023-10-02T00:00:00"/>
    <n v="1"/>
    <s v="gleaning"/>
    <x v="2"/>
    <x v="1"/>
    <m/>
    <m/>
    <x v="8"/>
    <m/>
    <m/>
    <m/>
    <m/>
    <m/>
    <n v="4"/>
    <s v="30-59"/>
    <n v="10"/>
    <n v="16"/>
    <n v="0"/>
    <n v="6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7"/>
    <s v="Native"/>
    <s v="Tekik de Regil"/>
    <d v="2023-10-02T00:00:00"/>
    <n v="1"/>
    <s v="gleaning"/>
    <x v="2"/>
    <x v="1"/>
    <m/>
    <m/>
    <x v="8"/>
    <m/>
    <m/>
    <m/>
    <m/>
    <m/>
    <n v="1"/>
    <s v="5-29"/>
    <n v="10"/>
    <n v="16"/>
    <n v="0"/>
    <n v="6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8"/>
    <s v="Native"/>
    <s v="Tekik de Regil"/>
    <d v="2023-10-02T00:00:00"/>
    <n v="1"/>
    <m/>
    <x v="0"/>
    <x v="0"/>
    <m/>
    <m/>
    <x v="8"/>
    <m/>
    <m/>
    <m/>
    <m/>
    <m/>
    <n v="1"/>
    <s v="5-29"/>
    <n v="9"/>
    <n v="22"/>
    <n v="0"/>
    <n v="6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79"/>
    <s v="Native"/>
    <s v="Tekik de Regil"/>
    <d v="2023-10-02T00:00:00"/>
    <n v="1"/>
    <s v="gleaning"/>
    <x v="2"/>
    <x v="1"/>
    <m/>
    <m/>
    <x v="8"/>
    <m/>
    <m/>
    <m/>
    <m/>
    <m/>
    <n v="1"/>
    <s v="5-29"/>
    <n v="10"/>
    <n v="16"/>
    <n v="0"/>
    <n v="6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0"/>
    <s v="Native"/>
    <s v="Tekik de Regil"/>
    <d v="2023-10-02T00:00:00"/>
    <n v="1"/>
    <s v="gleaning"/>
    <x v="2"/>
    <x v="1"/>
    <m/>
    <m/>
    <x v="8"/>
    <m/>
    <m/>
    <m/>
    <m/>
    <m/>
    <n v="3"/>
    <s v="5-29"/>
    <n v="9"/>
    <n v="15"/>
    <n v="0"/>
    <n v="7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1"/>
    <s v="Native"/>
    <s v="Tekik de Regil"/>
    <d v="2023-10-11T00:00:00"/>
    <n v="1"/>
    <m/>
    <x v="0"/>
    <x v="0"/>
    <m/>
    <m/>
    <x v="8"/>
    <m/>
    <m/>
    <m/>
    <m/>
    <m/>
    <n v="3"/>
    <s v="5-29"/>
    <n v="17"/>
    <n v="14"/>
    <n v="9"/>
    <n v="18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2"/>
    <s v="Native"/>
    <s v="Tekik de Regil"/>
    <d v="2023-10-11T00:00:00"/>
    <n v="1"/>
    <m/>
    <x v="0"/>
    <x v="0"/>
    <m/>
    <m/>
    <x v="8"/>
    <m/>
    <m/>
    <m/>
    <m/>
    <m/>
    <n v="3"/>
    <s v="&lt;5"/>
    <n v="17"/>
    <n v="14"/>
    <n v="9"/>
    <n v="19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3"/>
    <s v="Native"/>
    <s v="Tekik de Regil"/>
    <d v="2023-10-11T00:00:00"/>
    <n v="1"/>
    <m/>
    <x v="0"/>
    <x v="0"/>
    <m/>
    <m/>
    <x v="8"/>
    <m/>
    <m/>
    <m/>
    <m/>
    <m/>
    <n v="3"/>
    <s v="&lt;5"/>
    <n v="17"/>
    <n v="14"/>
    <n v="9"/>
    <n v="19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4"/>
    <s v="Native"/>
    <s v="Tekik de Regil"/>
    <d v="2023-10-11T00:00:00"/>
    <n v="0"/>
    <m/>
    <x v="0"/>
    <x v="0"/>
    <m/>
    <m/>
    <x v="8"/>
    <m/>
    <m/>
    <m/>
    <m/>
    <m/>
    <n v="4"/>
    <s v="&lt;5"/>
    <n v="17"/>
    <n v="14"/>
    <n v="9"/>
    <n v="19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5"/>
    <s v="Native"/>
    <s v="Tekik de Regil"/>
    <d v="2023-10-11T00:00:00"/>
    <n v="1"/>
    <m/>
    <x v="0"/>
    <x v="0"/>
    <m/>
    <m/>
    <x v="8"/>
    <m/>
    <m/>
    <m/>
    <m/>
    <m/>
    <n v="1"/>
    <s v="5-29"/>
    <n v="17"/>
    <n v="14"/>
    <n v="9"/>
    <n v="19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7"/>
    <s v="Native"/>
    <s v="Tekik de Regil"/>
    <d v="2023-10-11T00:00:00"/>
    <n v="0"/>
    <m/>
    <x v="0"/>
    <x v="0"/>
    <m/>
    <m/>
    <x v="8"/>
    <m/>
    <m/>
    <m/>
    <m/>
    <m/>
    <n v="5"/>
    <s v="5-29"/>
    <n v="17"/>
    <n v="14"/>
    <n v="9"/>
    <n v="19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8"/>
    <s v="Native"/>
    <s v="Tekik de Regil"/>
    <d v="2023-10-11T00:00:00"/>
    <n v="1"/>
    <m/>
    <x v="0"/>
    <x v="0"/>
    <m/>
    <m/>
    <x v="8"/>
    <m/>
    <m/>
    <m/>
    <m/>
    <m/>
    <n v="5"/>
    <s v="&lt;5"/>
    <n v="17"/>
    <n v="14"/>
    <n v="9"/>
    <n v="19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89"/>
    <s v="Native"/>
    <s v="Tekik de Regil"/>
    <d v="2023-10-11T00:00:00"/>
    <n v="1"/>
    <m/>
    <x v="0"/>
    <x v="0"/>
    <m/>
    <m/>
    <x v="8"/>
    <m/>
    <m/>
    <m/>
    <m/>
    <m/>
    <n v="2"/>
    <s v="5-29"/>
    <n v="17"/>
    <n v="14"/>
    <n v="9"/>
    <n v="19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0"/>
    <s v="Native"/>
    <s v="Tekik de Regil"/>
    <d v="2023-10-11T00:00:00"/>
    <n v="0"/>
    <m/>
    <x v="0"/>
    <x v="0"/>
    <m/>
    <m/>
    <x v="8"/>
    <m/>
    <m/>
    <m/>
    <m/>
    <m/>
    <n v="1"/>
    <s v="&lt;5"/>
    <n v="17"/>
    <n v="14"/>
    <n v="9"/>
    <n v="19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1"/>
    <s v="Native"/>
    <s v="Tekik de Regil"/>
    <d v="2023-10-11T00:00:00"/>
    <n v="0"/>
    <m/>
    <x v="0"/>
    <x v="0"/>
    <m/>
    <m/>
    <x v="8"/>
    <m/>
    <m/>
    <m/>
    <m/>
    <m/>
    <n v="2"/>
    <s v="&lt;5"/>
    <n v="17"/>
    <n v="14"/>
    <n v="9"/>
    <n v="19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2"/>
    <s v="Native"/>
    <s v="Tekik de Regil"/>
    <d v="2023-10-02T00:00:00"/>
    <n v="1"/>
    <s v="gleaning"/>
    <x v="2"/>
    <x v="1"/>
    <m/>
    <m/>
    <x v="8"/>
    <m/>
    <m/>
    <m/>
    <m/>
    <m/>
    <n v="3"/>
    <s v="5-29"/>
    <n v="9"/>
    <n v="15"/>
    <n v="0"/>
    <n v="7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3"/>
    <s v="Native"/>
    <s v="Tekik de Regil"/>
    <d v="2023-10-11T00:00:00"/>
    <n v="1"/>
    <s v="gleaning"/>
    <x v="2"/>
    <x v="1"/>
    <m/>
    <m/>
    <x v="8"/>
    <m/>
    <m/>
    <m/>
    <m/>
    <m/>
    <n v="2"/>
    <s v="5-29"/>
    <n v="10"/>
    <n v="4"/>
    <n v="0"/>
    <n v="19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4"/>
    <s v="Native"/>
    <s v="Tekik de Regil"/>
    <d v="2023-10-11T00:00:00"/>
    <n v="1"/>
    <s v="gleaning"/>
    <x v="2"/>
    <x v="1"/>
    <m/>
    <m/>
    <x v="8"/>
    <m/>
    <m/>
    <m/>
    <m/>
    <m/>
    <n v="5"/>
    <s v="5-29"/>
    <n v="10"/>
    <n v="4"/>
    <n v="0"/>
    <n v="20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5"/>
    <s v="Native"/>
    <s v="Tekik de Regil"/>
    <d v="2023-10-11T00:00:00"/>
    <n v="1"/>
    <s v="gleaning"/>
    <x v="2"/>
    <x v="1"/>
    <m/>
    <m/>
    <x v="8"/>
    <m/>
    <m/>
    <m/>
    <m/>
    <m/>
    <n v="1"/>
    <s v="5-29"/>
    <n v="10"/>
    <n v="4"/>
    <n v="0"/>
    <n v="20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6"/>
    <s v="Native"/>
    <s v="Tekik de Regil"/>
    <d v="2023-10-11T00:00:00"/>
    <n v="1"/>
    <s v="gleaning"/>
    <x v="2"/>
    <x v="1"/>
    <m/>
    <m/>
    <x v="8"/>
    <m/>
    <m/>
    <m/>
    <m/>
    <m/>
    <n v="2"/>
    <s v="5-29"/>
    <n v="10"/>
    <n v="4"/>
    <n v="0"/>
    <n v="20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7"/>
    <s v="Native"/>
    <s v="Tekik de Regil"/>
    <d v="2023-10-11T00:00:00"/>
    <n v="1"/>
    <m/>
    <x v="0"/>
    <x v="0"/>
    <m/>
    <m/>
    <x v="8"/>
    <m/>
    <m/>
    <m/>
    <m/>
    <m/>
    <n v="3"/>
    <s v="&lt;5"/>
    <n v="10"/>
    <n v="4"/>
    <n v="0"/>
    <n v="20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8"/>
    <s v="Native"/>
    <s v="Tekik de Regil"/>
    <d v="2023-10-11T00:00:00"/>
    <n v="1"/>
    <s v="gleaning"/>
    <x v="2"/>
    <x v="1"/>
    <m/>
    <m/>
    <x v="8"/>
    <m/>
    <m/>
    <m/>
    <m/>
    <m/>
    <n v="2"/>
    <s v="5-29"/>
    <n v="10"/>
    <n v="4"/>
    <n v="0"/>
    <n v="20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599"/>
    <s v="Native"/>
    <s v="Tekik de Regil"/>
    <d v="2023-10-11T00:00:00"/>
    <n v="1"/>
    <s v="gleaning"/>
    <x v="2"/>
    <x v="1"/>
    <m/>
    <m/>
    <x v="8"/>
    <m/>
    <m/>
    <m/>
    <m/>
    <m/>
    <n v="2"/>
    <s v="5-29"/>
    <n v="10"/>
    <n v="4"/>
    <n v="0"/>
    <n v="20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1"/>
    <s v="Native"/>
    <s v="Tekik de Regil"/>
    <d v="2023-10-11T00:00:00"/>
    <n v="1"/>
    <s v="gleaning"/>
    <x v="2"/>
    <x v="1"/>
    <m/>
    <m/>
    <x v="8"/>
    <m/>
    <m/>
    <m/>
    <m/>
    <m/>
    <n v="2"/>
    <s v="5-29"/>
    <n v="10"/>
    <n v="4"/>
    <n v="0"/>
    <n v="20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2"/>
    <s v="Native"/>
    <s v="Tekik de Regil"/>
    <d v="2023-10-11T00:00:00"/>
    <n v="1"/>
    <m/>
    <x v="0"/>
    <x v="0"/>
    <m/>
    <m/>
    <x v="8"/>
    <m/>
    <m/>
    <m/>
    <m/>
    <m/>
    <n v="1"/>
    <s v="5-29"/>
    <n v="10"/>
    <n v="4"/>
    <n v="0"/>
    <n v="20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4"/>
    <s v="Native"/>
    <s v="Tekik de Regil"/>
    <d v="2023-10-11T00:00:00"/>
    <n v="1"/>
    <s v="gleaning"/>
    <x v="2"/>
    <x v="1"/>
    <m/>
    <m/>
    <x v="8"/>
    <m/>
    <m/>
    <m/>
    <m/>
    <m/>
    <n v="1"/>
    <s v="5-29"/>
    <n v="10"/>
    <n v="4"/>
    <n v="0"/>
    <n v="20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5"/>
    <s v="Native"/>
    <s v="Tekik de Regil"/>
    <d v="2023-10-11T00:00:00"/>
    <n v="1"/>
    <s v="gleaning"/>
    <x v="2"/>
    <x v="1"/>
    <m/>
    <m/>
    <x v="8"/>
    <m/>
    <m/>
    <m/>
    <m/>
    <m/>
    <n v="4"/>
    <s v="&lt;5"/>
    <n v="10"/>
    <n v="4"/>
    <n v="0"/>
    <n v="20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6"/>
    <s v="Native"/>
    <s v="Tekik de Regil"/>
    <d v="2023-10-11T00:00:00"/>
    <n v="0"/>
    <m/>
    <x v="0"/>
    <x v="0"/>
    <m/>
    <m/>
    <x v="8"/>
    <m/>
    <m/>
    <m/>
    <m/>
    <m/>
    <n v="2"/>
    <s v="&lt;5"/>
    <n v="16"/>
    <n v="14"/>
    <n v="3"/>
    <n v="21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7"/>
    <s v="Native"/>
    <s v="Tekik de Regil"/>
    <d v="2023-10-11T00:00:00"/>
    <n v="1"/>
    <m/>
    <x v="0"/>
    <x v="0"/>
    <m/>
    <m/>
    <x v="8"/>
    <m/>
    <m/>
    <m/>
    <m/>
    <m/>
    <n v="2"/>
    <s v="5-29"/>
    <n v="16"/>
    <n v="14"/>
    <n v="3"/>
    <n v="21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8"/>
    <s v="Native"/>
    <s v="Tekik de Regil"/>
    <d v="2023-10-11T00:00:00"/>
    <n v="1"/>
    <m/>
    <x v="0"/>
    <x v="0"/>
    <m/>
    <m/>
    <x v="8"/>
    <m/>
    <m/>
    <m/>
    <m/>
    <m/>
    <n v="5"/>
    <s v="5-29"/>
    <n v="16"/>
    <n v="14"/>
    <n v="3"/>
    <n v="21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09"/>
    <s v="Native"/>
    <s v="Tekik de Regil"/>
    <d v="2023-10-11T00:00:00"/>
    <n v="1"/>
    <m/>
    <x v="0"/>
    <x v="0"/>
    <m/>
    <m/>
    <x v="8"/>
    <m/>
    <m/>
    <m/>
    <m/>
    <m/>
    <n v="6"/>
    <s v="5-29"/>
    <n v="16"/>
    <n v="14"/>
    <n v="3"/>
    <n v="21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0"/>
    <s v="Native"/>
    <s v="Tekik de Regil"/>
    <d v="2023-10-11T00:00:00"/>
    <n v="0"/>
    <m/>
    <x v="0"/>
    <x v="0"/>
    <m/>
    <m/>
    <x v="8"/>
    <m/>
    <m/>
    <m/>
    <m/>
    <m/>
    <n v="3"/>
    <s v="5-29"/>
    <n v="16"/>
    <n v="14"/>
    <n v="3"/>
    <n v="21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1"/>
    <s v="Native"/>
    <s v="Tekik de Regil"/>
    <d v="2023-10-11T00:00:00"/>
    <n v="1"/>
    <m/>
    <x v="0"/>
    <x v="0"/>
    <m/>
    <m/>
    <x v="8"/>
    <m/>
    <m/>
    <m/>
    <m/>
    <m/>
    <n v="2"/>
    <s v="&gt;60"/>
    <n v="16"/>
    <n v="14"/>
    <n v="3"/>
    <n v="21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2"/>
    <s v="Native"/>
    <s v="Tekik de Regil"/>
    <d v="2023-10-11T00:00:00"/>
    <n v="0"/>
    <m/>
    <x v="0"/>
    <x v="0"/>
    <m/>
    <m/>
    <x v="8"/>
    <m/>
    <m/>
    <m/>
    <m/>
    <m/>
    <n v="1"/>
    <s v="5-29"/>
    <n v="16"/>
    <n v="14"/>
    <n v="3"/>
    <n v="21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3"/>
    <s v="Native"/>
    <s v="Tekik de Regil"/>
    <d v="2023-10-11T00:00:00"/>
    <n v="0"/>
    <m/>
    <x v="0"/>
    <x v="0"/>
    <m/>
    <m/>
    <x v="8"/>
    <m/>
    <m/>
    <m/>
    <m/>
    <m/>
    <n v="2"/>
    <s v="&lt;5"/>
    <n v="16"/>
    <n v="14"/>
    <n v="3"/>
    <n v="21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4"/>
    <s v="Native"/>
    <s v="Tekik de Regil"/>
    <d v="2023-10-11T00:00:00"/>
    <n v="0"/>
    <m/>
    <x v="0"/>
    <x v="0"/>
    <m/>
    <m/>
    <x v="8"/>
    <m/>
    <m/>
    <m/>
    <m/>
    <m/>
    <n v="2"/>
    <s v="&lt;5"/>
    <n v="16"/>
    <n v="14"/>
    <n v="3"/>
    <n v="21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5"/>
    <s v="Native"/>
    <s v="Tekik de Regil"/>
    <d v="2023-10-11T00:00:00"/>
    <n v="0"/>
    <m/>
    <x v="0"/>
    <x v="0"/>
    <m/>
    <m/>
    <x v="8"/>
    <m/>
    <m/>
    <m/>
    <m/>
    <m/>
    <n v="1"/>
    <s v="&lt;5"/>
    <n v="16"/>
    <n v="14"/>
    <n v="3"/>
    <n v="21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8"/>
    <s v="Native"/>
    <s v="Tekik de Regil"/>
    <d v="2023-10-11T00:00:00"/>
    <n v="1"/>
    <s v="gleaning"/>
    <x v="2"/>
    <x v="1"/>
    <m/>
    <m/>
    <x v="8"/>
    <m/>
    <m/>
    <m/>
    <m/>
    <m/>
    <n v="3"/>
    <s v="5-29"/>
    <n v="10"/>
    <n v="4"/>
    <n v="0"/>
    <n v="22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19"/>
    <s v="Native"/>
    <s v="Tekik de Regil"/>
    <d v="2023-10-11T00:00:00"/>
    <n v="0"/>
    <s v="gleaning"/>
    <x v="2"/>
    <x v="1"/>
    <m/>
    <m/>
    <x v="8"/>
    <m/>
    <m/>
    <m/>
    <m/>
    <m/>
    <n v="1"/>
    <s v="&lt;5"/>
    <n v="9"/>
    <n v="19"/>
    <n v="0"/>
    <n v="22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0"/>
    <s v="Native"/>
    <s v="Tekik de Regil"/>
    <d v="2023-10-11T00:00:00"/>
    <n v="1"/>
    <s v="gleaning"/>
    <x v="2"/>
    <x v="1"/>
    <m/>
    <m/>
    <x v="8"/>
    <m/>
    <m/>
    <m/>
    <m/>
    <m/>
    <n v="1"/>
    <s v="5-29"/>
    <n v="9"/>
    <n v="19"/>
    <n v="0"/>
    <n v="22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1"/>
    <s v="Native"/>
    <s v="Tekik de Regil"/>
    <d v="2023-10-11T00:00:00"/>
    <n v="1"/>
    <m/>
    <x v="0"/>
    <x v="0"/>
    <m/>
    <m/>
    <x v="8"/>
    <m/>
    <m/>
    <m/>
    <m/>
    <m/>
    <n v="1"/>
    <s v="&gt;60"/>
    <n v="9"/>
    <n v="19"/>
    <n v="0"/>
    <n v="22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2"/>
    <s v="Native"/>
    <s v="Tekik de Regil"/>
    <d v="2023-10-11T00:00:00"/>
    <n v="1"/>
    <m/>
    <x v="0"/>
    <x v="0"/>
    <m/>
    <m/>
    <x v="8"/>
    <m/>
    <m/>
    <m/>
    <m/>
    <m/>
    <n v="2"/>
    <s v="&gt;60"/>
    <n v="9"/>
    <n v="19"/>
    <n v="0"/>
    <n v="22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3"/>
    <s v="Native"/>
    <s v="Tekik de Regil"/>
    <d v="2023-10-11T00:00:00"/>
    <m/>
    <s v="gleaning"/>
    <x v="2"/>
    <x v="1"/>
    <m/>
    <m/>
    <x v="8"/>
    <m/>
    <m/>
    <m/>
    <m/>
    <m/>
    <n v="2"/>
    <s v="&gt;60"/>
    <n v="9"/>
    <n v="19"/>
    <n v="0"/>
    <n v="22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4"/>
    <s v="Native"/>
    <s v="Tekik de Regil"/>
    <d v="2023-10-11T00:00:00"/>
    <n v="1"/>
    <s v="gleaning"/>
    <x v="2"/>
    <x v="1"/>
    <m/>
    <m/>
    <x v="8"/>
    <m/>
    <m/>
    <m/>
    <m/>
    <m/>
    <m/>
    <s v="5-29"/>
    <n v="9"/>
    <n v="19"/>
    <n v="0"/>
    <n v="22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5"/>
    <s v="Native"/>
    <s v="Tekik de Regil"/>
    <d v="2023-10-11T00:00:00"/>
    <n v="1"/>
    <s v="gleaning"/>
    <x v="2"/>
    <x v="1"/>
    <m/>
    <m/>
    <x v="8"/>
    <m/>
    <m/>
    <m/>
    <m/>
    <m/>
    <n v="5"/>
    <s v="5-29"/>
    <n v="9"/>
    <n v="19"/>
    <n v="0"/>
    <n v="22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6"/>
    <s v="Native"/>
    <s v="Tekik de Regil"/>
    <d v="2023-10-11T00:00:00"/>
    <n v="1"/>
    <s v="gleaning"/>
    <x v="2"/>
    <x v="1"/>
    <m/>
    <m/>
    <x v="8"/>
    <m/>
    <m/>
    <m/>
    <m/>
    <m/>
    <n v="2"/>
    <s v="&gt;60"/>
    <n v="9"/>
    <n v="19"/>
    <n v="0"/>
    <n v="22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7"/>
    <s v="Native"/>
    <s v="Tekik de Regil"/>
    <d v="2023-10-11T00:00:00"/>
    <n v="1"/>
    <s v="gleaning"/>
    <x v="2"/>
    <x v="1"/>
    <m/>
    <m/>
    <x v="8"/>
    <m/>
    <m/>
    <m/>
    <m/>
    <m/>
    <n v="4"/>
    <s v="&lt;5"/>
    <n v="9"/>
    <n v="19"/>
    <n v="0"/>
    <n v="22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28"/>
    <s v="Native"/>
    <s v="Tekik de Regil"/>
    <d v="2023-10-11T00:00:00"/>
    <n v="1"/>
    <m/>
    <x v="0"/>
    <x v="0"/>
    <m/>
    <m/>
    <x v="8"/>
    <m/>
    <m/>
    <m/>
    <m/>
    <m/>
    <n v="4"/>
    <s v="5-29"/>
    <n v="9"/>
    <n v="19"/>
    <n v="0"/>
    <n v="23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0"/>
    <s v="Native"/>
    <s v="Tekik de Regil"/>
    <d v="2023-10-11T00:00:00"/>
    <n v="0"/>
    <m/>
    <x v="0"/>
    <x v="0"/>
    <m/>
    <m/>
    <x v="8"/>
    <m/>
    <m/>
    <m/>
    <m/>
    <m/>
    <n v="2"/>
    <s v="&lt;5"/>
    <n v="9"/>
    <n v="19"/>
    <n v="0"/>
    <n v="23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1"/>
    <s v="Native"/>
    <s v="Tekik de Regil"/>
    <d v="2023-10-11T00:00:00"/>
    <n v="1"/>
    <m/>
    <x v="0"/>
    <x v="0"/>
    <m/>
    <m/>
    <x v="8"/>
    <m/>
    <m/>
    <m/>
    <m/>
    <m/>
    <n v="2"/>
    <s v="5-29"/>
    <n v="9"/>
    <n v="19"/>
    <n v="0"/>
    <n v="23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3"/>
    <s v="Native"/>
    <s v="Tekik de Regil"/>
    <d v="2023-10-11T00:00:00"/>
    <n v="1"/>
    <m/>
    <x v="0"/>
    <x v="0"/>
    <m/>
    <m/>
    <x v="8"/>
    <m/>
    <m/>
    <m/>
    <m/>
    <m/>
    <n v="3"/>
    <s v="&gt;60"/>
    <n v="16"/>
    <n v="19"/>
    <n v="0"/>
    <n v="23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4"/>
    <s v="Native"/>
    <s v="Tekik de Regil"/>
    <d v="2023-10-11T00:00:00"/>
    <n v="1"/>
    <m/>
    <x v="0"/>
    <x v="0"/>
    <m/>
    <m/>
    <x v="8"/>
    <m/>
    <m/>
    <m/>
    <m/>
    <m/>
    <n v="1"/>
    <s v="&gt;60"/>
    <n v="16"/>
    <n v="19"/>
    <n v="0"/>
    <n v="23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5"/>
    <s v="Native"/>
    <s v="Tekik de Regil"/>
    <d v="2023-10-11T00:00:00"/>
    <n v="1"/>
    <m/>
    <x v="0"/>
    <x v="0"/>
    <m/>
    <m/>
    <x v="8"/>
    <m/>
    <m/>
    <m/>
    <m/>
    <m/>
    <n v="3"/>
    <s v="5-29"/>
    <n v="16"/>
    <n v="19"/>
    <n v="0"/>
    <n v="23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6"/>
    <s v="Native"/>
    <s v="Tekik de Regil"/>
    <d v="2023-10-11T00:00:00"/>
    <n v="1"/>
    <m/>
    <x v="0"/>
    <x v="0"/>
    <m/>
    <m/>
    <x v="8"/>
    <m/>
    <m/>
    <m/>
    <m/>
    <m/>
    <n v="1"/>
    <s v="&gt;60"/>
    <n v="16"/>
    <n v="19"/>
    <n v="0"/>
    <n v="23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7"/>
    <s v="Native"/>
    <s v="Tekik de Regil"/>
    <d v="2023-10-11T00:00:00"/>
    <n v="1"/>
    <m/>
    <x v="0"/>
    <x v="0"/>
    <m/>
    <m/>
    <x v="8"/>
    <m/>
    <m/>
    <m/>
    <m/>
    <m/>
    <n v="1"/>
    <s v="30-59"/>
    <n v="16"/>
    <n v="19"/>
    <n v="0"/>
    <n v="23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39"/>
    <s v="Native"/>
    <s v="Tekik de Regil"/>
    <d v="2023-10-11T00:00:00"/>
    <n v="1"/>
    <m/>
    <x v="0"/>
    <x v="0"/>
    <m/>
    <m/>
    <x v="8"/>
    <m/>
    <m/>
    <m/>
    <m/>
    <m/>
    <n v="3"/>
    <s v="&gt;60"/>
    <n v="16"/>
    <n v="19"/>
    <n v="0"/>
    <n v="23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1"/>
    <s v="Native"/>
    <s v="Tekik de Regil"/>
    <d v="2023-10-11T00:00:00"/>
    <n v="1"/>
    <m/>
    <x v="0"/>
    <x v="0"/>
    <m/>
    <m/>
    <x v="8"/>
    <m/>
    <m/>
    <m/>
    <m/>
    <m/>
    <n v="1"/>
    <s v="&gt;60"/>
    <n v="16"/>
    <n v="19"/>
    <n v="0"/>
    <n v="23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3"/>
    <s v="Native"/>
    <s v="Tekik de Regil"/>
    <d v="2023-10-11T00:00:00"/>
    <m/>
    <m/>
    <x v="0"/>
    <x v="0"/>
    <m/>
    <m/>
    <x v="8"/>
    <m/>
    <m/>
    <m/>
    <m/>
    <m/>
    <n v="3"/>
    <s v="&gt;60"/>
    <n v="16"/>
    <n v="19"/>
    <n v="0"/>
    <n v="24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4"/>
    <s v="Native"/>
    <s v="Tekik de Regil"/>
    <d v="2023-10-11T00:00:00"/>
    <m/>
    <m/>
    <x v="0"/>
    <x v="0"/>
    <m/>
    <m/>
    <x v="8"/>
    <m/>
    <m/>
    <m/>
    <m/>
    <m/>
    <n v="2"/>
    <s v="30-59"/>
    <n v="16"/>
    <n v="19"/>
    <n v="0"/>
    <n v="24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5"/>
    <s v="Native"/>
    <s v="Tekik de Regil"/>
    <d v="2023-10-11T00:00:00"/>
    <m/>
    <m/>
    <x v="0"/>
    <x v="0"/>
    <m/>
    <m/>
    <x v="8"/>
    <m/>
    <m/>
    <m/>
    <m/>
    <m/>
    <n v="2"/>
    <s v="&gt;60"/>
    <n v="16"/>
    <n v="19"/>
    <n v="0"/>
    <n v="24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6"/>
    <s v="Native"/>
    <s v="Tekik de Regil"/>
    <d v="2023-10-11T00:00:00"/>
    <n v="1"/>
    <s v="gleaning"/>
    <x v="2"/>
    <x v="1"/>
    <m/>
    <m/>
    <x v="8"/>
    <m/>
    <m/>
    <m/>
    <m/>
    <m/>
    <n v="1"/>
    <s v="5-29"/>
    <n v="9"/>
    <n v="19"/>
    <n v="0"/>
    <n v="24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7"/>
    <s v="Native"/>
    <s v="Tekik de Regil"/>
    <d v="2023-10-11T00:00:00"/>
    <n v="0"/>
    <s v="gleaning"/>
    <x v="2"/>
    <x v="1"/>
    <m/>
    <m/>
    <x v="8"/>
    <m/>
    <m/>
    <m/>
    <m/>
    <m/>
    <n v="4"/>
    <s v="5-29"/>
    <n v="13"/>
    <n v="12"/>
    <n v="7"/>
    <n v="24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49"/>
    <s v="Native"/>
    <s v="Tekik de Regil"/>
    <d v="2023-10-11T00:00:00"/>
    <n v="1"/>
    <s v="gleaning"/>
    <x v="2"/>
    <x v="1"/>
    <m/>
    <m/>
    <x v="8"/>
    <m/>
    <m/>
    <m/>
    <m/>
    <m/>
    <n v="3"/>
    <s v="&gt;60"/>
    <n v="13"/>
    <n v="12"/>
    <n v="7"/>
    <n v="24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1"/>
    <s v="Native"/>
    <s v="Tekik de Regil"/>
    <d v="2023-10-11T00:00:00"/>
    <n v="1"/>
    <s v="gleaning"/>
    <x v="2"/>
    <x v="1"/>
    <m/>
    <m/>
    <x v="8"/>
    <m/>
    <m/>
    <m/>
    <m/>
    <m/>
    <n v="2"/>
    <s v="30-59"/>
    <n v="13"/>
    <n v="12"/>
    <n v="7"/>
    <n v="24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2"/>
    <s v="Native"/>
    <s v="Tekik de Regil"/>
    <d v="2023-10-11T00:00:00"/>
    <n v="1"/>
    <s v="gleaning"/>
    <x v="2"/>
    <x v="1"/>
    <m/>
    <m/>
    <x v="8"/>
    <m/>
    <m/>
    <m/>
    <m/>
    <m/>
    <n v="2"/>
    <s v="&gt;60"/>
    <n v="13"/>
    <n v="12"/>
    <n v="7"/>
    <n v="24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3"/>
    <s v="Native"/>
    <s v="Tekik de Regil"/>
    <d v="2023-10-11T00:00:00"/>
    <n v="1"/>
    <s v="gleaning"/>
    <x v="2"/>
    <x v="1"/>
    <m/>
    <m/>
    <x v="8"/>
    <m/>
    <m/>
    <m/>
    <m/>
    <m/>
    <n v="3"/>
    <s v="30-59"/>
    <n v="13"/>
    <n v="12"/>
    <n v="7"/>
    <n v="24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4"/>
    <s v="Native"/>
    <s v="Tekik de Regil"/>
    <d v="2023-10-11T00:00:00"/>
    <n v="1"/>
    <s v="gleaning"/>
    <x v="2"/>
    <x v="1"/>
    <m/>
    <m/>
    <x v="8"/>
    <m/>
    <m/>
    <m/>
    <m/>
    <m/>
    <n v="1"/>
    <s v="30-59"/>
    <n v="13"/>
    <n v="12"/>
    <n v="7"/>
    <n v="24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6"/>
    <s v="Native"/>
    <s v="Tekik de Regil"/>
    <d v="2023-10-11T00:00:00"/>
    <m/>
    <m/>
    <x v="0"/>
    <x v="0"/>
    <m/>
    <m/>
    <x v="8"/>
    <m/>
    <m/>
    <m/>
    <m/>
    <m/>
    <m/>
    <m/>
    <n v="13"/>
    <n v="12"/>
    <n v="7"/>
    <n v="25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57"/>
    <s v="Native"/>
    <s v="Tekik de Regil"/>
    <d v="2023-10-11T00:00:00"/>
    <n v="1"/>
    <s v="gleaning"/>
    <x v="2"/>
    <x v="1"/>
    <m/>
    <m/>
    <x v="8"/>
    <m/>
    <m/>
    <m/>
    <m/>
    <m/>
    <n v="2"/>
    <s v="30-59"/>
    <n v="13"/>
    <n v="12"/>
    <n v="7"/>
    <n v="25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2"/>
    <s v="Native"/>
    <s v="Tekik de Regil"/>
    <d v="2023-10-11T00:00:00"/>
    <n v="1"/>
    <s v="gleaning"/>
    <x v="2"/>
    <x v="1"/>
    <m/>
    <m/>
    <x v="8"/>
    <m/>
    <m/>
    <m/>
    <m/>
    <m/>
    <n v="2"/>
    <s v="5-29"/>
    <n v="13"/>
    <n v="12"/>
    <n v="7"/>
    <n v="25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3"/>
    <s v="Native"/>
    <s v="Tekik de Regil"/>
    <d v="2023-10-11T00:00:00"/>
    <n v="1"/>
    <s v="gleaning"/>
    <x v="2"/>
    <x v="1"/>
    <m/>
    <m/>
    <x v="8"/>
    <m/>
    <m/>
    <m/>
    <m/>
    <m/>
    <n v="1"/>
    <s v="&gt;60"/>
    <n v="13"/>
    <n v="12"/>
    <n v="7"/>
    <n v="25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4"/>
    <s v="Native"/>
    <s v="Tekik de Regil"/>
    <d v="2023-10-11T00:00:00"/>
    <n v="1"/>
    <s v="gleaning"/>
    <x v="2"/>
    <x v="1"/>
    <m/>
    <m/>
    <x v="8"/>
    <m/>
    <m/>
    <m/>
    <m/>
    <m/>
    <n v="2"/>
    <s v="&gt;60"/>
    <n v="13"/>
    <n v="12"/>
    <n v="7"/>
    <n v="25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5"/>
    <s v="Native"/>
    <s v="Tekik de Regil"/>
    <d v="2023-10-11T00:00:00"/>
    <n v="1"/>
    <m/>
    <x v="0"/>
    <x v="0"/>
    <m/>
    <m/>
    <x v="8"/>
    <m/>
    <m/>
    <m/>
    <m/>
    <m/>
    <n v="3"/>
    <s v="&gt;60"/>
    <n v="13"/>
    <n v="12"/>
    <n v="7"/>
    <n v="25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6"/>
    <s v="Native"/>
    <s v="Tekik de Regil"/>
    <d v="2023-10-11T00:00:00"/>
    <n v="1"/>
    <s v="gleaning"/>
    <x v="2"/>
    <x v="1"/>
    <m/>
    <m/>
    <x v="8"/>
    <m/>
    <m/>
    <m/>
    <m/>
    <m/>
    <n v="1"/>
    <s v="&lt;5"/>
    <n v="13"/>
    <n v="12"/>
    <n v="7"/>
    <n v="25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7"/>
    <s v="Native"/>
    <s v="Tekik de Regil"/>
    <d v="2023-10-11T00:00:00"/>
    <n v="1"/>
    <m/>
    <x v="0"/>
    <x v="0"/>
    <m/>
    <m/>
    <x v="8"/>
    <m/>
    <m/>
    <m/>
    <m/>
    <m/>
    <n v="2"/>
    <s v="30-59"/>
    <n v="13"/>
    <n v="12"/>
    <n v="7"/>
    <n v="25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8"/>
    <s v="Native"/>
    <s v="Tekik de Regil"/>
    <d v="2023-10-11T00:00:00"/>
    <n v="1"/>
    <m/>
    <x v="0"/>
    <x v="0"/>
    <m/>
    <m/>
    <x v="8"/>
    <m/>
    <m/>
    <m/>
    <m/>
    <m/>
    <n v="1"/>
    <s v="5-29"/>
    <n v="13"/>
    <n v="12"/>
    <n v="7"/>
    <n v="25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69"/>
    <s v="Native"/>
    <s v="Tekik de Regil"/>
    <d v="2023-10-11T00:00:00"/>
    <m/>
    <m/>
    <x v="0"/>
    <x v="0"/>
    <m/>
    <m/>
    <x v="8"/>
    <m/>
    <m/>
    <m/>
    <m/>
    <m/>
    <m/>
    <m/>
    <n v="13"/>
    <n v="12"/>
    <n v="7"/>
    <n v="25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70"/>
    <s v="Native"/>
    <s v="Tekik de Regil"/>
    <d v="2023-10-11T00:00:00"/>
    <m/>
    <m/>
    <x v="0"/>
    <x v="0"/>
    <m/>
    <m/>
    <x v="8"/>
    <m/>
    <m/>
    <m/>
    <m/>
    <m/>
    <m/>
    <m/>
    <n v="13"/>
    <n v="12"/>
    <n v="7"/>
    <n v="26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71"/>
    <s v="Native"/>
    <s v="Tekik de Regil"/>
    <d v="2023-10-11T00:00:00"/>
    <m/>
    <m/>
    <x v="0"/>
    <x v="0"/>
    <m/>
    <m/>
    <x v="8"/>
    <m/>
    <m/>
    <m/>
    <m/>
    <m/>
    <m/>
    <m/>
    <n v="13"/>
    <n v="12"/>
    <n v="7"/>
    <n v="26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83"/>
    <s v="Native"/>
    <s v="Xmatkuil"/>
    <d v="2023-10-09T00:00:00"/>
    <n v="1"/>
    <m/>
    <x v="0"/>
    <x v="0"/>
    <m/>
    <m/>
    <x v="8"/>
    <m/>
    <m/>
    <m/>
    <m/>
    <m/>
    <n v="1"/>
    <s v="5-29"/>
    <n v="26"/>
    <n v="0"/>
    <n v="0"/>
    <n v="7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84"/>
    <s v="Native"/>
    <s v="Xmatkuil"/>
    <d v="2023-10-09T00:00:00"/>
    <n v="1"/>
    <m/>
    <x v="0"/>
    <x v="0"/>
    <m/>
    <m/>
    <x v="8"/>
    <m/>
    <m/>
    <m/>
    <m/>
    <m/>
    <n v="1"/>
    <s v="30-59"/>
    <n v="26"/>
    <n v="0"/>
    <n v="0"/>
    <n v="7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85"/>
    <s v="Native"/>
    <s v="Xmatkuil"/>
    <d v="2023-10-09T00:00:00"/>
    <n v="1"/>
    <m/>
    <x v="0"/>
    <x v="0"/>
    <m/>
    <m/>
    <x v="8"/>
    <m/>
    <m/>
    <m/>
    <m/>
    <m/>
    <n v="1"/>
    <s v="&lt;5"/>
    <n v="26"/>
    <n v="0"/>
    <n v="0"/>
    <n v="7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86"/>
    <s v="Native"/>
    <s v="Xmatkuil"/>
    <d v="2023-10-09T00:00:00"/>
    <n v="1"/>
    <m/>
    <x v="0"/>
    <x v="0"/>
    <m/>
    <m/>
    <x v="8"/>
    <m/>
    <m/>
    <m/>
    <m/>
    <m/>
    <n v="1"/>
    <s v="5-29"/>
    <n v="26"/>
    <n v="0"/>
    <n v="0"/>
    <n v="7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87"/>
    <s v="Native"/>
    <s v="Xmatkuil"/>
    <d v="2023-10-09T00:00:00"/>
    <n v="1"/>
    <m/>
    <x v="0"/>
    <x v="0"/>
    <m/>
    <m/>
    <x v="8"/>
    <m/>
    <m/>
    <m/>
    <m/>
    <m/>
    <n v="1"/>
    <s v="&lt;5"/>
    <n v="26"/>
    <n v="0"/>
    <n v="0"/>
    <n v="7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0"/>
    <s v="Native"/>
    <s v="Xmatkuil"/>
    <d v="2023-10-09T00:00:00"/>
    <n v="1"/>
    <s v="gleaning"/>
    <x v="2"/>
    <x v="1"/>
    <m/>
    <m/>
    <x v="8"/>
    <m/>
    <m/>
    <m/>
    <m/>
    <m/>
    <n v="1"/>
    <s v="5-30"/>
    <n v="18"/>
    <n v="0"/>
    <n v="0"/>
    <n v="7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1"/>
    <s v="Native"/>
    <s v="Xmatkuil"/>
    <d v="2023-10-09T00:00:00"/>
    <n v="1"/>
    <s v="gleaning"/>
    <x v="2"/>
    <x v="1"/>
    <m/>
    <m/>
    <x v="8"/>
    <m/>
    <m/>
    <m/>
    <m/>
    <m/>
    <n v="1"/>
    <s v="5-31"/>
    <n v="18"/>
    <n v="0"/>
    <n v="0"/>
    <n v="7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2"/>
    <s v="Native"/>
    <s v="Xmatkuil"/>
    <d v="2023-10-09T00:00:00"/>
    <n v="1"/>
    <s v="gleaning"/>
    <x v="2"/>
    <x v="1"/>
    <m/>
    <m/>
    <x v="8"/>
    <m/>
    <m/>
    <m/>
    <m/>
    <m/>
    <n v="3"/>
    <s v="5-32"/>
    <n v="18"/>
    <n v="0"/>
    <n v="0"/>
    <n v="7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3"/>
    <s v="Native"/>
    <s v="Xmatkuil"/>
    <d v="2023-10-09T00:00:00"/>
    <n v="1"/>
    <s v="gleaning"/>
    <x v="2"/>
    <x v="1"/>
    <m/>
    <m/>
    <x v="8"/>
    <m/>
    <m/>
    <m/>
    <m/>
    <m/>
    <n v="4"/>
    <s v="5-33"/>
    <n v="18"/>
    <n v="0"/>
    <n v="0"/>
    <n v="8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4"/>
    <s v="Native"/>
    <s v="Xmatkuil"/>
    <d v="2023-10-09T00:00:00"/>
    <n v="0"/>
    <m/>
    <x v="0"/>
    <x v="0"/>
    <m/>
    <m/>
    <x v="8"/>
    <m/>
    <m/>
    <m/>
    <m/>
    <m/>
    <n v="4"/>
    <s v="5-29"/>
    <n v="28"/>
    <n v="0"/>
    <n v="0"/>
    <n v="8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5"/>
    <s v="Native"/>
    <s v="Xmatkuil"/>
    <d v="2023-10-09T00:00:00"/>
    <n v="1"/>
    <m/>
    <x v="0"/>
    <x v="0"/>
    <m/>
    <m/>
    <x v="8"/>
    <m/>
    <m/>
    <m/>
    <m/>
    <m/>
    <n v="3"/>
    <s v="5-29"/>
    <n v="28"/>
    <n v="0"/>
    <n v="0"/>
    <n v="8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6"/>
    <s v="Native"/>
    <s v="Xmatkuil"/>
    <d v="2023-10-09T00:00:00"/>
    <n v="0"/>
    <m/>
    <x v="0"/>
    <x v="0"/>
    <m/>
    <m/>
    <x v="8"/>
    <m/>
    <m/>
    <m/>
    <m/>
    <m/>
    <n v="2"/>
    <s v="5-29"/>
    <n v="28"/>
    <n v="0"/>
    <n v="0"/>
    <n v="8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7"/>
    <s v="Native"/>
    <s v="Xmatkuil"/>
    <d v="2023-10-09T00:00:00"/>
    <n v="0"/>
    <m/>
    <x v="0"/>
    <x v="0"/>
    <m/>
    <m/>
    <x v="8"/>
    <m/>
    <m/>
    <m/>
    <m/>
    <m/>
    <n v="6"/>
    <s v="5-29"/>
    <n v="28"/>
    <n v="0"/>
    <n v="0"/>
    <n v="8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8"/>
    <s v="Native"/>
    <s v="Xmatkuil"/>
    <d v="2023-10-09T00:00:00"/>
    <n v="0"/>
    <m/>
    <x v="0"/>
    <x v="0"/>
    <m/>
    <m/>
    <x v="8"/>
    <m/>
    <m/>
    <m/>
    <m/>
    <m/>
    <n v="3"/>
    <s v="5-29"/>
    <n v="28"/>
    <n v="0"/>
    <n v="0"/>
    <n v="8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699"/>
    <s v="Native"/>
    <s v="Xmatkuil"/>
    <d v="2023-10-09T00:00:00"/>
    <n v="1"/>
    <m/>
    <x v="0"/>
    <x v="0"/>
    <m/>
    <m/>
    <x v="8"/>
    <m/>
    <m/>
    <m/>
    <m/>
    <m/>
    <n v="4"/>
    <s v="5-29"/>
    <n v="28"/>
    <n v="0"/>
    <n v="0"/>
    <n v="8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0"/>
    <s v="Native"/>
    <s v="Xmatkuil"/>
    <d v="2023-10-09T00:00:00"/>
    <n v="1"/>
    <m/>
    <x v="0"/>
    <x v="0"/>
    <m/>
    <m/>
    <x v="8"/>
    <m/>
    <m/>
    <m/>
    <m/>
    <m/>
    <n v="2"/>
    <s v="5-29"/>
    <n v="28"/>
    <n v="0"/>
    <n v="0"/>
    <n v="8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2"/>
    <s v="Native"/>
    <s v="Xmatkuil"/>
    <d v="2023-10-09T00:00:00"/>
    <n v="1"/>
    <m/>
    <x v="0"/>
    <x v="0"/>
    <m/>
    <m/>
    <x v="8"/>
    <m/>
    <m/>
    <m/>
    <m/>
    <m/>
    <n v="2"/>
    <s v="5-29"/>
    <n v="28"/>
    <n v="0"/>
    <n v="0"/>
    <n v="8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3"/>
    <s v="Native"/>
    <s v="Xmatkuil"/>
    <d v="2023-10-09T00:00:00"/>
    <n v="1"/>
    <m/>
    <x v="0"/>
    <x v="0"/>
    <m/>
    <m/>
    <x v="8"/>
    <m/>
    <m/>
    <m/>
    <m/>
    <m/>
    <n v="2"/>
    <s v="5-29"/>
    <n v="28"/>
    <n v="0"/>
    <n v="0"/>
    <n v="8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4"/>
    <s v="Native"/>
    <s v="Xmatkuil"/>
    <d v="2023-10-09T00:00:00"/>
    <m/>
    <m/>
    <x v="0"/>
    <x v="0"/>
    <m/>
    <m/>
    <x v="8"/>
    <m/>
    <m/>
    <m/>
    <m/>
    <m/>
    <n v="3"/>
    <s v="5-29"/>
    <n v="28"/>
    <n v="0"/>
    <n v="0"/>
    <n v="9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5"/>
    <s v="Native"/>
    <s v="Xmatkuil"/>
    <d v="2023-10-09T00:00:00"/>
    <n v="0"/>
    <m/>
    <x v="0"/>
    <x v="0"/>
    <m/>
    <m/>
    <x v="8"/>
    <m/>
    <m/>
    <m/>
    <m/>
    <m/>
    <n v="3"/>
    <s v="5-29"/>
    <n v="28"/>
    <n v="0"/>
    <n v="0"/>
    <n v="9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6"/>
    <s v="Native"/>
    <s v="Xmatkuil"/>
    <d v="2023-10-09T00:00:00"/>
    <n v="1"/>
    <m/>
    <x v="0"/>
    <x v="0"/>
    <m/>
    <m/>
    <x v="8"/>
    <m/>
    <m/>
    <m/>
    <m/>
    <m/>
    <n v="2"/>
    <s v="&lt;5"/>
    <n v="34"/>
    <n v="0"/>
    <n v="0"/>
    <n v="9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7"/>
    <s v="Native"/>
    <s v="Xmatkuil"/>
    <d v="2023-10-09T00:00:00"/>
    <n v="1"/>
    <m/>
    <x v="0"/>
    <x v="0"/>
    <m/>
    <m/>
    <x v="8"/>
    <m/>
    <m/>
    <m/>
    <m/>
    <m/>
    <n v="2"/>
    <s v="29-60"/>
    <n v="34"/>
    <n v="0"/>
    <n v="0"/>
    <n v="9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8"/>
    <s v="Native"/>
    <s v="Xmatkuil"/>
    <d v="2023-10-09T00:00:00"/>
    <n v="1"/>
    <m/>
    <x v="0"/>
    <x v="0"/>
    <m/>
    <m/>
    <x v="8"/>
    <m/>
    <m/>
    <m/>
    <m/>
    <m/>
    <n v="5"/>
    <s v="5-29"/>
    <n v="34"/>
    <n v="0"/>
    <n v="0"/>
    <n v="9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09"/>
    <s v="Native"/>
    <s v="Xmatkuil"/>
    <d v="2023-10-09T00:00:00"/>
    <n v="1"/>
    <m/>
    <x v="0"/>
    <x v="0"/>
    <m/>
    <m/>
    <x v="8"/>
    <m/>
    <m/>
    <m/>
    <m/>
    <m/>
    <n v="2"/>
    <s v="29-60"/>
    <n v="34"/>
    <n v="0"/>
    <n v="0"/>
    <n v="9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0"/>
    <s v="Native"/>
    <s v="Xmatkuil"/>
    <d v="2023-10-09T00:00:00"/>
    <n v="0"/>
    <m/>
    <x v="0"/>
    <x v="0"/>
    <m/>
    <m/>
    <x v="8"/>
    <m/>
    <m/>
    <m/>
    <m/>
    <m/>
    <n v="4"/>
    <s v="&lt;5"/>
    <n v="34"/>
    <n v="0"/>
    <n v="0"/>
    <n v="9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2"/>
    <s v="Native"/>
    <s v="Xmatkuil"/>
    <d v="2023-10-09T00:00:00"/>
    <n v="1"/>
    <m/>
    <x v="0"/>
    <x v="0"/>
    <m/>
    <m/>
    <x v="8"/>
    <m/>
    <m/>
    <m/>
    <m/>
    <m/>
    <n v="3"/>
    <s v="29-60"/>
    <n v="34"/>
    <n v="0"/>
    <n v="0"/>
    <n v="9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3"/>
    <s v="Native"/>
    <s v="Xmatkuil"/>
    <d v="2023-10-09T00:00:00"/>
    <n v="1"/>
    <m/>
    <x v="0"/>
    <x v="0"/>
    <m/>
    <m/>
    <x v="8"/>
    <m/>
    <m/>
    <m/>
    <m/>
    <m/>
    <n v="2"/>
    <s v="29-60"/>
    <n v="34"/>
    <n v="0"/>
    <n v="0"/>
    <n v="9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4"/>
    <s v="Native"/>
    <s v="Xmatkuil"/>
    <d v="2023-10-09T00:00:00"/>
    <n v="1"/>
    <m/>
    <x v="0"/>
    <x v="0"/>
    <m/>
    <m/>
    <x v="8"/>
    <m/>
    <m/>
    <m/>
    <m/>
    <m/>
    <n v="1"/>
    <s v="5-29"/>
    <n v="34"/>
    <n v="0"/>
    <n v="0"/>
    <n v="9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5"/>
    <s v="Native"/>
    <s v="Xmatkuil"/>
    <d v="2023-10-09T00:00:00"/>
    <n v="0"/>
    <m/>
    <x v="0"/>
    <x v="0"/>
    <m/>
    <m/>
    <x v="8"/>
    <m/>
    <m/>
    <m/>
    <m/>
    <m/>
    <n v="3"/>
    <s v="&lt;5"/>
    <n v="34"/>
    <n v="0"/>
    <n v="0"/>
    <n v="10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6"/>
    <s v="Native"/>
    <s v="Xmatkuil"/>
    <d v="2023-10-09T00:00:00"/>
    <n v="1"/>
    <m/>
    <x v="0"/>
    <x v="0"/>
    <m/>
    <m/>
    <x v="8"/>
    <m/>
    <m/>
    <m/>
    <m/>
    <m/>
    <n v="2"/>
    <s v="5-29"/>
    <n v="34"/>
    <n v="0"/>
    <n v="0"/>
    <n v="10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19"/>
    <s v="Native"/>
    <s v="Xmatkuil"/>
    <d v="2023-10-09T00:00:00"/>
    <n v="0"/>
    <s v="gleaning"/>
    <x v="2"/>
    <x v="1"/>
    <m/>
    <m/>
    <x v="8"/>
    <m/>
    <m/>
    <m/>
    <m/>
    <m/>
    <n v="3"/>
    <s v="29-60"/>
    <n v="34"/>
    <n v="0"/>
    <n v="0"/>
    <n v="10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0"/>
    <s v="Native"/>
    <s v="Xmatkuil"/>
    <d v="2023-10-09T00:00:00"/>
    <n v="1"/>
    <s v="gleaning"/>
    <x v="2"/>
    <x v="1"/>
    <m/>
    <m/>
    <x v="8"/>
    <m/>
    <m/>
    <m/>
    <m/>
    <m/>
    <n v="2"/>
    <s v="29-60"/>
    <n v="34"/>
    <n v="0"/>
    <n v="0"/>
    <n v="10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1"/>
    <s v="Native"/>
    <s v="Xmatkuil"/>
    <d v="2023-10-09T00:00:00"/>
    <n v="1"/>
    <m/>
    <x v="0"/>
    <x v="0"/>
    <m/>
    <m/>
    <x v="8"/>
    <m/>
    <m/>
    <m/>
    <m/>
    <m/>
    <n v="2"/>
    <s v="5-29"/>
    <n v="37"/>
    <n v="0"/>
    <n v="0"/>
    <n v="10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2"/>
    <s v="Native"/>
    <s v="Xmatkuil"/>
    <d v="2023-10-09T00:00:00"/>
    <n v="1"/>
    <m/>
    <x v="0"/>
    <x v="0"/>
    <m/>
    <m/>
    <x v="8"/>
    <m/>
    <m/>
    <m/>
    <m/>
    <m/>
    <n v="1"/>
    <s v="&gt;60"/>
    <n v="37"/>
    <n v="0"/>
    <n v="0"/>
    <n v="10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3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10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4"/>
    <s v="Native"/>
    <s v="Xmatkuil"/>
    <d v="2023-10-09T00:00:00"/>
    <n v="1"/>
    <m/>
    <x v="0"/>
    <x v="0"/>
    <m/>
    <m/>
    <x v="8"/>
    <m/>
    <m/>
    <m/>
    <m/>
    <m/>
    <n v="2"/>
    <s v="5-29"/>
    <n v="37"/>
    <n v="0"/>
    <n v="0"/>
    <n v="10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5"/>
    <s v="Native"/>
    <s v="Xmatkuil"/>
    <d v="2023-10-09T00:00:00"/>
    <n v="1"/>
    <m/>
    <x v="0"/>
    <x v="0"/>
    <m/>
    <m/>
    <x v="8"/>
    <m/>
    <m/>
    <m/>
    <m/>
    <m/>
    <n v="3"/>
    <s v="5-29"/>
    <n v="37"/>
    <n v="0"/>
    <n v="0"/>
    <n v="10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6"/>
    <s v="Native"/>
    <s v="Xmatkuil"/>
    <d v="2023-10-09T00:00:00"/>
    <n v="1"/>
    <m/>
    <x v="0"/>
    <x v="0"/>
    <m/>
    <m/>
    <x v="8"/>
    <m/>
    <m/>
    <m/>
    <m/>
    <m/>
    <n v="2"/>
    <s v="30-69"/>
    <n v="37"/>
    <n v="0"/>
    <n v="0"/>
    <n v="10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7"/>
    <s v="Native"/>
    <s v="Xmatkuil"/>
    <d v="2023-10-09T00:00:00"/>
    <n v="0"/>
    <m/>
    <x v="0"/>
    <x v="0"/>
    <m/>
    <m/>
    <x v="8"/>
    <m/>
    <m/>
    <m/>
    <m/>
    <m/>
    <n v="2"/>
    <s v="&lt;5"/>
    <n v="37"/>
    <n v="0"/>
    <n v="0"/>
    <n v="11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8"/>
    <s v="Native"/>
    <s v="Xmatkuil"/>
    <d v="2023-10-09T00:00:00"/>
    <n v="0"/>
    <m/>
    <x v="0"/>
    <x v="0"/>
    <m/>
    <m/>
    <x v="8"/>
    <m/>
    <m/>
    <m/>
    <m/>
    <m/>
    <n v="1"/>
    <s v="&lt;5"/>
    <n v="37"/>
    <n v="0"/>
    <n v="0"/>
    <n v="11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29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11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0"/>
    <s v="Native"/>
    <s v="Xmatkuil"/>
    <d v="2023-10-09T00:00:00"/>
    <n v="1"/>
    <m/>
    <x v="0"/>
    <x v="0"/>
    <m/>
    <m/>
    <x v="8"/>
    <m/>
    <m/>
    <m/>
    <m/>
    <m/>
    <n v="1"/>
    <s v="&lt;5"/>
    <n v="37"/>
    <n v="0"/>
    <n v="0"/>
    <n v="11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1"/>
    <s v="Native"/>
    <s v="Xmatkuil"/>
    <d v="2023-10-09T00:00:00"/>
    <n v="0"/>
    <m/>
    <x v="0"/>
    <x v="0"/>
    <m/>
    <m/>
    <x v="8"/>
    <m/>
    <m/>
    <m/>
    <m/>
    <m/>
    <n v="1"/>
    <s v="5-29"/>
    <n v="37"/>
    <n v="0"/>
    <n v="0"/>
    <n v="11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2"/>
    <s v="Native"/>
    <s v="Xmatkuil"/>
    <d v="2023-10-09T00:00:00"/>
    <n v="1"/>
    <m/>
    <x v="0"/>
    <x v="0"/>
    <m/>
    <m/>
    <x v="8"/>
    <m/>
    <m/>
    <m/>
    <m/>
    <m/>
    <n v="2"/>
    <s v="&lt;5"/>
    <n v="37"/>
    <n v="0"/>
    <n v="0"/>
    <n v="11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3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11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4"/>
    <s v="Native"/>
    <s v="Xmatkuil"/>
    <d v="2023-10-09T00:00:00"/>
    <n v="1"/>
    <m/>
    <x v="0"/>
    <x v="0"/>
    <m/>
    <m/>
    <x v="8"/>
    <m/>
    <m/>
    <m/>
    <m/>
    <m/>
    <n v="1"/>
    <s v="&lt;5"/>
    <n v="37"/>
    <n v="0"/>
    <n v="0"/>
    <n v="11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5"/>
    <s v="Native"/>
    <s v="Xmatkuil"/>
    <d v="2023-10-09T00:00:00"/>
    <n v="0"/>
    <m/>
    <x v="0"/>
    <x v="0"/>
    <m/>
    <m/>
    <x v="8"/>
    <m/>
    <m/>
    <m/>
    <m/>
    <m/>
    <n v="1"/>
    <s v="5-29"/>
    <n v="37"/>
    <n v="0"/>
    <n v="0"/>
    <n v="11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6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11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37"/>
    <s v="Native"/>
    <s v="Xmatkuil"/>
    <d v="2023-10-09T00:00:00"/>
    <n v="0"/>
    <m/>
    <x v="0"/>
    <x v="0"/>
    <m/>
    <m/>
    <x v="8"/>
    <m/>
    <m/>
    <m/>
    <m/>
    <m/>
    <n v="1"/>
    <s v="&lt;5"/>
    <n v="37"/>
    <n v="0"/>
    <n v="0"/>
    <n v="12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0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12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1"/>
    <s v="Native"/>
    <s v="Xmatkuil"/>
    <d v="2023-10-09T00:00:00"/>
    <n v="0"/>
    <m/>
    <x v="0"/>
    <x v="0"/>
    <m/>
    <m/>
    <x v="8"/>
    <m/>
    <m/>
    <m/>
    <m/>
    <m/>
    <m/>
    <s v="&lt;5"/>
    <n v="37"/>
    <n v="0"/>
    <n v="0"/>
    <n v="12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2"/>
    <s v="Native"/>
    <s v="Xmatkuil"/>
    <d v="2023-10-09T00:00:00"/>
    <n v="1"/>
    <m/>
    <x v="0"/>
    <x v="0"/>
    <m/>
    <m/>
    <x v="8"/>
    <m/>
    <m/>
    <m/>
    <m/>
    <m/>
    <m/>
    <s v="5-29"/>
    <n v="37"/>
    <n v="0"/>
    <n v="0"/>
    <n v="12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3"/>
    <s v="Native"/>
    <s v="Xmatkuil"/>
    <d v="2023-10-09T00:00:00"/>
    <n v="1"/>
    <m/>
    <x v="0"/>
    <x v="0"/>
    <m/>
    <m/>
    <x v="8"/>
    <m/>
    <m/>
    <m/>
    <m/>
    <m/>
    <m/>
    <s v="5-29"/>
    <n v="37"/>
    <n v="0"/>
    <n v="0"/>
    <n v="12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4"/>
    <s v="Native"/>
    <s v="Xmatkuil"/>
    <d v="2023-10-09T00:00:00"/>
    <n v="1"/>
    <m/>
    <x v="0"/>
    <x v="0"/>
    <m/>
    <m/>
    <x v="8"/>
    <m/>
    <m/>
    <m/>
    <m/>
    <m/>
    <m/>
    <s v="&lt;5"/>
    <n v="37"/>
    <n v="0"/>
    <n v="0"/>
    <n v="12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5"/>
    <s v="Native"/>
    <s v="Xmatkuil"/>
    <d v="2023-10-09T00:00:00"/>
    <n v="1"/>
    <m/>
    <x v="0"/>
    <x v="0"/>
    <m/>
    <m/>
    <x v="8"/>
    <m/>
    <m/>
    <m/>
    <m/>
    <m/>
    <m/>
    <s v="30-59"/>
    <n v="37"/>
    <n v="0"/>
    <n v="0"/>
    <n v="12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6"/>
    <s v="Native"/>
    <s v="Xmatkuil"/>
    <d v="2023-10-09T00:00:00"/>
    <n v="0"/>
    <m/>
    <x v="0"/>
    <x v="0"/>
    <m/>
    <m/>
    <x v="8"/>
    <m/>
    <m/>
    <m/>
    <m/>
    <m/>
    <m/>
    <s v="5-29"/>
    <n v="37"/>
    <n v="0"/>
    <n v="0"/>
    <n v="12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7"/>
    <s v="Native"/>
    <s v="Xmatkuil"/>
    <d v="2023-10-09T00:00:00"/>
    <n v="0"/>
    <m/>
    <x v="0"/>
    <x v="0"/>
    <m/>
    <m/>
    <x v="8"/>
    <m/>
    <m/>
    <m/>
    <m/>
    <m/>
    <m/>
    <s v="&lt;5"/>
    <n v="37"/>
    <n v="0"/>
    <n v="0"/>
    <n v="12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8"/>
    <s v="Native"/>
    <s v="Xmatkuil"/>
    <d v="2023-10-09T00:00:00"/>
    <m/>
    <m/>
    <x v="0"/>
    <x v="0"/>
    <m/>
    <m/>
    <x v="8"/>
    <m/>
    <m/>
    <m/>
    <m/>
    <m/>
    <m/>
    <m/>
    <n v="37"/>
    <n v="0"/>
    <n v="0"/>
    <n v="12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49"/>
    <s v="Native"/>
    <s v="Xmatkuil"/>
    <d v="2023-10-09T00:00:00"/>
    <m/>
    <m/>
    <x v="0"/>
    <x v="0"/>
    <m/>
    <m/>
    <x v="8"/>
    <m/>
    <m/>
    <m/>
    <m/>
    <m/>
    <m/>
    <m/>
    <n v="37"/>
    <n v="0"/>
    <n v="0"/>
    <n v="13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0"/>
    <s v="Native"/>
    <s v="Xmatkuil"/>
    <d v="2023-10-09T00:00:00"/>
    <m/>
    <m/>
    <x v="0"/>
    <x v="0"/>
    <m/>
    <m/>
    <x v="8"/>
    <m/>
    <m/>
    <m/>
    <m/>
    <m/>
    <m/>
    <m/>
    <n v="37"/>
    <n v="0"/>
    <n v="0"/>
    <n v="13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1"/>
    <s v="Native"/>
    <s v="Xmatkuil"/>
    <d v="2023-10-09T00:00:00"/>
    <m/>
    <m/>
    <x v="0"/>
    <x v="0"/>
    <m/>
    <m/>
    <x v="8"/>
    <m/>
    <m/>
    <m/>
    <m/>
    <m/>
    <m/>
    <m/>
    <n v="37"/>
    <n v="0"/>
    <n v="0"/>
    <n v="13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2"/>
    <s v="Native"/>
    <s v="Xmatkuil"/>
    <d v="2023-10-09T00:00:00"/>
    <n v="0"/>
    <m/>
    <x v="0"/>
    <x v="0"/>
    <m/>
    <m/>
    <x v="8"/>
    <m/>
    <m/>
    <m/>
    <m/>
    <m/>
    <m/>
    <s v="&lt;5"/>
    <n v="37"/>
    <n v="0"/>
    <n v="0"/>
    <n v="13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3"/>
    <s v="Native"/>
    <s v="Xmatkuil"/>
    <d v="2023-10-09T00:00:00"/>
    <n v="0"/>
    <m/>
    <x v="0"/>
    <x v="0"/>
    <m/>
    <m/>
    <x v="8"/>
    <m/>
    <m/>
    <m/>
    <m/>
    <m/>
    <m/>
    <s v="&lt;5"/>
    <n v="37"/>
    <n v="0"/>
    <n v="0"/>
    <n v="13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4"/>
    <s v="Native"/>
    <s v="Xmatkuil"/>
    <d v="2023-10-09T00:00:00"/>
    <n v="0"/>
    <s v="gleaning"/>
    <x v="2"/>
    <x v="1"/>
    <m/>
    <m/>
    <x v="8"/>
    <m/>
    <m/>
    <m/>
    <m/>
    <m/>
    <n v="1"/>
    <s v="&lt;5"/>
    <n v="34"/>
    <n v="0"/>
    <n v="0"/>
    <n v="13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5"/>
    <s v="Native"/>
    <s v="Xmatkuil"/>
    <d v="2023-10-09T00:00:00"/>
    <m/>
    <s v="gleaning"/>
    <x v="2"/>
    <x v="1"/>
    <m/>
    <m/>
    <x v="8"/>
    <m/>
    <m/>
    <m/>
    <m/>
    <m/>
    <n v="3"/>
    <s v="&lt;5"/>
    <n v="36"/>
    <n v="0"/>
    <n v="0"/>
    <n v="13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6"/>
    <s v="Native"/>
    <s v="Xmatkuil"/>
    <d v="2023-10-09T00:00:00"/>
    <m/>
    <s v="gleaning"/>
    <x v="2"/>
    <x v="1"/>
    <m/>
    <m/>
    <x v="8"/>
    <m/>
    <m/>
    <m/>
    <m/>
    <m/>
    <n v="1"/>
    <s v="5-29"/>
    <n v="36"/>
    <n v="0"/>
    <n v="0"/>
    <n v="13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7"/>
    <s v="Native"/>
    <s v="Xmatkuil"/>
    <d v="2023-10-09T00:00:00"/>
    <m/>
    <s v="gleaning"/>
    <x v="2"/>
    <x v="1"/>
    <m/>
    <m/>
    <x v="8"/>
    <m/>
    <m/>
    <m/>
    <m/>
    <m/>
    <n v="1"/>
    <m/>
    <n v="36"/>
    <n v="0"/>
    <n v="0"/>
    <n v="13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8"/>
    <s v="Native"/>
    <s v="Xmatkuil"/>
    <d v="2023-10-09T00:00:00"/>
    <m/>
    <s v="gleaning"/>
    <x v="2"/>
    <x v="1"/>
    <m/>
    <m/>
    <x v="8"/>
    <m/>
    <m/>
    <m/>
    <m/>
    <m/>
    <n v="1"/>
    <m/>
    <n v="36"/>
    <n v="0"/>
    <n v="0"/>
    <n v="13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59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4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1"/>
    <s v="Native"/>
    <s v="Xmatkuil"/>
    <d v="2023-10-09T00:00:00"/>
    <n v="1"/>
    <m/>
    <x v="0"/>
    <x v="0"/>
    <m/>
    <m/>
    <x v="8"/>
    <m/>
    <m/>
    <m/>
    <m/>
    <m/>
    <m/>
    <s v="&gt;60"/>
    <n v="36"/>
    <n v="0"/>
    <n v="0"/>
    <n v="14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2"/>
    <s v="Native"/>
    <s v="Xmatkuil"/>
    <d v="2023-10-09T00:00:00"/>
    <m/>
    <m/>
    <x v="0"/>
    <x v="0"/>
    <m/>
    <m/>
    <x v="8"/>
    <m/>
    <m/>
    <m/>
    <m/>
    <m/>
    <n v="2"/>
    <s v="5-29"/>
    <n v="36"/>
    <n v="0"/>
    <n v="0"/>
    <n v="14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3"/>
    <s v="Native"/>
    <s v="Xmatkuil"/>
    <d v="2023-10-09T00:00:00"/>
    <m/>
    <m/>
    <x v="0"/>
    <x v="0"/>
    <m/>
    <m/>
    <x v="8"/>
    <m/>
    <m/>
    <m/>
    <m/>
    <m/>
    <m/>
    <s v="&gt;60"/>
    <n v="36"/>
    <n v="0"/>
    <n v="0"/>
    <n v="14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4"/>
    <s v="Native"/>
    <s v="Xmatkuil"/>
    <d v="2023-10-09T00:00:00"/>
    <m/>
    <m/>
    <x v="0"/>
    <x v="0"/>
    <m/>
    <m/>
    <x v="8"/>
    <m/>
    <m/>
    <m/>
    <m/>
    <m/>
    <n v="1"/>
    <s v="&gt;60"/>
    <n v="36"/>
    <n v="0"/>
    <n v="0"/>
    <n v="14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6"/>
    <s v="Native"/>
    <s v="Xmatkuil"/>
    <d v="2023-10-09T00:00:00"/>
    <n v="1"/>
    <m/>
    <x v="0"/>
    <x v="0"/>
    <m/>
    <m/>
    <x v="8"/>
    <m/>
    <m/>
    <m/>
    <m/>
    <m/>
    <m/>
    <m/>
    <n v="36"/>
    <n v="0"/>
    <n v="0"/>
    <n v="14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7"/>
    <s v="Native"/>
    <s v="Xmatkuil"/>
    <d v="2023-10-09T00:00:00"/>
    <n v="0"/>
    <m/>
    <x v="0"/>
    <x v="0"/>
    <m/>
    <m/>
    <x v="8"/>
    <m/>
    <m/>
    <m/>
    <m/>
    <m/>
    <n v="4"/>
    <s v="5-29"/>
    <n v="36"/>
    <n v="0"/>
    <n v="0"/>
    <n v="14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8"/>
    <s v="Native"/>
    <s v="Xmatkuil"/>
    <d v="2023-10-09T00:00:00"/>
    <n v="1"/>
    <m/>
    <x v="0"/>
    <x v="0"/>
    <m/>
    <m/>
    <x v="8"/>
    <m/>
    <m/>
    <m/>
    <m/>
    <m/>
    <n v="2"/>
    <s v="&gt;60"/>
    <n v="36"/>
    <n v="0"/>
    <n v="0"/>
    <n v="14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69"/>
    <s v="Native"/>
    <s v="Xmatkuil"/>
    <d v="2023-10-09T00:00:00"/>
    <n v="1"/>
    <m/>
    <x v="0"/>
    <x v="0"/>
    <m/>
    <m/>
    <x v="8"/>
    <m/>
    <m/>
    <m/>
    <m/>
    <m/>
    <n v="2"/>
    <s v="&gt;60"/>
    <n v="36"/>
    <n v="0"/>
    <n v="0"/>
    <n v="14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1"/>
    <s v="Native"/>
    <s v="Xmatkuil"/>
    <d v="2023-10-09T00:00:00"/>
    <n v="1"/>
    <s v="gleaning"/>
    <x v="2"/>
    <x v="1"/>
    <m/>
    <m/>
    <x v="8"/>
    <m/>
    <m/>
    <m/>
    <m/>
    <m/>
    <n v="3"/>
    <s v="5-29"/>
    <n v="36"/>
    <n v="0"/>
    <n v="0"/>
    <n v="14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2"/>
    <s v="Native"/>
    <s v="Xmatkuil"/>
    <d v="2023-10-09T00:00:00"/>
    <n v="1"/>
    <m/>
    <x v="0"/>
    <x v="0"/>
    <m/>
    <m/>
    <x v="8"/>
    <m/>
    <m/>
    <m/>
    <m/>
    <m/>
    <n v="1"/>
    <s v="5-29"/>
    <n v="36"/>
    <n v="0"/>
    <n v="0"/>
    <n v="15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3"/>
    <s v="Native"/>
    <s v="Xmatkuil"/>
    <d v="2023-10-09T00:00:00"/>
    <n v="1"/>
    <m/>
    <x v="0"/>
    <x v="0"/>
    <m/>
    <m/>
    <x v="8"/>
    <m/>
    <m/>
    <m/>
    <m/>
    <m/>
    <n v="3"/>
    <s v="5-29"/>
    <n v="36"/>
    <n v="0"/>
    <n v="0"/>
    <n v="15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4"/>
    <s v="Native"/>
    <s v="Xmatkuil"/>
    <d v="2023-10-09T00:00:00"/>
    <n v="1"/>
    <m/>
    <x v="0"/>
    <x v="0"/>
    <m/>
    <m/>
    <x v="8"/>
    <m/>
    <m/>
    <m/>
    <m/>
    <m/>
    <m/>
    <m/>
    <n v="36"/>
    <n v="0"/>
    <n v="0"/>
    <n v="15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5"/>
    <s v="Native"/>
    <s v="Xmatkuil"/>
    <d v="2023-10-09T00:00:00"/>
    <n v="1"/>
    <m/>
    <x v="0"/>
    <x v="0"/>
    <m/>
    <m/>
    <x v="8"/>
    <m/>
    <m/>
    <m/>
    <m/>
    <m/>
    <n v="1"/>
    <s v="&gt;60"/>
    <n v="36"/>
    <n v="0"/>
    <n v="0"/>
    <n v="15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6"/>
    <s v="Native"/>
    <s v="Xmatkuil"/>
    <d v="2023-10-09T00:00:00"/>
    <n v="1"/>
    <m/>
    <x v="0"/>
    <x v="0"/>
    <m/>
    <m/>
    <x v="8"/>
    <m/>
    <m/>
    <m/>
    <m/>
    <m/>
    <n v="2"/>
    <s v="&lt;5"/>
    <n v="36"/>
    <n v="0"/>
    <n v="0"/>
    <n v="15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7"/>
    <s v="Native"/>
    <s v="Xmatkuil"/>
    <d v="2023-10-09T00:00:00"/>
    <n v="1"/>
    <m/>
    <x v="0"/>
    <x v="0"/>
    <m/>
    <m/>
    <x v="8"/>
    <m/>
    <m/>
    <m/>
    <m/>
    <m/>
    <n v="2"/>
    <s v="5-29"/>
    <n v="36"/>
    <n v="0"/>
    <n v="0"/>
    <n v="15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78"/>
    <s v="Native"/>
    <s v="Xmatkuil"/>
    <d v="2023-10-09T00:00:00"/>
    <n v="1"/>
    <s v="gleaning"/>
    <x v="2"/>
    <x v="1"/>
    <m/>
    <m/>
    <x v="8"/>
    <m/>
    <m/>
    <m/>
    <m/>
    <m/>
    <n v="4"/>
    <s v="5-29"/>
    <n v="36"/>
    <n v="0"/>
    <n v="0"/>
    <n v="15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2"/>
    <s v="Native"/>
    <s v="Xmatkuil"/>
    <d v="2023-10-09T00:00:00"/>
    <n v="1"/>
    <m/>
    <x v="0"/>
    <x v="0"/>
    <m/>
    <m/>
    <x v="8"/>
    <m/>
    <m/>
    <m/>
    <m/>
    <m/>
    <n v="2"/>
    <m/>
    <n v="36"/>
    <n v="0"/>
    <n v="0"/>
    <n v="15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3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5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4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5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5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6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7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8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89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0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1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2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3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4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6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5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6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7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8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799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0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1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2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3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8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4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79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5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0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6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1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7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2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8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3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09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4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10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5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11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6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12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7"/>
  </r>
  <r>
    <s v="Pollinator_obs_human_MeX"/>
    <s v="Human observations"/>
    <s v="Hymenoptera"/>
    <s v="Apidae"/>
    <s v="Apinae"/>
    <s v="Apini"/>
    <s v="Apis"/>
    <x v="2"/>
    <x v="2"/>
    <s v="Apis mellifera"/>
    <s v="Medium non-buzzer"/>
    <s v="European Honey Bee"/>
    <s v="European Honey Bee"/>
    <n v="813"/>
    <s v="Native"/>
    <s v="Xmatkuil"/>
    <d v="2023-10-09T00:00:00"/>
    <m/>
    <m/>
    <x v="0"/>
    <x v="0"/>
    <m/>
    <m/>
    <x v="8"/>
    <m/>
    <m/>
    <m/>
    <m/>
    <m/>
    <m/>
    <m/>
    <n v="36"/>
    <n v="0"/>
    <n v="0"/>
    <n v="188"/>
  </r>
  <r>
    <s v="Pollinator_obs_human_MeX"/>
    <s v="Human observations"/>
    <s v="Hymenoptera"/>
    <s v="Halictidae"/>
    <s v="Halictinae"/>
    <s v="Augochlorini"/>
    <s v="Augochlora"/>
    <x v="1"/>
    <x v="13"/>
    <s v="Halictidae"/>
    <s v="Medium buzzer"/>
    <s v="Sweat Bee"/>
    <s v="Sweat bee"/>
    <n v="682"/>
    <s v="Native"/>
    <s v="Xmatkuil"/>
    <d v="2023-10-04T00:00:00"/>
    <n v="0"/>
    <s v="gleaning"/>
    <x v="2"/>
    <x v="1"/>
    <m/>
    <m/>
    <x v="8"/>
    <m/>
    <m/>
    <m/>
    <m/>
    <m/>
    <n v="1"/>
    <s v="5-29"/>
    <n v="9"/>
    <n v="0"/>
    <n v="0"/>
    <n v="360"/>
  </r>
  <r>
    <s v="Pollinator_obs_human_MeX"/>
    <s v="Human observations"/>
    <s v="Hymenoptera"/>
    <s v="Halictidae"/>
    <s v="Halictinae"/>
    <s v="Augochlorini"/>
    <s v="Augochloropsis"/>
    <x v="1"/>
    <x v="24"/>
    <s v="Halictidae"/>
    <s v="Medium buzzer"/>
    <s v="Sweat Bee"/>
    <s v="Sweat bee"/>
    <n v="676"/>
    <s v="Native"/>
    <s v="Xmatkuil"/>
    <d v="2023-10-04T00:00:00"/>
    <n v="1"/>
    <s v="gleaning"/>
    <x v="2"/>
    <x v="1"/>
    <m/>
    <m/>
    <x v="8"/>
    <m/>
    <m/>
    <m/>
    <m/>
    <m/>
    <n v="1"/>
    <s v="5-29"/>
    <n v="6"/>
    <n v="0"/>
    <n v="0"/>
    <n v="361"/>
  </r>
  <r>
    <s v="Pollinator_obs_human_MeX"/>
    <s v="Human observations"/>
    <s v="Hymenoptera"/>
    <s v="Apidae"/>
    <s v="Apinae"/>
    <s v="Euglossini"/>
    <s v="Eulaema"/>
    <x v="8"/>
    <x v="25"/>
    <s v="Eulaema polychroma"/>
    <s v="Large buzzer"/>
    <s v="Euglossine"/>
    <m/>
    <n v="717"/>
    <s v="Native"/>
    <s v="Xmatkuil"/>
    <d v="2023-10-09T00:00:00"/>
    <n v="1"/>
    <s v="buzz"/>
    <x v="4"/>
    <x v="2"/>
    <m/>
    <m/>
    <x v="8"/>
    <m/>
    <m/>
    <m/>
    <m/>
    <m/>
    <n v="1"/>
    <s v="&lt;5"/>
    <n v="18"/>
    <n v="0"/>
    <n v="0"/>
    <n v="362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674"/>
    <s v="Native"/>
    <s v="Xmatkuil"/>
    <d v="2023-10-04T00:00:00"/>
    <n v="0"/>
    <m/>
    <x v="0"/>
    <x v="0"/>
    <m/>
    <m/>
    <x v="8"/>
    <m/>
    <m/>
    <m/>
    <m/>
    <m/>
    <n v="1"/>
    <s v="&lt;5"/>
    <n v="6"/>
    <n v="0"/>
    <n v="0"/>
    <n v="363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688"/>
    <s v="Native"/>
    <s v="Xmatkuil"/>
    <d v="2023-10-04T00:00:00"/>
    <n v="0"/>
    <s v="gleaning"/>
    <x v="2"/>
    <x v="1"/>
    <m/>
    <m/>
    <x v="8"/>
    <m/>
    <m/>
    <m/>
    <m/>
    <m/>
    <n v="1"/>
    <s v="5-29"/>
    <n v="12"/>
    <n v="0"/>
    <n v="0"/>
    <n v="364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01"/>
    <s v="Native"/>
    <s v="Xmatkuil"/>
    <d v="2023-10-09T00:00:00"/>
    <n v="0"/>
    <m/>
    <x v="0"/>
    <x v="0"/>
    <m/>
    <m/>
    <x v="8"/>
    <m/>
    <m/>
    <m/>
    <m/>
    <m/>
    <n v="4"/>
    <s v="5-29"/>
    <n v="28"/>
    <n v="0"/>
    <n v="0"/>
    <n v="365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18"/>
    <s v="Native"/>
    <s v="Xmatkuil"/>
    <d v="2023-10-09T00:00:00"/>
    <n v="0"/>
    <s v="gleaning"/>
    <x v="2"/>
    <x v="1"/>
    <m/>
    <m/>
    <x v="8"/>
    <m/>
    <m/>
    <m/>
    <m/>
    <m/>
    <n v="2"/>
    <s v="29-60"/>
    <n v="34"/>
    <n v="0"/>
    <n v="0"/>
    <n v="366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39"/>
    <s v="Native"/>
    <s v="Xmatkuil"/>
    <d v="2023-10-09T00:00:00"/>
    <n v="1"/>
    <m/>
    <x v="0"/>
    <x v="0"/>
    <m/>
    <m/>
    <x v="8"/>
    <m/>
    <m/>
    <m/>
    <m/>
    <m/>
    <n v="1"/>
    <s v="&lt;5"/>
    <n v="37"/>
    <n v="0"/>
    <n v="0"/>
    <n v="367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60"/>
    <s v="Native"/>
    <s v="Xmatkuil"/>
    <d v="2023-10-09T00:00:00"/>
    <n v="1"/>
    <s v="gleaning"/>
    <x v="2"/>
    <x v="1"/>
    <m/>
    <m/>
    <x v="8"/>
    <m/>
    <m/>
    <m/>
    <m/>
    <m/>
    <n v="2"/>
    <s v="&gt;60"/>
    <n v="36"/>
    <n v="0"/>
    <n v="0"/>
    <n v="368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65"/>
    <s v="Native"/>
    <s v="Xmatkuil"/>
    <d v="2023-10-09T00:00:00"/>
    <m/>
    <m/>
    <x v="0"/>
    <x v="0"/>
    <m/>
    <m/>
    <x v="8"/>
    <m/>
    <m/>
    <m/>
    <m/>
    <m/>
    <n v="2"/>
    <s v="30-59"/>
    <n v="36"/>
    <n v="0"/>
    <n v="0"/>
    <n v="369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79"/>
    <s v="Native"/>
    <s v="Xmatkuil"/>
    <d v="2023-10-09T00:00:00"/>
    <n v="1"/>
    <m/>
    <x v="0"/>
    <x v="0"/>
    <m/>
    <m/>
    <x v="8"/>
    <m/>
    <m/>
    <m/>
    <m/>
    <m/>
    <n v="3"/>
    <s v="5-29"/>
    <n v="36"/>
    <n v="0"/>
    <n v="0"/>
    <n v="370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80"/>
    <s v="Native"/>
    <s v="Xmatkuil"/>
    <d v="2023-10-09T00:00:00"/>
    <n v="0"/>
    <m/>
    <x v="0"/>
    <x v="0"/>
    <m/>
    <m/>
    <x v="8"/>
    <m/>
    <m/>
    <m/>
    <m/>
    <m/>
    <n v="3"/>
    <s v="&lt;5"/>
    <n v="36"/>
    <n v="0"/>
    <n v="0"/>
    <n v="371"/>
  </r>
  <r>
    <s v="Pollinator_obs_human_Me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781"/>
    <s v="Native"/>
    <s v="Xmatkuil"/>
    <d v="2023-10-09T00:00:00"/>
    <n v="1"/>
    <m/>
    <x v="0"/>
    <x v="0"/>
    <m/>
    <m/>
    <x v="8"/>
    <m/>
    <m/>
    <m/>
    <m/>
    <m/>
    <n v="1"/>
    <m/>
    <n v="36"/>
    <n v="0"/>
    <n v="0"/>
    <n v="372"/>
  </r>
  <r>
    <s v="Pollinator_obs_human_Me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675"/>
    <s v="Native"/>
    <s v="Xmatkuil"/>
    <d v="2023-10-04T00:00:00"/>
    <n v="1"/>
    <s v="buzz"/>
    <x v="4"/>
    <x v="2"/>
    <m/>
    <m/>
    <x v="8"/>
    <m/>
    <m/>
    <m/>
    <m/>
    <m/>
    <n v="2"/>
    <s v="5-29"/>
    <n v="8"/>
    <n v="0"/>
    <n v="0"/>
    <n v="373"/>
  </r>
  <r>
    <s v="Pollinator_obs_human_Me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689"/>
    <s v="Native"/>
    <s v="Xmatkuil"/>
    <d v="2023-10-09T00:00:00"/>
    <n v="1"/>
    <s v="gleaning"/>
    <x v="2"/>
    <x v="1"/>
    <m/>
    <m/>
    <x v="8"/>
    <m/>
    <m/>
    <m/>
    <m/>
    <m/>
    <n v="1"/>
    <s v="5-29"/>
    <n v="18"/>
    <n v="0"/>
    <n v="0"/>
    <n v="374"/>
  </r>
  <r>
    <s v="Pollinator_obs_human_Me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770"/>
    <s v="Native"/>
    <s v="Xmatkuil"/>
    <d v="2023-10-09T00:00:00"/>
    <n v="1"/>
    <m/>
    <x v="0"/>
    <x v="0"/>
    <m/>
    <m/>
    <x v="8"/>
    <m/>
    <m/>
    <m/>
    <m/>
    <m/>
    <n v="2"/>
    <s v="30-59"/>
    <n v="36"/>
    <n v="0"/>
    <n v="0"/>
    <n v="375"/>
  </r>
  <r>
    <s v="Pollinator_obs_human_Me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814"/>
    <s v="Native"/>
    <s v="Xmatkuil"/>
    <d v="2023-10-09T00:00:00"/>
    <n v="1"/>
    <s v="gleaning"/>
    <x v="2"/>
    <x v="1"/>
    <m/>
    <m/>
    <x v="8"/>
    <m/>
    <m/>
    <m/>
    <m/>
    <m/>
    <n v="2"/>
    <s v="5-29"/>
    <n v="36"/>
    <n v="0"/>
    <n v="0"/>
    <n v="376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m/>
    <n v="566"/>
    <s v="Native"/>
    <s v="Tekik de Regil"/>
    <d v="2023-10-02T00:00:00"/>
    <n v="0"/>
    <m/>
    <x v="0"/>
    <x v="0"/>
    <m/>
    <m/>
    <x v="8"/>
    <m/>
    <m/>
    <m/>
    <m/>
    <m/>
    <n v="1"/>
    <m/>
    <n v="10"/>
    <n v="16"/>
    <n v="0"/>
    <n v="377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50"/>
    <s v="Native"/>
    <s v="Tekik de Regil"/>
    <d v="2023-10-11T00:00:00"/>
    <n v="0"/>
    <s v="gleaning"/>
    <x v="2"/>
    <x v="1"/>
    <m/>
    <m/>
    <x v="8"/>
    <m/>
    <m/>
    <m/>
    <m/>
    <m/>
    <n v="2"/>
    <s v="&gt;60 (5mins)"/>
    <n v="13"/>
    <n v="12"/>
    <n v="7"/>
    <n v="382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m/>
    <n v="655"/>
    <s v="Native"/>
    <s v="Tekik de Regil"/>
    <d v="2023-10-11T00:00:00"/>
    <n v="0"/>
    <s v="gleaning"/>
    <x v="2"/>
    <x v="1"/>
    <m/>
    <m/>
    <x v="8"/>
    <m/>
    <m/>
    <m/>
    <m/>
    <m/>
    <n v="1"/>
    <s v="30-59"/>
    <n v="13"/>
    <n v="12"/>
    <n v="7"/>
    <n v="383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59"/>
    <s v="Native"/>
    <s v="Tekik de Regil"/>
    <d v="2023-10-11T00:00:00"/>
    <n v="0"/>
    <s v="gleaning"/>
    <x v="2"/>
    <x v="1"/>
    <m/>
    <m/>
    <x v="8"/>
    <m/>
    <m/>
    <m/>
    <m/>
    <m/>
    <n v="1"/>
    <s v="30-59"/>
    <n v="13"/>
    <n v="12"/>
    <n v="7"/>
    <n v="384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60"/>
    <s v="Native"/>
    <s v="Tekik de Regil"/>
    <d v="2023-10-11T00:00:00"/>
    <n v="0"/>
    <s v="gleaning"/>
    <x v="2"/>
    <x v="1"/>
    <m/>
    <m/>
    <x v="8"/>
    <m/>
    <m/>
    <m/>
    <m/>
    <m/>
    <n v="1"/>
    <s v="&gt;60"/>
    <n v="13"/>
    <n v="12"/>
    <n v="7"/>
    <n v="385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61"/>
    <s v="Native"/>
    <s v="Tekik de Regil"/>
    <d v="2023-10-11T00:00:00"/>
    <n v="0"/>
    <s v="gleaning"/>
    <x v="2"/>
    <x v="1"/>
    <m/>
    <m/>
    <x v="8"/>
    <m/>
    <m/>
    <m/>
    <m/>
    <m/>
    <n v="2"/>
    <s v="&lt;5"/>
    <n v="13"/>
    <n v="12"/>
    <n v="7"/>
    <n v="386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72"/>
    <s v="Native"/>
    <s v="Tekik de Regil"/>
    <d v="2023-10-11T00:00:00"/>
    <n v="0"/>
    <s v="gleaning"/>
    <x v="2"/>
    <x v="1"/>
    <m/>
    <m/>
    <x v="8"/>
    <m/>
    <m/>
    <m/>
    <m/>
    <m/>
    <n v="2"/>
    <s v="&gt;60"/>
    <n v="13"/>
    <n v="12"/>
    <n v="7"/>
    <n v="387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77"/>
    <s v="Native"/>
    <s v="Xmatkuil"/>
    <d v="2023-10-04T00:00:00"/>
    <n v="0"/>
    <s v="gleaning"/>
    <x v="2"/>
    <x v="1"/>
    <m/>
    <m/>
    <x v="8"/>
    <m/>
    <m/>
    <m/>
    <m/>
    <m/>
    <n v="1"/>
    <s v="5-29"/>
    <n v="9"/>
    <n v="0"/>
    <n v="0"/>
    <n v="378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78"/>
    <s v="Native"/>
    <s v="Xmatkuil"/>
    <d v="2023-10-04T00:00:00"/>
    <n v="0"/>
    <s v="gleaning"/>
    <x v="2"/>
    <x v="1"/>
    <m/>
    <m/>
    <x v="8"/>
    <m/>
    <m/>
    <m/>
    <m/>
    <m/>
    <n v="1"/>
    <s v="&lt;5"/>
    <n v="9"/>
    <n v="0"/>
    <n v="0"/>
    <n v="379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80"/>
    <s v="Native"/>
    <s v="Xmatkuil"/>
    <d v="2023-10-04T00:00:00"/>
    <n v="0"/>
    <m/>
    <x v="0"/>
    <x v="0"/>
    <m/>
    <m/>
    <x v="8"/>
    <m/>
    <m/>
    <m/>
    <m/>
    <m/>
    <n v="1"/>
    <s v="5-29"/>
    <n v="7"/>
    <n v="0"/>
    <n v="0"/>
    <n v="380"/>
  </r>
  <r>
    <s v="Pollinator_obs_human_MeX"/>
    <s v="Human observations"/>
    <s v="Hymenoptera"/>
    <s v="Apidae"/>
    <s v="Apinae"/>
    <s v="Meliponini"/>
    <s v="Nannotrigona"/>
    <x v="11"/>
    <x v="28"/>
    <s v="Meliponini"/>
    <s v="Small non-buzzer"/>
    <s v="Stingless Bee"/>
    <s v="Mexican Pitted-Stingless bee"/>
    <n v="681"/>
    <s v="Native"/>
    <s v="Xmatkuil"/>
    <d v="2023-10-04T00:00:00"/>
    <n v="0"/>
    <s v="gleaning"/>
    <x v="2"/>
    <x v="1"/>
    <m/>
    <m/>
    <x v="8"/>
    <m/>
    <m/>
    <m/>
    <m/>
    <m/>
    <n v="1"/>
    <s v="5-29"/>
    <n v="9"/>
    <n v="0"/>
    <n v="0"/>
    <n v="381"/>
  </r>
  <r>
    <s v="Pollinator_obs_human_MeX"/>
    <s v="Human observations"/>
    <s v="Hymenoptera"/>
    <s v="Apidae"/>
    <s v="Apinae"/>
    <s v="Meliponini"/>
    <s v="Partamona"/>
    <x v="12"/>
    <x v="29"/>
    <s v="Meliponini"/>
    <s v="Small non-buzzer"/>
    <s v="Stingless Bee"/>
    <s v="Stingless bee"/>
    <n v="738"/>
    <s v="Native"/>
    <s v="Xmatkuil"/>
    <d v="2023-10-09T00:00:00"/>
    <n v="1"/>
    <m/>
    <x v="0"/>
    <x v="0"/>
    <m/>
    <m/>
    <x v="8"/>
    <m/>
    <m/>
    <m/>
    <m/>
    <m/>
    <n v="1"/>
    <s v="5-29"/>
    <n v="37"/>
    <n v="0"/>
    <n v="0"/>
    <n v="388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499"/>
    <s v="Native"/>
    <s v="Chochola"/>
    <d v="2023-10-03T00:00:00"/>
    <n v="1"/>
    <m/>
    <x v="0"/>
    <x v="0"/>
    <m/>
    <m/>
    <x v="8"/>
    <m/>
    <m/>
    <m/>
    <m/>
    <m/>
    <n v="1"/>
    <s v="5-29"/>
    <n v="5"/>
    <n v="28"/>
    <n v="0"/>
    <n v="391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0"/>
    <s v="Native"/>
    <s v="Chochola"/>
    <d v="2023-10-03T00:00:00"/>
    <n v="1"/>
    <m/>
    <x v="0"/>
    <x v="0"/>
    <m/>
    <m/>
    <x v="8"/>
    <m/>
    <m/>
    <m/>
    <m/>
    <m/>
    <n v="1"/>
    <s v="&gt;60"/>
    <n v="5"/>
    <n v="28"/>
    <n v="0"/>
    <n v="392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1"/>
    <s v="Native"/>
    <s v="Chochola"/>
    <d v="2023-10-03T00:00:00"/>
    <n v="1"/>
    <m/>
    <x v="0"/>
    <x v="0"/>
    <m/>
    <m/>
    <x v="8"/>
    <m/>
    <m/>
    <m/>
    <m/>
    <m/>
    <n v="1"/>
    <s v="30-59"/>
    <n v="5"/>
    <n v="28"/>
    <n v="0"/>
    <n v="393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2"/>
    <s v="Native"/>
    <s v="Chochola"/>
    <d v="2023-10-03T00:00:00"/>
    <n v="1"/>
    <m/>
    <x v="0"/>
    <x v="0"/>
    <m/>
    <m/>
    <x v="8"/>
    <m/>
    <m/>
    <m/>
    <m/>
    <m/>
    <n v="1"/>
    <s v="&gt;60"/>
    <n v="5"/>
    <n v="28"/>
    <n v="0"/>
    <n v="394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3"/>
    <s v="Native"/>
    <s v="Chochola"/>
    <d v="2023-10-03T00:00:00"/>
    <n v="0"/>
    <m/>
    <x v="0"/>
    <x v="0"/>
    <m/>
    <m/>
    <x v="8"/>
    <m/>
    <m/>
    <m/>
    <m/>
    <m/>
    <n v="1"/>
    <s v="30-59"/>
    <n v="5"/>
    <n v="28"/>
    <n v="0"/>
    <n v="395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4"/>
    <s v="Native"/>
    <s v="Chochola"/>
    <d v="2023-10-03T00:00:00"/>
    <n v="1"/>
    <m/>
    <x v="0"/>
    <x v="0"/>
    <m/>
    <m/>
    <x v="8"/>
    <m/>
    <m/>
    <m/>
    <m/>
    <m/>
    <n v="3"/>
    <s v="5-29"/>
    <n v="12"/>
    <n v="6"/>
    <n v="0"/>
    <n v="396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5"/>
    <s v="Native"/>
    <s v="Chochola"/>
    <d v="2023-10-03T00:00:00"/>
    <n v="0"/>
    <m/>
    <x v="0"/>
    <x v="0"/>
    <m/>
    <m/>
    <x v="8"/>
    <m/>
    <m/>
    <m/>
    <m/>
    <m/>
    <n v="1"/>
    <s v="&gt;5"/>
    <n v="12"/>
    <n v="6"/>
    <n v="0"/>
    <n v="397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6"/>
    <s v="Native"/>
    <s v="Chochola"/>
    <d v="2023-10-03T00:00:00"/>
    <n v="1"/>
    <m/>
    <x v="0"/>
    <x v="0"/>
    <m/>
    <m/>
    <x v="8"/>
    <m/>
    <m/>
    <m/>
    <m/>
    <m/>
    <n v="1"/>
    <s v="5-29"/>
    <n v="12"/>
    <n v="6"/>
    <n v="0"/>
    <n v="398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07"/>
    <s v="Native"/>
    <s v="Tekik de Regil"/>
    <d v="2023-10-02T00:00:00"/>
    <n v="1"/>
    <m/>
    <x v="0"/>
    <x v="0"/>
    <m/>
    <m/>
    <x v="8"/>
    <m/>
    <m/>
    <m/>
    <m/>
    <m/>
    <n v="1"/>
    <s v="30-59"/>
    <n v="17"/>
    <n v="39"/>
    <n v="0"/>
    <n v="389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37"/>
    <s v="Native"/>
    <s v="Tekik de Regil"/>
    <d v="2023-10-02T00:00:00"/>
    <n v="1"/>
    <s v="gleaning"/>
    <x v="2"/>
    <x v="1"/>
    <m/>
    <m/>
    <x v="8"/>
    <m/>
    <m/>
    <m/>
    <m/>
    <m/>
    <n v="3"/>
    <s v="30-59"/>
    <n v="12"/>
    <n v="24"/>
    <n v="10"/>
    <n v="390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586"/>
    <s v="Native"/>
    <s v="Tekik de Regil"/>
    <d v="2023-10-11T00:00:00"/>
    <n v="1"/>
    <m/>
    <x v="0"/>
    <x v="0"/>
    <m/>
    <m/>
    <x v="8"/>
    <m/>
    <m/>
    <m/>
    <m/>
    <m/>
    <n v="1"/>
    <s v="30-59"/>
    <n v="17"/>
    <n v="14"/>
    <n v="9"/>
    <n v="400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00"/>
    <s v="Native"/>
    <s v="Tekik de Regil"/>
    <d v="2023-10-11T00:00:00"/>
    <n v="0"/>
    <m/>
    <x v="0"/>
    <x v="0"/>
    <m/>
    <m/>
    <x v="8"/>
    <m/>
    <m/>
    <m/>
    <m/>
    <m/>
    <n v="2"/>
    <s v="&lt;5"/>
    <n v="10"/>
    <n v="4"/>
    <n v="0"/>
    <n v="401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03"/>
    <s v="Native"/>
    <s v="Tekik de Regil"/>
    <d v="2023-10-11T00:00:00"/>
    <n v="1"/>
    <s v="gleaning"/>
    <x v="2"/>
    <x v="1"/>
    <m/>
    <m/>
    <x v="8"/>
    <m/>
    <m/>
    <m/>
    <m/>
    <m/>
    <n v="1"/>
    <s v="5-29"/>
    <n v="10"/>
    <n v="4"/>
    <n v="0"/>
    <n v="402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16"/>
    <s v="Native"/>
    <s v="Tekik de Regil"/>
    <d v="2023-10-11T00:00:00"/>
    <n v="0"/>
    <m/>
    <x v="0"/>
    <x v="0"/>
    <m/>
    <m/>
    <x v="8"/>
    <m/>
    <m/>
    <m/>
    <m/>
    <m/>
    <n v="1"/>
    <s v="&lt;5"/>
    <n v="16"/>
    <n v="14"/>
    <n v="3"/>
    <n v="403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17"/>
    <s v="Native"/>
    <s v="Tekik de Regil"/>
    <d v="2023-10-11T00:00:00"/>
    <n v="0"/>
    <m/>
    <x v="0"/>
    <x v="0"/>
    <m/>
    <m/>
    <x v="8"/>
    <m/>
    <m/>
    <m/>
    <m/>
    <m/>
    <n v="2"/>
    <s v="&gt;60"/>
    <n v="16"/>
    <n v="14"/>
    <n v="3"/>
    <n v="404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29"/>
    <s v="Native"/>
    <s v="Tekik de Regil"/>
    <d v="2023-10-11T00:00:00"/>
    <n v="0"/>
    <s v="gleaning"/>
    <x v="2"/>
    <x v="1"/>
    <m/>
    <m/>
    <x v="8"/>
    <m/>
    <m/>
    <m/>
    <m/>
    <m/>
    <n v="2"/>
    <s v="&gt;60"/>
    <n v="9"/>
    <n v="19"/>
    <n v="0"/>
    <n v="405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32"/>
    <s v="Native"/>
    <s v="Tekik de Regil"/>
    <d v="2023-10-11T00:00:00"/>
    <n v="0"/>
    <m/>
    <x v="0"/>
    <x v="0"/>
    <m/>
    <m/>
    <x v="8"/>
    <m/>
    <m/>
    <m/>
    <m/>
    <m/>
    <n v="1"/>
    <s v="&lt;5"/>
    <n v="16"/>
    <n v="19"/>
    <n v="0"/>
    <n v="406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38"/>
    <s v="Native"/>
    <s v="Tekik de Regil"/>
    <d v="2023-10-11T00:00:00"/>
    <n v="1"/>
    <m/>
    <x v="0"/>
    <x v="0"/>
    <m/>
    <m/>
    <x v="8"/>
    <m/>
    <m/>
    <m/>
    <m/>
    <m/>
    <n v="1"/>
    <s v="&gt;60"/>
    <n v="16"/>
    <n v="19"/>
    <n v="0"/>
    <n v="407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40"/>
    <s v="Native"/>
    <s v="Tekik de Regil"/>
    <d v="2023-10-11T00:00:00"/>
    <n v="1"/>
    <m/>
    <x v="0"/>
    <x v="0"/>
    <m/>
    <m/>
    <x v="8"/>
    <m/>
    <m/>
    <m/>
    <m/>
    <m/>
    <n v="4"/>
    <s v="&gt;60"/>
    <n v="16"/>
    <n v="19"/>
    <n v="0"/>
    <n v="408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42"/>
    <s v="Native"/>
    <s v="Tekik de Regil"/>
    <d v="2023-10-11T00:00:00"/>
    <n v="1"/>
    <m/>
    <x v="0"/>
    <x v="0"/>
    <m/>
    <m/>
    <x v="8"/>
    <m/>
    <m/>
    <m/>
    <m/>
    <m/>
    <n v="1"/>
    <s v="&gt;60"/>
    <n v="16"/>
    <n v="19"/>
    <n v="0"/>
    <n v="409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48"/>
    <s v="Native"/>
    <s v="Tekik de Regil"/>
    <d v="2023-10-11T00:00:00"/>
    <n v="1"/>
    <s v="gleaning"/>
    <x v="2"/>
    <x v="1"/>
    <m/>
    <m/>
    <x v="8"/>
    <m/>
    <m/>
    <m/>
    <m/>
    <m/>
    <n v="2"/>
    <s v="30-59"/>
    <n v="13"/>
    <n v="12"/>
    <n v="7"/>
    <n v="410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58"/>
    <s v="Native"/>
    <s v="Tekik de Regil"/>
    <d v="2023-10-11T00:00:00"/>
    <n v="0"/>
    <m/>
    <x v="0"/>
    <x v="0"/>
    <m/>
    <m/>
    <x v="8"/>
    <m/>
    <m/>
    <m/>
    <m/>
    <m/>
    <n v="1"/>
    <s v="&gt;60"/>
    <n v="13"/>
    <n v="12"/>
    <n v="7"/>
    <n v="411"/>
  </r>
  <r>
    <s v="Pollinator_obs_human_MeX"/>
    <s v="Human observations"/>
    <s v="Hymenoptera"/>
    <s v="Apidae"/>
    <s v="Apinae"/>
    <s v="Meliponini"/>
    <s v="Trigona"/>
    <x v="7"/>
    <x v="17"/>
    <s v="Meliponini"/>
    <s v="Small non-buzzer"/>
    <s v="Stingless Bee"/>
    <m/>
    <n v="679"/>
    <s v="Native"/>
    <s v="Xmatkuil"/>
    <d v="2023-10-04T00:00:00"/>
    <n v="0"/>
    <m/>
    <x v="0"/>
    <x v="0"/>
    <m/>
    <m/>
    <x v="8"/>
    <m/>
    <m/>
    <m/>
    <m/>
    <m/>
    <n v="2"/>
    <s v="5-29"/>
    <n v="7"/>
    <n v="0"/>
    <n v="0"/>
    <n v="399"/>
  </r>
  <r>
    <s v="Pollinator_obs_human_MeX"/>
    <s v="Human observations"/>
    <s v="Hymenoptera"/>
    <s v="Vespidae"/>
    <m/>
    <m/>
    <m/>
    <x v="3"/>
    <x v="30"/>
    <s v="Others"/>
    <s v="Non bee, non-buzzer"/>
    <s v="Wasp"/>
    <s v="Wasp"/>
    <n v="711"/>
    <s v="Native"/>
    <s v="Xmatkuil"/>
    <d v="2023-10-09T00:00:00"/>
    <n v="0"/>
    <m/>
    <x v="0"/>
    <x v="0"/>
    <m/>
    <m/>
    <x v="8"/>
    <m/>
    <m/>
    <m/>
    <m/>
    <m/>
    <n v="1"/>
    <s v="&lt;5"/>
    <n v="34"/>
    <n v="0"/>
    <n v="0"/>
    <n v="412"/>
  </r>
  <r>
    <s v="Pollinator_obs_human_MeX"/>
    <s v="Human observations"/>
    <s v="Lepidoptera"/>
    <m/>
    <m/>
    <m/>
    <m/>
    <x v="3"/>
    <x v="31"/>
    <s v="Others"/>
    <s v="Non bee, non-buzzer"/>
    <s v="Butterfly"/>
    <s v="Butterfly"/>
    <n v="673"/>
    <s v="Native"/>
    <s v="Xmatkuil"/>
    <d v="2023-10-04T00:00:00"/>
    <n v="0"/>
    <s v="gleaning"/>
    <x v="2"/>
    <x v="1"/>
    <m/>
    <m/>
    <x v="8"/>
    <m/>
    <m/>
    <m/>
    <m/>
    <m/>
    <n v="1"/>
    <s v="&lt;5"/>
    <n v="8"/>
    <n v="0"/>
    <n v="0"/>
    <n v="413"/>
  </r>
  <r>
    <s v="Pollinators_captured_MEX.xlsx"/>
    <s v="Human observations"/>
    <s v="Hymenoptera"/>
    <s v="Apidae"/>
    <s v="Apinae"/>
    <s v="Apini"/>
    <s v="Apis"/>
    <x v="2"/>
    <x v="2"/>
    <s v="Apis mellifera"/>
    <s v="Medium non-buzzer"/>
    <s v="European Honey Bee"/>
    <m/>
    <n v="372"/>
    <s v="Native"/>
    <s v="Xmatkuil"/>
    <d v="2023-09-10T00:00:00"/>
    <m/>
    <m/>
    <x v="0"/>
    <x v="0"/>
    <n v="1"/>
    <n v="1"/>
    <x v="31"/>
    <n v="0"/>
    <n v="1"/>
    <n v="1"/>
    <n v="3.31"/>
    <m/>
    <n v="1"/>
    <m/>
    <m/>
    <m/>
    <m/>
    <n v="414"/>
  </r>
  <r>
    <s v="Pollinators_captured_MEX.xlsx"/>
    <s v="Human observations"/>
    <s v="Hymenoptera"/>
    <s v="Apidae"/>
    <s v="Apinae"/>
    <s v="Apini"/>
    <s v="Apis"/>
    <x v="2"/>
    <x v="2"/>
    <s v="Apis mellifera"/>
    <s v="Medium non-buzzer"/>
    <s v="European Honey Bee"/>
    <m/>
    <n v="373"/>
    <s v="Native"/>
    <s v="Chochola"/>
    <d v="2023-09-25T00:00:00"/>
    <m/>
    <m/>
    <x v="0"/>
    <x v="0"/>
    <n v="1"/>
    <n v="1"/>
    <x v="18"/>
    <n v="0"/>
    <n v="1"/>
    <n v="1"/>
    <n v="3.74"/>
    <m/>
    <n v="1"/>
    <m/>
    <m/>
    <m/>
    <m/>
    <n v="418"/>
  </r>
  <r>
    <s v="Pollinators_captured_MEX.xlsx"/>
    <s v="Human observations"/>
    <s v="Hymenoptera"/>
    <s v="Apidae"/>
    <s v="Apinae"/>
    <s v="Apini"/>
    <s v="Apis"/>
    <x v="2"/>
    <x v="2"/>
    <s v="Apis mellifera"/>
    <s v="Medium non-buzzer"/>
    <s v="European Honey Bee"/>
    <m/>
    <n v="374"/>
    <s v="Native"/>
    <s v="Xmatkuil"/>
    <d v="2023-09-10T00:00:00"/>
    <m/>
    <m/>
    <x v="0"/>
    <x v="0"/>
    <n v="1"/>
    <n v="1"/>
    <x v="32"/>
    <n v="0"/>
    <n v="1"/>
    <n v="1"/>
    <n v="3.77"/>
    <m/>
    <n v="1"/>
    <m/>
    <m/>
    <m/>
    <m/>
    <n v="415"/>
  </r>
  <r>
    <s v="Pollinators_captured_MEX.xlsx"/>
    <s v="Human observations"/>
    <s v="Hymenoptera"/>
    <s v="Apidae"/>
    <s v="Apinae"/>
    <s v="Apini"/>
    <s v="Apis"/>
    <x v="2"/>
    <x v="2"/>
    <s v="Apis mellifera"/>
    <s v="Medium non-buzzer"/>
    <s v="European Honey Bee"/>
    <m/>
    <n v="375"/>
    <s v="Native"/>
    <s v="Xmatkuil"/>
    <d v="2023-09-10T00:00:00"/>
    <m/>
    <m/>
    <x v="0"/>
    <x v="0"/>
    <n v="1"/>
    <n v="1"/>
    <x v="33"/>
    <n v="0"/>
    <n v="1"/>
    <n v="1"/>
    <n v="3.54"/>
    <m/>
    <n v="1"/>
    <m/>
    <m/>
    <m/>
    <m/>
    <n v="416"/>
  </r>
  <r>
    <s v="Pollinators_captured_MEX.xlsx"/>
    <s v="Human observations"/>
    <s v="Hymenoptera"/>
    <s v="Apidae"/>
    <s v="Apinae"/>
    <s v="Apini"/>
    <s v="Apis"/>
    <x v="2"/>
    <x v="2"/>
    <s v="Apis mellifera"/>
    <s v="Medium non-buzzer"/>
    <s v="European Honey Bee"/>
    <m/>
    <n v="376"/>
    <s v="Native"/>
    <s v="Xmatkuil"/>
    <d v="2023-09-10T00:00:00"/>
    <m/>
    <m/>
    <x v="0"/>
    <x v="0"/>
    <n v="1"/>
    <n v="1"/>
    <x v="34"/>
    <n v="1"/>
    <n v="0.99834162520729686"/>
    <n v="1"/>
    <n v="3.77"/>
    <m/>
    <n v="1"/>
    <m/>
    <m/>
    <m/>
    <m/>
    <n v="417"/>
  </r>
  <r>
    <s v="Pollinators_captured_MEX.xlsx"/>
    <s v="Human observations"/>
    <s v="Hymenoptera"/>
    <s v="Halictidae"/>
    <s v="Halictinae"/>
    <s v="Augochlorini"/>
    <s v="Augochlorella"/>
    <x v="1"/>
    <x v="32"/>
    <s v="Halictidae"/>
    <s v="Medium buzzer"/>
    <s v="Sweat Bee"/>
    <m/>
    <n v="377"/>
    <s v="Native"/>
    <s v="Xmatkuil"/>
    <d v="2023-09-10T00:00:00"/>
    <m/>
    <m/>
    <x v="0"/>
    <x v="0"/>
    <n v="1"/>
    <n v="1"/>
    <x v="35"/>
    <n v="0"/>
    <n v="1"/>
    <n v="2"/>
    <n v="1.59"/>
    <m/>
    <n v="1"/>
    <m/>
    <m/>
    <m/>
    <m/>
    <n v="419"/>
  </r>
  <r>
    <s v="Pollinators_captured_MEX.xlsx"/>
    <s v="Human observations"/>
    <s v="Hymenoptera"/>
    <s v="Halictidae"/>
    <s v="Halictinae"/>
    <s v="Augochlorini"/>
    <s v="Augochloropsis"/>
    <x v="13"/>
    <x v="33"/>
    <s v="Halictidae"/>
    <s v="Medium buzzer"/>
    <s v="Sweat Bee"/>
    <m/>
    <n v="381"/>
    <s v="Native"/>
    <s v="Chochola"/>
    <d v="2023-09-25T00:00:00"/>
    <m/>
    <m/>
    <x v="0"/>
    <x v="0"/>
    <n v="1"/>
    <n v="1"/>
    <x v="36"/>
    <n v="170"/>
    <n v="0.96339362618432389"/>
    <n v="1"/>
    <n v="2.7"/>
    <m/>
    <n v="1"/>
    <m/>
    <m/>
    <m/>
    <m/>
    <n v="420"/>
  </r>
  <r>
    <s v="Pollinators_captured_MEX.xlsx"/>
    <s v="Human observations"/>
    <s v="Hymenoptera"/>
    <s v="Apidae"/>
    <s v="Apinae"/>
    <s v="Euglossini"/>
    <s v="Eulaema"/>
    <x v="8"/>
    <x v="25"/>
    <s v="Eulaema polychroma"/>
    <s v="Large buzzer"/>
    <s v="Euglossine"/>
    <m/>
    <n v="378"/>
    <s v="Native"/>
    <s v="Tekik de Regil"/>
    <d v="2023-11-10T00:00:00"/>
    <m/>
    <m/>
    <x v="0"/>
    <x v="0"/>
    <n v="1"/>
    <n v="1"/>
    <x v="37"/>
    <n v="3"/>
    <n v="0.9998890819684253"/>
    <n v="1"/>
    <n v="6.82"/>
    <m/>
    <n v="1"/>
    <m/>
    <m/>
    <m/>
    <m/>
    <m/>
  </r>
  <r>
    <s v="Pollinators_captured_MEX.xlsx"/>
    <s v="Human observations"/>
    <s v="Hymenoptera"/>
    <s v="Apidae"/>
    <s v="Apinae"/>
    <s v="Euglossini"/>
    <s v="Eulaema"/>
    <x v="8"/>
    <x v="25"/>
    <s v="Eulaema polychroma"/>
    <s v="Large buzzer"/>
    <s v="Euglossine"/>
    <m/>
    <n v="379"/>
    <s v="Native"/>
    <s v="Xmatkuil"/>
    <d v="2023-09-10T00:00:00"/>
    <m/>
    <m/>
    <x v="0"/>
    <x v="0"/>
    <n v="1"/>
    <n v="1"/>
    <x v="38"/>
    <n v="0"/>
    <n v="1"/>
    <n v="1"/>
    <n v="7.19"/>
    <m/>
    <n v="1"/>
    <m/>
    <m/>
    <m/>
    <m/>
    <m/>
  </r>
  <r>
    <s v="Pollinators_captured_MEX.xlsx"/>
    <s v="Human observations"/>
    <s v="Hymenoptera"/>
    <s v="Apidae"/>
    <s v="Apinae"/>
    <s v="Euglossini"/>
    <s v="Eulaema"/>
    <x v="8"/>
    <x v="25"/>
    <s v="Eulaema polychroma"/>
    <s v="Large buzzer"/>
    <s v="Euglossine"/>
    <m/>
    <n v="380"/>
    <s v="Native"/>
    <s v="ND"/>
    <s v="ND"/>
    <m/>
    <m/>
    <x v="0"/>
    <x v="0"/>
    <n v="1"/>
    <n v="1"/>
    <x v="39"/>
    <n v="0"/>
    <n v="1"/>
    <m/>
    <m/>
    <m/>
    <n v="1"/>
    <m/>
    <m/>
    <m/>
    <m/>
    <m/>
  </r>
  <r>
    <s v="Pollinators_captured_MEX.xls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382"/>
    <s v="Native"/>
    <s v="Xmatkuil"/>
    <s v="16/10/2023"/>
    <m/>
    <m/>
    <x v="0"/>
    <x v="0"/>
    <n v="1"/>
    <n v="1"/>
    <x v="40"/>
    <n v="0"/>
    <n v="1"/>
    <n v="1"/>
    <n v="1.88"/>
    <m/>
    <n v="1"/>
    <m/>
    <m/>
    <m/>
    <m/>
    <m/>
  </r>
  <r>
    <s v="Pollinators_captured_MEX.xls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383"/>
    <s v="Native"/>
    <s v="Xmatkuil"/>
    <s v="16/10/2023"/>
    <m/>
    <m/>
    <x v="0"/>
    <x v="0"/>
    <n v="1"/>
    <n v="1"/>
    <x v="41"/>
    <n v="0"/>
    <n v="1"/>
    <n v="2"/>
    <n v="1.1499999999999999"/>
    <m/>
    <n v="1"/>
    <m/>
    <m/>
    <m/>
    <m/>
    <m/>
  </r>
  <r>
    <s v="Pollinators_captured_MEX.xls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384"/>
    <s v="Native"/>
    <s v="Xmatkuil"/>
    <d v="2023-09-10T00:00:00"/>
    <m/>
    <m/>
    <x v="0"/>
    <x v="0"/>
    <n v="1"/>
    <n v="1"/>
    <x v="42"/>
    <n v="3"/>
    <n v="0.99507389162561577"/>
    <n v="2"/>
    <n v="1.44"/>
    <m/>
    <n v="1"/>
    <m/>
    <m/>
    <m/>
    <m/>
    <m/>
  </r>
  <r>
    <s v="Pollinators_captured_MEX.xls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385"/>
    <s v="Native"/>
    <s v="Xmatkuil"/>
    <d v="2023-09-10T00:00:00"/>
    <m/>
    <m/>
    <x v="0"/>
    <x v="0"/>
    <n v="1"/>
    <n v="1"/>
    <x v="43"/>
    <n v="0"/>
    <n v="1"/>
    <n v="2"/>
    <n v="1.56"/>
    <m/>
    <n v="1"/>
    <m/>
    <m/>
    <m/>
    <m/>
    <m/>
  </r>
  <r>
    <s v="Pollinators_captured_MEX.xlsx"/>
    <s v="Human observations"/>
    <s v="Hymenoptera"/>
    <s v="Apidae"/>
    <s v="Apinae"/>
    <s v="Meliponini"/>
    <s v="Frieseomelitta"/>
    <x v="9"/>
    <x v="26"/>
    <s v="Meliponini"/>
    <s v="Small non-buzzer"/>
    <s v="Stingless Bee"/>
    <m/>
    <n v="386"/>
    <s v="Native"/>
    <s v="Xmatkuil"/>
    <d v="2023-09-10T00:00:00"/>
    <m/>
    <m/>
    <x v="0"/>
    <x v="0"/>
    <n v="1"/>
    <n v="0"/>
    <x v="0"/>
    <n v="0"/>
    <m/>
    <n v="2"/>
    <n v="1.53"/>
    <m/>
    <n v="1"/>
    <m/>
    <m/>
    <m/>
    <m/>
    <m/>
  </r>
  <r>
    <s v="Pollinators_captured_MEX.xlsx"/>
    <s v="Human observations"/>
    <s v="Hymenoptera"/>
    <s v="Halictidae"/>
    <s v="Halictinae"/>
    <s v="Halictini"/>
    <s v="Halictus"/>
    <x v="1"/>
    <x v="34"/>
    <s v="Halictidae"/>
    <s v="Medium buzzer"/>
    <s v="Sweat Bee"/>
    <m/>
    <n v="387"/>
    <s v="Native"/>
    <s v="Xmatkuil"/>
    <d v="2023-04-10T00:00:00"/>
    <m/>
    <m/>
    <x v="0"/>
    <x v="0"/>
    <n v="1"/>
    <n v="1"/>
    <x v="44"/>
    <n v="0"/>
    <n v="1"/>
    <n v="2"/>
    <n v="1.6"/>
    <m/>
    <n v="1"/>
    <m/>
    <m/>
    <m/>
    <m/>
    <m/>
  </r>
  <r>
    <s v="Pollinators_captured_MEX.xls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388"/>
    <s v="Native"/>
    <s v="Xmatkuil"/>
    <d v="2023-04-10T00:00:00"/>
    <m/>
    <m/>
    <x v="0"/>
    <x v="0"/>
    <n v="1"/>
    <n v="1"/>
    <x v="45"/>
    <n v="0"/>
    <n v="1"/>
    <n v="1"/>
    <n v="3.57"/>
    <m/>
    <n v="1"/>
    <m/>
    <m/>
    <m/>
    <m/>
    <m/>
  </r>
  <r>
    <s v="Pollinators_captured_MEX.xls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389"/>
    <s v="Native"/>
    <s v="Xmatkuil"/>
    <d v="2023-04-10T00:00:00"/>
    <m/>
    <m/>
    <x v="0"/>
    <x v="0"/>
    <n v="1"/>
    <n v="0"/>
    <x v="0"/>
    <n v="0"/>
    <m/>
    <n v="1"/>
    <n v="3.66"/>
    <m/>
    <n v="1"/>
    <m/>
    <m/>
    <m/>
    <m/>
    <m/>
  </r>
  <r>
    <s v="Pollinators_captured_MEX.xls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390"/>
    <s v="Native"/>
    <s v="Xmatkuil"/>
    <s v="16/10/2023"/>
    <m/>
    <m/>
    <x v="0"/>
    <x v="0"/>
    <n v="1"/>
    <n v="1"/>
    <x v="46"/>
    <n v="0"/>
    <n v="1"/>
    <n v="1"/>
    <n v="3.06"/>
    <m/>
    <n v="1"/>
    <m/>
    <m/>
    <m/>
    <m/>
    <m/>
  </r>
  <r>
    <s v="Pollinators_captured_MEX.xls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391"/>
    <s v="Native"/>
    <s v="Xmatkuil"/>
    <s v="16/10/2023"/>
    <m/>
    <m/>
    <x v="0"/>
    <x v="0"/>
    <n v="1"/>
    <n v="1"/>
    <x v="47"/>
    <n v="0"/>
    <n v="1"/>
    <n v="1"/>
    <n v="3.05"/>
    <m/>
    <n v="1"/>
    <m/>
    <m/>
    <m/>
    <m/>
    <m/>
  </r>
  <r>
    <s v="Pollinators_captured_MEX.xlsx"/>
    <s v="Human observations"/>
    <s v="Hymenoptera"/>
    <s v="Apidae"/>
    <s v="Apinae"/>
    <s v="Meliponini"/>
    <s v="Melipona"/>
    <x v="10"/>
    <x v="27"/>
    <s v="Melipona beechei (Meliponini)"/>
    <s v="Medium buzzer"/>
    <s v="Royal Lady Bee"/>
    <m/>
    <n v="392"/>
    <s v="Native"/>
    <s v="Xmatkuil"/>
    <d v="2023-09-10T00:00:00"/>
    <m/>
    <m/>
    <x v="0"/>
    <x v="0"/>
    <n v="1"/>
    <n v="1"/>
    <x v="48"/>
    <n v="7"/>
    <n v="0.98588709677419351"/>
    <n v="1"/>
    <n v="3.21"/>
    <m/>
    <n v="1"/>
    <m/>
    <m/>
    <m/>
    <m/>
    <m/>
  </r>
  <r>
    <s v="Pollinators_captured_MEX.xlsx"/>
    <s v="Human observations"/>
    <s v="Hymenoptera"/>
    <s v="Apidae"/>
    <s v="Apinae"/>
    <s v="Meliponini"/>
    <s v="Nannotrigona"/>
    <x v="11"/>
    <x v="28"/>
    <s v="Meliponini"/>
    <s v="Small non-buzzer"/>
    <s v="Stingless Bee"/>
    <m/>
    <n v="394"/>
    <s v="Native"/>
    <s v="Xmatkuil"/>
    <s v="16/10/2023"/>
    <m/>
    <m/>
    <x v="0"/>
    <x v="0"/>
    <n v="1"/>
    <n v="1"/>
    <x v="49"/>
    <n v="0"/>
    <n v="1"/>
    <n v="2"/>
    <n v="1.68"/>
    <m/>
    <n v="1"/>
    <m/>
    <m/>
    <m/>
    <m/>
    <m/>
  </r>
  <r>
    <s v="Pollinators_captured_MEX.xlsx"/>
    <s v="Human observations"/>
    <s v="Hymenoptera"/>
    <s v="Apidae"/>
    <s v="Apinae"/>
    <s v="Meliponini"/>
    <s v="Nannotrigona"/>
    <x v="11"/>
    <x v="28"/>
    <s v="Meliponini"/>
    <s v="Small non-buzzer"/>
    <s v="Stingless Bee"/>
    <m/>
    <n v="395"/>
    <s v="Native"/>
    <s v="Xmatkuil"/>
    <s v="16/10/2023"/>
    <m/>
    <m/>
    <x v="0"/>
    <x v="0"/>
    <n v="1"/>
    <n v="0"/>
    <x v="0"/>
    <n v="0"/>
    <m/>
    <n v="2"/>
    <n v="1.64"/>
    <m/>
    <n v="1"/>
    <m/>
    <m/>
    <m/>
    <m/>
    <m/>
  </r>
  <r>
    <s v="Pollinators_captured_MEX.xlsx"/>
    <s v="Human observations"/>
    <s v="Hymenoptera"/>
    <s v="Apidae"/>
    <s v="Apinae"/>
    <s v="Meliponini"/>
    <s v="Plebeia"/>
    <x v="14"/>
    <x v="35"/>
    <s v="Plebeia frontalis  (Meliponini)"/>
    <s v="Medium buzzer"/>
    <s v="Stingless Bee"/>
    <m/>
    <n v="393"/>
    <s v="Native"/>
    <s v="Xmatkuil"/>
    <d v="2023-04-10T00:00:00"/>
    <m/>
    <m/>
    <x v="0"/>
    <x v="0"/>
    <n v="1"/>
    <n v="1"/>
    <x v="50"/>
    <n v="0"/>
    <n v="1"/>
    <n v="2"/>
    <n v="1.57"/>
    <m/>
    <n v="1"/>
    <m/>
    <m/>
    <m/>
    <m/>
    <m/>
  </r>
  <r>
    <s v="Pollinators_captured_MEX.xlsx"/>
    <s v="Human observations"/>
    <s v="Hymenoptera"/>
    <s v="Apidae"/>
    <s v="Apinae"/>
    <s v="Meliponini"/>
    <s v="Trigona"/>
    <x v="7"/>
    <x v="17"/>
    <s v="Meliponini"/>
    <s v="Small non-buzzer"/>
    <s v="Stingless Bee"/>
    <m/>
    <n v="396"/>
    <s v="Native"/>
    <s v="Tekik de Regil"/>
    <d v="2023-11-10T00:00:00"/>
    <m/>
    <m/>
    <x v="0"/>
    <x v="0"/>
    <n v="1"/>
    <n v="1"/>
    <x v="51"/>
    <n v="0"/>
    <n v="1"/>
    <n v="1"/>
    <n v="2.1800000000000002"/>
    <m/>
    <n v="1"/>
    <m/>
    <m/>
    <m/>
    <m/>
    <m/>
  </r>
  <r>
    <s v="Pollinators_captured_MEX.xlsx"/>
    <s v="Human observations"/>
    <s v="Hymenoptera"/>
    <s v="Apidae"/>
    <s v="Apinae"/>
    <s v="Meliponini"/>
    <s v="Trigona"/>
    <x v="7"/>
    <x v="17"/>
    <s v="Meliponini"/>
    <s v="Small non-buzzer"/>
    <s v="Stingless Bee"/>
    <m/>
    <n v="397"/>
    <s v="Native"/>
    <s v="Tekik de Regil"/>
    <d v="2023-11-10T00:00:00"/>
    <m/>
    <m/>
    <x v="0"/>
    <x v="0"/>
    <n v="1"/>
    <n v="1"/>
    <x v="52"/>
    <n v="0"/>
    <n v="1"/>
    <n v="1"/>
    <n v="2.16"/>
    <m/>
    <n v="1"/>
    <m/>
    <m/>
    <m/>
    <m/>
    <m/>
  </r>
  <r>
    <s v="Pollinators_captured_MEX.xlsx"/>
    <s v="Human observations"/>
    <s v="Hymenoptera"/>
    <s v="Apidae"/>
    <s v="Apinae"/>
    <s v="Meliponini"/>
    <s v="Trigona"/>
    <x v="7"/>
    <x v="17"/>
    <s v="Meliponini"/>
    <s v="Small non-buzzer"/>
    <s v="Stingless Bee"/>
    <m/>
    <n v="398"/>
    <s v="Native"/>
    <s v="Tekik de Regil"/>
    <d v="2023-11-10T00:00:00"/>
    <m/>
    <m/>
    <x v="0"/>
    <x v="0"/>
    <n v="1"/>
    <n v="1"/>
    <x v="53"/>
    <n v="0"/>
    <n v="1"/>
    <n v="1"/>
    <n v="2.17"/>
    <m/>
    <n v="1"/>
    <m/>
    <m/>
    <m/>
    <m/>
    <m/>
  </r>
  <r>
    <s v="Pollinators_captured_MEX.xlsx"/>
    <s v="Human observations"/>
    <s v="Hymenoptera"/>
    <s v="Apidae"/>
    <s v="Apinae"/>
    <s v="Meliponini"/>
    <s v="Trigona"/>
    <x v="7"/>
    <x v="17"/>
    <s v="Meliponini"/>
    <s v="Small non-buzzer"/>
    <s v="Stingless Bee"/>
    <m/>
    <n v="399"/>
    <s v="Native"/>
    <s v="Xmatkuil"/>
    <d v="2023-04-10T00:00:00"/>
    <m/>
    <m/>
    <x v="0"/>
    <x v="0"/>
    <n v="1"/>
    <n v="0"/>
    <x v="0"/>
    <n v="0"/>
    <m/>
    <n v="2"/>
    <n v="0.98"/>
    <m/>
    <n v="1"/>
    <m/>
    <m/>
    <m/>
    <m/>
    <m/>
  </r>
  <r>
    <s v="Pollinators_captured_MEX.xlsx"/>
    <s v="Human observations"/>
    <s v="Hymenoptera"/>
    <s v="Apidae"/>
    <s v="Apinae"/>
    <s v="Meliponini"/>
    <s v="Trigona"/>
    <x v="7"/>
    <x v="17"/>
    <s v="Meliponini"/>
    <s v="Small non-buzzer"/>
    <s v="Stingless Bee"/>
    <m/>
    <n v="400"/>
    <s v="Native"/>
    <s v="Xmatkuil"/>
    <d v="2023-09-10T00:00:00"/>
    <m/>
    <m/>
    <x v="0"/>
    <x v="0"/>
    <n v="1"/>
    <n v="1"/>
    <x v="54"/>
    <n v="0"/>
    <n v="1"/>
    <n v="2"/>
    <n v="1.79"/>
    <m/>
    <n v="1"/>
    <m/>
    <m/>
    <m/>
    <m/>
    <m/>
  </r>
  <r>
    <m/>
    <m/>
    <s v="Hymenoptera"/>
    <s v="Formicidae"/>
    <m/>
    <m/>
    <m/>
    <x v="3"/>
    <x v="14"/>
    <s v="Others"/>
    <s v="Non bee, non-buzzer"/>
    <s v="Ant"/>
    <m/>
    <n v="933"/>
    <s v="Native"/>
    <s v="Xmatkuil"/>
    <s v="CTBA_04102023_GoPro_9_0700"/>
    <n v="0"/>
    <s v="not foraging for pollen"/>
    <x v="0"/>
    <x v="0"/>
    <m/>
    <m/>
    <x v="8"/>
    <m/>
    <m/>
    <m/>
    <m/>
    <m/>
    <n v="1"/>
    <m/>
    <n v="1"/>
    <m/>
    <m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DC9AE-7215-408B-AA1A-B7F95501170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10"/>
        <item x="12"/>
        <item x="0"/>
        <item x="14"/>
        <item x="7"/>
        <item x="2"/>
        <item x="13"/>
        <item x="9"/>
        <item x="11"/>
        <item x="8"/>
        <item x="1"/>
        <item x="5"/>
        <item x="6"/>
        <item x="4"/>
        <item x="3"/>
        <item t="default"/>
      </items>
    </pivotField>
    <pivotField axis="axisRow" showAll="0">
      <items count="37">
        <item x="12"/>
        <item x="1"/>
        <item x="2"/>
        <item x="13"/>
        <item x="32"/>
        <item x="33"/>
        <item x="24"/>
        <item x="21"/>
        <item x="18"/>
        <item x="20"/>
        <item x="3"/>
        <item x="19"/>
        <item x="0"/>
        <item x="25"/>
        <item x="14"/>
        <item x="26"/>
        <item x="15"/>
        <item x="16"/>
        <item x="34"/>
        <item x="4"/>
        <item x="31"/>
        <item x="5"/>
        <item x="27"/>
        <item x="11"/>
        <item x="6"/>
        <item x="28"/>
        <item x="7"/>
        <item x="29"/>
        <item x="8"/>
        <item x="35"/>
        <item x="22"/>
        <item x="23"/>
        <item x="9"/>
        <item x="17"/>
        <item x="3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1"/>
        <item x="3"/>
        <item x="8"/>
        <item x="6"/>
        <item x="4"/>
        <item x="2"/>
        <item x="7"/>
        <item x="5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>
      <items count="56">
        <item x="0"/>
        <item x="26"/>
        <item x="23"/>
        <item x="44"/>
        <item x="35"/>
        <item x="50"/>
        <item x="18"/>
        <item x="41"/>
        <item x="40"/>
        <item x="49"/>
        <item x="24"/>
        <item x="51"/>
        <item x="21"/>
        <item x="22"/>
        <item x="14"/>
        <item x="53"/>
        <item x="43"/>
        <item x="48"/>
        <item x="5"/>
        <item x="34"/>
        <item x="42"/>
        <item x="7"/>
        <item x="10"/>
        <item x="52"/>
        <item x="31"/>
        <item x="39"/>
        <item x="54"/>
        <item x="1"/>
        <item x="2"/>
        <item x="46"/>
        <item x="33"/>
        <item x="6"/>
        <item x="4"/>
        <item x="32"/>
        <item x="3"/>
        <item x="19"/>
        <item x="38"/>
        <item x="12"/>
        <item x="30"/>
        <item x="13"/>
        <item x="47"/>
        <item x="36"/>
        <item x="11"/>
        <item x="17"/>
        <item x="45"/>
        <item x="27"/>
        <item x="29"/>
        <item x="15"/>
        <item x="9"/>
        <item x="20"/>
        <item x="16"/>
        <item x="25"/>
        <item x="37"/>
        <item x="28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tdDev of sicklepodPollenCount" fld="23" subtotal="stdDev" baseField="8" baseItem="2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A7D71-C0FB-49BD-90D6-31B8636B24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9"/>
  </rowFields>
  <rowItems count="9">
    <i>
      <x/>
    </i>
    <i r="1">
      <x/>
    </i>
    <i r="1">
      <x v="1"/>
    </i>
    <i r="1">
      <x v="2"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foragingbehaviour2" fld="19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5" dT="2024-02-27T01:02:09.41" personId="{2FEDA7AB-9D63-4F71-84F1-F138FCB5F041}" id="{7783B46C-2CF5-44E0-AF3D-5F6BB7AEC284}">
    <text>1 = 100% sicklepod; 
0.5 = 50% sicklepod; 50% non-sicklepod
0 = 100% non-sicklepod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K2" dT="2023-08-07T03:21:59.52" personId="{2FEDA7AB-9D63-4F71-84F1-F138FCB5F041}" id="{FA628435-3166-4C0A-9395-2C88A102BD37}">
    <text>each insect visitor species was given a pollination importance index (PII) score which was calculated as the percentage of total pollination importance values of all visitor species collected in each yearly sample (i.e., PII = PIV/Z PIV x 100 for all species)</text>
  </threadedComment>
  <threadedComment ref="AK2" dT="2023-08-07T03:22:05.41" personId="{2FEDA7AB-9D63-4F71-84F1-F138FCB5F041}" id="{840FAD61-B268-4953-A362-3198B60171F8}" parentId="{FA628435-3166-4C0A-9395-2C88A102BD37}">
    <text>Lindsey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9-11T04:48:17.16" personId="{F6F9EB0D-C524-4EB6-94B8-498D34C7AE5E}" id="{2F17E644-8F59-4AB8-8D45-06A4FCC817C6}">
    <text xml:space="preserve">This is the pollinators only with a confident behaviour description for a pivot table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893A-0556-4851-BD54-DEFDD7953A20}">
  <dimension ref="A1:N60"/>
  <sheetViews>
    <sheetView tabSelected="1" workbookViewId="0">
      <selection activeCell="B20" sqref="B20"/>
    </sheetView>
  </sheetViews>
  <sheetFormatPr defaultRowHeight="14.5" x14ac:dyDescent="0.35"/>
  <cols>
    <col min="1" max="1" width="17.54296875" customWidth="1"/>
    <col min="2" max="2" width="12" customWidth="1"/>
  </cols>
  <sheetData>
    <row r="1" spans="1:14" x14ac:dyDescent="0.35">
      <c r="A1" t="s">
        <v>120</v>
      </c>
    </row>
    <row r="2" spans="1:14" x14ac:dyDescent="0.35">
      <c r="A2" t="s">
        <v>121</v>
      </c>
    </row>
    <row r="4" spans="1:14" x14ac:dyDescent="0.35">
      <c r="A4" s="5" t="s">
        <v>354</v>
      </c>
      <c r="C4" t="s">
        <v>122</v>
      </c>
    </row>
    <row r="5" spans="1:14" x14ac:dyDescent="0.35">
      <c r="A5" t="s">
        <v>0</v>
      </c>
    </row>
    <row r="6" spans="1:14" x14ac:dyDescent="0.35">
      <c r="A6" t="s">
        <v>1</v>
      </c>
      <c r="C6" t="s">
        <v>123</v>
      </c>
    </row>
    <row r="7" spans="1:14" x14ac:dyDescent="0.35">
      <c r="A7" t="s">
        <v>2</v>
      </c>
      <c r="C7" t="s">
        <v>124</v>
      </c>
    </row>
    <row r="8" spans="1:14" x14ac:dyDescent="0.35">
      <c r="A8" t="s">
        <v>3</v>
      </c>
    </row>
    <row r="9" spans="1:14" x14ac:dyDescent="0.35">
      <c r="A9" t="s">
        <v>4</v>
      </c>
    </row>
    <row r="10" spans="1:14" x14ac:dyDescent="0.35">
      <c r="A10" t="s">
        <v>5</v>
      </c>
      <c r="M10" t="s">
        <v>224</v>
      </c>
    </row>
    <row r="11" spans="1:14" x14ac:dyDescent="0.35">
      <c r="A11" t="s">
        <v>6</v>
      </c>
      <c r="M11" t="s">
        <v>32</v>
      </c>
      <c r="N11" t="s">
        <v>225</v>
      </c>
    </row>
    <row r="12" spans="1:14" x14ac:dyDescent="0.35">
      <c r="A12" t="s">
        <v>7</v>
      </c>
      <c r="M12" t="s">
        <v>31</v>
      </c>
      <c r="N12" t="s">
        <v>226</v>
      </c>
    </row>
    <row r="13" spans="1:14" x14ac:dyDescent="0.35">
      <c r="A13" t="s">
        <v>8</v>
      </c>
      <c r="C13" t="s">
        <v>125</v>
      </c>
    </row>
    <row r="14" spans="1:14" x14ac:dyDescent="0.35">
      <c r="A14" t="s">
        <v>9</v>
      </c>
      <c r="C14" t="s">
        <v>126</v>
      </c>
    </row>
    <row r="15" spans="1:14" x14ac:dyDescent="0.35">
      <c r="A15" t="s">
        <v>10</v>
      </c>
      <c r="C15" t="s">
        <v>127</v>
      </c>
    </row>
    <row r="16" spans="1:14" x14ac:dyDescent="0.35">
      <c r="A16" t="s">
        <v>118</v>
      </c>
      <c r="C16" t="s">
        <v>137</v>
      </c>
    </row>
    <row r="17" spans="1:3" x14ac:dyDescent="0.35">
      <c r="A17" t="s">
        <v>12</v>
      </c>
      <c r="C17" t="s">
        <v>128</v>
      </c>
    </row>
    <row r="18" spans="1:3" x14ac:dyDescent="0.35">
      <c r="A18" t="s">
        <v>13</v>
      </c>
      <c r="C18" t="s">
        <v>129</v>
      </c>
    </row>
    <row r="19" spans="1:3" x14ac:dyDescent="0.35">
      <c r="A19" t="s">
        <v>14</v>
      </c>
      <c r="C19" t="s">
        <v>130</v>
      </c>
    </row>
    <row r="20" spans="1:3" x14ac:dyDescent="0.35">
      <c r="A20" t="s">
        <v>15</v>
      </c>
      <c r="C20" t="s">
        <v>131</v>
      </c>
    </row>
    <row r="21" spans="1:3" x14ac:dyDescent="0.35">
      <c r="A21" t="s">
        <v>16</v>
      </c>
      <c r="C21" t="s">
        <v>216</v>
      </c>
    </row>
    <row r="22" spans="1:3" x14ac:dyDescent="0.35">
      <c r="A22" t="s">
        <v>17</v>
      </c>
      <c r="C22" t="s">
        <v>132</v>
      </c>
    </row>
    <row r="23" spans="1:3" x14ac:dyDescent="0.35">
      <c r="A23" t="s">
        <v>18</v>
      </c>
      <c r="C23" t="s">
        <v>133</v>
      </c>
    </row>
    <row r="24" spans="1:3" x14ac:dyDescent="0.35">
      <c r="A24" t="s">
        <v>19</v>
      </c>
      <c r="C24" t="s">
        <v>134</v>
      </c>
    </row>
    <row r="25" spans="1:3" x14ac:dyDescent="0.35">
      <c r="A25" t="s">
        <v>20</v>
      </c>
      <c r="C25" t="s">
        <v>135</v>
      </c>
    </row>
    <row r="26" spans="1:3" x14ac:dyDescent="0.35">
      <c r="A26" t="s">
        <v>21</v>
      </c>
      <c r="C26" t="s">
        <v>136</v>
      </c>
    </row>
    <row r="27" spans="1:3" x14ac:dyDescent="0.35">
      <c r="A27" t="s">
        <v>22</v>
      </c>
    </row>
    <row r="28" spans="1:3" x14ac:dyDescent="0.35">
      <c r="A28" t="s">
        <v>217</v>
      </c>
      <c r="C28" t="s">
        <v>218</v>
      </c>
    </row>
    <row r="29" spans="1:3" x14ac:dyDescent="0.35">
      <c r="A29" t="s">
        <v>175</v>
      </c>
      <c r="C29" t="s">
        <v>219</v>
      </c>
    </row>
    <row r="30" spans="1:3" x14ac:dyDescent="0.35">
      <c r="A30" s="7" t="s">
        <v>176</v>
      </c>
      <c r="C30" t="s">
        <v>220</v>
      </c>
    </row>
    <row r="31" spans="1:3" x14ac:dyDescent="0.35">
      <c r="A31" t="s">
        <v>189</v>
      </c>
      <c r="C31" t="s">
        <v>221</v>
      </c>
    </row>
    <row r="32" spans="1:3" x14ac:dyDescent="0.35">
      <c r="A32" t="s">
        <v>190</v>
      </c>
      <c r="C32" t="s">
        <v>221</v>
      </c>
    </row>
    <row r="33" spans="1:3" x14ac:dyDescent="0.35">
      <c r="A33" t="s">
        <v>191</v>
      </c>
      <c r="C33" t="s">
        <v>221</v>
      </c>
    </row>
    <row r="35" spans="1:3" x14ac:dyDescent="0.35">
      <c r="A35" s="5" t="s">
        <v>396</v>
      </c>
    </row>
    <row r="36" spans="1:3" x14ac:dyDescent="0.35">
      <c r="A36" t="s">
        <v>355</v>
      </c>
    </row>
    <row r="37" spans="1:3" x14ac:dyDescent="0.35">
      <c r="A37" s="5" t="s">
        <v>397</v>
      </c>
    </row>
    <row r="38" spans="1:3" x14ac:dyDescent="0.35">
      <c r="A38" t="s">
        <v>356</v>
      </c>
    </row>
    <row r="39" spans="1:3" x14ac:dyDescent="0.35">
      <c r="A39" s="5" t="s">
        <v>357</v>
      </c>
    </row>
    <row r="40" spans="1:3" x14ac:dyDescent="0.35">
      <c r="A40" t="s">
        <v>394</v>
      </c>
    </row>
    <row r="41" spans="1:3" x14ac:dyDescent="0.35">
      <c r="A41" s="5" t="s">
        <v>395</v>
      </c>
    </row>
    <row r="42" spans="1:3" x14ac:dyDescent="0.35">
      <c r="A42" t="s">
        <v>358</v>
      </c>
    </row>
    <row r="43" spans="1:3" x14ac:dyDescent="0.35">
      <c r="A43" t="s">
        <v>118</v>
      </c>
      <c r="C43" t="s">
        <v>360</v>
      </c>
    </row>
    <row r="44" spans="1:3" x14ac:dyDescent="0.35">
      <c r="A44" t="s">
        <v>265</v>
      </c>
      <c r="C44" t="s">
        <v>359</v>
      </c>
    </row>
    <row r="45" spans="1:3" x14ac:dyDescent="0.35">
      <c r="A45" t="s">
        <v>9</v>
      </c>
      <c r="C45" t="s">
        <v>361</v>
      </c>
    </row>
    <row r="46" spans="1:3" x14ac:dyDescent="0.35">
      <c r="A46" t="s">
        <v>272</v>
      </c>
      <c r="C46" t="s">
        <v>272</v>
      </c>
    </row>
    <row r="47" spans="1:3" x14ac:dyDescent="0.35">
      <c r="A47" t="s">
        <v>325</v>
      </c>
    </row>
    <row r="48" spans="1:3" x14ac:dyDescent="0.35">
      <c r="A48" t="s">
        <v>329</v>
      </c>
      <c r="C48" t="s">
        <v>362</v>
      </c>
    </row>
    <row r="49" spans="1:3" x14ac:dyDescent="0.35">
      <c r="A49" t="s">
        <v>340</v>
      </c>
      <c r="B49" t="s">
        <v>368</v>
      </c>
      <c r="C49" t="s">
        <v>363</v>
      </c>
    </row>
    <row r="50" spans="1:3" x14ac:dyDescent="0.35">
      <c r="A50" t="s">
        <v>341</v>
      </c>
      <c r="C50" t="s">
        <v>364</v>
      </c>
    </row>
    <row r="51" spans="1:3" x14ac:dyDescent="0.35">
      <c r="A51" t="s">
        <v>342</v>
      </c>
      <c r="B51" t="s">
        <v>370</v>
      </c>
      <c r="C51" t="s">
        <v>365</v>
      </c>
    </row>
    <row r="52" spans="1:3" x14ac:dyDescent="0.35">
      <c r="A52" t="s">
        <v>343</v>
      </c>
      <c r="C52" t="s">
        <v>364</v>
      </c>
    </row>
    <row r="53" spans="1:3" x14ac:dyDescent="0.35">
      <c r="A53" t="s">
        <v>344</v>
      </c>
      <c r="C53" t="s">
        <v>364</v>
      </c>
    </row>
    <row r="54" spans="1:3" x14ac:dyDescent="0.35">
      <c r="A54" t="s">
        <v>345</v>
      </c>
      <c r="B54" t="s">
        <v>369</v>
      </c>
      <c r="C54" t="s">
        <v>366</v>
      </c>
    </row>
    <row r="55" spans="1:3" x14ac:dyDescent="0.35">
      <c r="A55" t="s">
        <v>346</v>
      </c>
      <c r="B55" t="s">
        <v>372</v>
      </c>
      <c r="C55" t="s">
        <v>364</v>
      </c>
    </row>
    <row r="56" spans="1:3" x14ac:dyDescent="0.35">
      <c r="A56" t="s">
        <v>347</v>
      </c>
      <c r="B56" t="s">
        <v>371</v>
      </c>
      <c r="C56" t="s">
        <v>367</v>
      </c>
    </row>
    <row r="57" spans="1:3" x14ac:dyDescent="0.35">
      <c r="A57" t="s">
        <v>349</v>
      </c>
      <c r="C57" t="s">
        <v>373</v>
      </c>
    </row>
    <row r="58" spans="1:3" x14ac:dyDescent="0.35">
      <c r="A58" t="s">
        <v>348</v>
      </c>
      <c r="C58" t="s">
        <v>374</v>
      </c>
    </row>
    <row r="59" spans="1:3" x14ac:dyDescent="0.35">
      <c r="A59" s="5" t="s">
        <v>389</v>
      </c>
    </row>
    <row r="60" spans="1:3" x14ac:dyDescent="0.35">
      <c r="A60" t="s">
        <v>390</v>
      </c>
      <c r="B60" t="s">
        <v>391</v>
      </c>
    </row>
  </sheetData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6979-490B-4802-8ACD-093351B5B83E}">
  <sheetPr>
    <tabColor rgb="FF00B050"/>
  </sheetPr>
  <dimension ref="A1:AI933"/>
  <sheetViews>
    <sheetView zoomScale="44" zoomScaleNormal="55" workbookViewId="0">
      <selection activeCell="X48" sqref="X48"/>
    </sheetView>
  </sheetViews>
  <sheetFormatPr defaultRowHeight="14.5" x14ac:dyDescent="0.35"/>
  <cols>
    <col min="1" max="1" width="25.54296875" customWidth="1"/>
    <col min="2" max="2" width="19.1796875" customWidth="1"/>
    <col min="6" max="6" width="14.26953125" customWidth="1"/>
    <col min="9" max="9" width="27.26953125" customWidth="1"/>
    <col min="10" max="10" width="30.1796875" customWidth="1"/>
    <col min="11" max="11" width="20.26953125" bestFit="1" customWidth="1"/>
    <col min="12" max="12" width="20.1796875" bestFit="1" customWidth="1"/>
    <col min="13" max="13" width="26" bestFit="1" customWidth="1"/>
    <col min="14" max="14" width="11" bestFit="1" customWidth="1"/>
    <col min="15" max="15" width="8" bestFit="1" customWidth="1"/>
    <col min="16" max="16" width="19.54296875" bestFit="1" customWidth="1"/>
    <col min="17" max="17" width="30.54296875" bestFit="1" customWidth="1"/>
    <col min="18" max="18" width="15.54296875" bestFit="1" customWidth="1"/>
    <col min="19" max="19" width="17.81640625" customWidth="1"/>
    <col min="20" max="20" width="20.54296875" bestFit="1" customWidth="1"/>
    <col min="21" max="21" width="10.81640625" bestFit="1" customWidth="1"/>
    <col min="22" max="22" width="12" customWidth="1"/>
    <col min="23" max="23" width="13.1796875" customWidth="1"/>
    <col min="24" max="24" width="15.1796875" customWidth="1"/>
    <col min="25" max="25" width="14.54296875" customWidth="1"/>
    <col min="26" max="27" width="14.1796875" customWidth="1"/>
    <col min="28" max="28" width="11.7265625" customWidth="1"/>
    <col min="29" max="29" width="8.7265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325</v>
      </c>
      <c r="K1" t="s">
        <v>329</v>
      </c>
      <c r="L1" t="s">
        <v>9</v>
      </c>
      <c r="M1" t="s">
        <v>10</v>
      </c>
      <c r="N1" t="s">
        <v>11</v>
      </c>
      <c r="O1" t="s">
        <v>118</v>
      </c>
      <c r="P1" t="s">
        <v>12</v>
      </c>
      <c r="Q1" t="s">
        <v>13</v>
      </c>
      <c r="R1" t="s">
        <v>14</v>
      </c>
      <c r="S1" t="s">
        <v>228</v>
      </c>
      <c r="T1" t="s">
        <v>231</v>
      </c>
      <c r="U1" t="s">
        <v>270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227</v>
      </c>
      <c r="AB1" t="s">
        <v>22</v>
      </c>
      <c r="AC1" t="s">
        <v>263</v>
      </c>
      <c r="AD1" t="s">
        <v>175</v>
      </c>
      <c r="AE1" s="7" t="s">
        <v>176</v>
      </c>
      <c r="AF1" t="s">
        <v>189</v>
      </c>
      <c r="AG1" t="s">
        <v>190</v>
      </c>
      <c r="AH1" t="s">
        <v>191</v>
      </c>
      <c r="AI1" t="s">
        <v>264</v>
      </c>
    </row>
    <row r="2" spans="1:35" x14ac:dyDescent="0.35">
      <c r="A2" t="s">
        <v>23</v>
      </c>
      <c r="B2" t="s">
        <v>24</v>
      </c>
      <c r="C2" t="s">
        <v>25</v>
      </c>
      <c r="D2" t="s">
        <v>26</v>
      </c>
      <c r="E2" t="s">
        <v>312</v>
      </c>
      <c r="F2" t="s">
        <v>313</v>
      </c>
      <c r="G2" t="s">
        <v>27</v>
      </c>
      <c r="H2" t="s">
        <v>28</v>
      </c>
      <c r="I2" t="str">
        <f t="shared" ref="I2:I9" si="0">G2&amp;" "&amp;H2</f>
        <v>Cylindralcides bubo</v>
      </c>
      <c r="J2" t="s">
        <v>326</v>
      </c>
      <c r="K2" t="s">
        <v>330</v>
      </c>
      <c r="L2" t="s">
        <v>29</v>
      </c>
      <c r="M2" t="s">
        <v>29</v>
      </c>
      <c r="N2">
        <v>1</v>
      </c>
      <c r="O2" t="s">
        <v>119</v>
      </c>
      <c r="P2" t="s">
        <v>30</v>
      </c>
      <c r="Q2" s="1">
        <v>44714</v>
      </c>
      <c r="U2" t="s">
        <v>225</v>
      </c>
      <c r="V2">
        <v>1</v>
      </c>
      <c r="W2">
        <v>0</v>
      </c>
      <c r="X2">
        <v>0</v>
      </c>
      <c r="Y2">
        <v>0</v>
      </c>
      <c r="AA2">
        <v>2</v>
      </c>
      <c r="AB2">
        <v>2.0299999999999998</v>
      </c>
    </row>
    <row r="3" spans="1:35" x14ac:dyDescent="0.35">
      <c r="A3" t="s">
        <v>23</v>
      </c>
      <c r="B3" t="s">
        <v>24</v>
      </c>
      <c r="C3" t="s">
        <v>33</v>
      </c>
      <c r="D3" t="s">
        <v>34</v>
      </c>
      <c r="E3" t="s">
        <v>309</v>
      </c>
      <c r="F3" t="s">
        <v>308</v>
      </c>
      <c r="G3" s="20" t="s">
        <v>35</v>
      </c>
      <c r="H3" t="s">
        <v>7</v>
      </c>
      <c r="I3" t="str">
        <f t="shared" si="0"/>
        <v>Amegilla species</v>
      </c>
      <c r="J3" t="s">
        <v>237</v>
      </c>
      <c r="K3" t="s">
        <v>331</v>
      </c>
      <c r="L3" t="s">
        <v>36</v>
      </c>
      <c r="M3" t="s">
        <v>36</v>
      </c>
      <c r="N3">
        <v>2</v>
      </c>
      <c r="O3" t="s">
        <v>119</v>
      </c>
      <c r="P3" t="s">
        <v>37</v>
      </c>
      <c r="Q3" s="1">
        <v>44742</v>
      </c>
      <c r="U3" t="s">
        <v>225</v>
      </c>
      <c r="V3">
        <v>1</v>
      </c>
      <c r="W3">
        <v>1</v>
      </c>
      <c r="X3">
        <v>1232</v>
      </c>
      <c r="Y3">
        <v>184</v>
      </c>
      <c r="Z3">
        <f t="shared" ref="Z3:Z9" si="1">(X3-Y3)/X3</f>
        <v>0.85064935064935066</v>
      </c>
      <c r="AA3">
        <v>1</v>
      </c>
      <c r="AB3">
        <v>4.72</v>
      </c>
    </row>
    <row r="4" spans="1:35" x14ac:dyDescent="0.35">
      <c r="A4" t="s">
        <v>23</v>
      </c>
      <c r="B4" t="s">
        <v>24</v>
      </c>
      <c r="C4" t="s">
        <v>33</v>
      </c>
      <c r="D4" t="s">
        <v>34</v>
      </c>
      <c r="E4" t="s">
        <v>309</v>
      </c>
      <c r="F4" t="s">
        <v>310</v>
      </c>
      <c r="G4" s="20" t="s">
        <v>38</v>
      </c>
      <c r="H4" s="20" t="s">
        <v>39</v>
      </c>
      <c r="I4" t="str">
        <f t="shared" si="0"/>
        <v>Apis mellifera</v>
      </c>
      <c r="J4" t="s">
        <v>70</v>
      </c>
      <c r="K4" t="s">
        <v>332</v>
      </c>
      <c r="L4" t="s">
        <v>40</v>
      </c>
      <c r="M4" t="s">
        <v>40</v>
      </c>
      <c r="N4">
        <v>3</v>
      </c>
      <c r="O4" t="s">
        <v>119</v>
      </c>
      <c r="P4" t="s">
        <v>41</v>
      </c>
      <c r="Q4" s="1">
        <v>44707</v>
      </c>
      <c r="U4" t="s">
        <v>225</v>
      </c>
      <c r="V4">
        <v>1</v>
      </c>
      <c r="W4">
        <v>1</v>
      </c>
      <c r="X4">
        <v>1493</v>
      </c>
      <c r="Y4">
        <v>0</v>
      </c>
      <c r="Z4">
        <f t="shared" si="1"/>
        <v>1</v>
      </c>
      <c r="AA4">
        <v>1</v>
      </c>
      <c r="AB4">
        <v>0.48</v>
      </c>
    </row>
    <row r="5" spans="1:35" x14ac:dyDescent="0.35">
      <c r="A5" t="s">
        <v>23</v>
      </c>
      <c r="B5" t="s">
        <v>24</v>
      </c>
      <c r="C5" t="s">
        <v>33</v>
      </c>
      <c r="D5" t="s">
        <v>34</v>
      </c>
      <c r="E5" t="s">
        <v>309</v>
      </c>
      <c r="F5" t="s">
        <v>310</v>
      </c>
      <c r="G5" s="20" t="s">
        <v>38</v>
      </c>
      <c r="H5" s="20" t="s">
        <v>39</v>
      </c>
      <c r="I5" t="str">
        <f t="shared" si="0"/>
        <v>Apis mellifera</v>
      </c>
      <c r="J5" t="s">
        <v>70</v>
      </c>
      <c r="K5" t="s">
        <v>332</v>
      </c>
      <c r="L5" t="s">
        <v>40</v>
      </c>
      <c r="M5" t="s">
        <v>40</v>
      </c>
      <c r="N5">
        <v>4</v>
      </c>
      <c r="O5" t="s">
        <v>119</v>
      </c>
      <c r="P5" t="s">
        <v>41</v>
      </c>
      <c r="Q5" s="1">
        <v>44707</v>
      </c>
      <c r="U5" t="s">
        <v>225</v>
      </c>
      <c r="V5">
        <v>1</v>
      </c>
      <c r="W5">
        <v>1</v>
      </c>
      <c r="X5">
        <v>2757</v>
      </c>
      <c r="Y5">
        <v>0</v>
      </c>
      <c r="Z5">
        <f t="shared" si="1"/>
        <v>1</v>
      </c>
      <c r="AA5">
        <v>1</v>
      </c>
      <c r="AB5">
        <v>3.41</v>
      </c>
    </row>
    <row r="6" spans="1:35" x14ac:dyDescent="0.35">
      <c r="A6" t="s">
        <v>23</v>
      </c>
      <c r="B6" t="s">
        <v>24</v>
      </c>
      <c r="C6" t="s">
        <v>33</v>
      </c>
      <c r="D6" t="s">
        <v>34</v>
      </c>
      <c r="E6" t="s">
        <v>309</v>
      </c>
      <c r="F6" t="s">
        <v>310</v>
      </c>
      <c r="G6" s="20" t="s">
        <v>38</v>
      </c>
      <c r="H6" s="20" t="s">
        <v>39</v>
      </c>
      <c r="I6" t="str">
        <f t="shared" si="0"/>
        <v>Apis mellifera</v>
      </c>
      <c r="J6" t="s">
        <v>70</v>
      </c>
      <c r="K6" t="s">
        <v>332</v>
      </c>
      <c r="L6" t="s">
        <v>40</v>
      </c>
      <c r="M6" t="s">
        <v>40</v>
      </c>
      <c r="N6">
        <v>5</v>
      </c>
      <c r="O6" t="s">
        <v>119</v>
      </c>
      <c r="P6" t="s">
        <v>41</v>
      </c>
      <c r="Q6" s="1">
        <v>44707</v>
      </c>
      <c r="U6" t="s">
        <v>225</v>
      </c>
      <c r="V6">
        <v>1</v>
      </c>
      <c r="W6">
        <v>1</v>
      </c>
      <c r="X6">
        <v>2315</v>
      </c>
      <c r="Y6">
        <v>0</v>
      </c>
      <c r="Z6">
        <f t="shared" si="1"/>
        <v>1</v>
      </c>
      <c r="AA6">
        <v>1</v>
      </c>
      <c r="AB6">
        <v>3.72</v>
      </c>
    </row>
    <row r="7" spans="1:35" x14ac:dyDescent="0.35">
      <c r="A7" t="s">
        <v>23</v>
      </c>
      <c r="B7" t="s">
        <v>24</v>
      </c>
      <c r="C7" t="s">
        <v>33</v>
      </c>
      <c r="D7" t="s">
        <v>34</v>
      </c>
      <c r="E7" t="s">
        <v>309</v>
      </c>
      <c r="F7" t="s">
        <v>310</v>
      </c>
      <c r="G7" s="20" t="s">
        <v>38</v>
      </c>
      <c r="H7" s="20" t="s">
        <v>39</v>
      </c>
      <c r="I7" t="str">
        <f t="shared" si="0"/>
        <v>Apis mellifera</v>
      </c>
      <c r="J7" t="s">
        <v>70</v>
      </c>
      <c r="K7" t="s">
        <v>332</v>
      </c>
      <c r="L7" t="s">
        <v>40</v>
      </c>
      <c r="M7" t="s">
        <v>40</v>
      </c>
      <c r="N7">
        <v>6</v>
      </c>
      <c r="O7" t="s">
        <v>119</v>
      </c>
      <c r="P7" t="s">
        <v>30</v>
      </c>
      <c r="Q7" s="1">
        <v>44714</v>
      </c>
      <c r="U7" t="s">
        <v>225</v>
      </c>
      <c r="V7">
        <v>1</v>
      </c>
      <c r="W7">
        <v>1</v>
      </c>
      <c r="X7">
        <v>542</v>
      </c>
      <c r="Y7">
        <v>0</v>
      </c>
      <c r="Z7">
        <f t="shared" si="1"/>
        <v>1</v>
      </c>
      <c r="AA7">
        <v>1</v>
      </c>
      <c r="AB7">
        <v>3.95</v>
      </c>
    </row>
    <row r="8" spans="1:35" x14ac:dyDescent="0.35">
      <c r="A8" t="s">
        <v>23</v>
      </c>
      <c r="B8" t="s">
        <v>24</v>
      </c>
      <c r="C8" t="s">
        <v>33</v>
      </c>
      <c r="D8" t="s">
        <v>34</v>
      </c>
      <c r="E8" t="s">
        <v>309</v>
      </c>
      <c r="F8" t="s">
        <v>310</v>
      </c>
      <c r="G8" s="20" t="s">
        <v>38</v>
      </c>
      <c r="H8" s="20" t="s">
        <v>39</v>
      </c>
      <c r="I8" t="str">
        <f t="shared" si="0"/>
        <v>Apis mellifera</v>
      </c>
      <c r="J8" t="s">
        <v>70</v>
      </c>
      <c r="K8" t="s">
        <v>332</v>
      </c>
      <c r="L8" t="s">
        <v>40</v>
      </c>
      <c r="M8" t="s">
        <v>40</v>
      </c>
      <c r="N8">
        <v>7</v>
      </c>
      <c r="O8" t="s">
        <v>119</v>
      </c>
      <c r="P8" t="s">
        <v>41</v>
      </c>
      <c r="Q8" s="1">
        <v>44707</v>
      </c>
      <c r="U8" t="s">
        <v>225</v>
      </c>
      <c r="V8">
        <v>1</v>
      </c>
      <c r="W8">
        <v>1</v>
      </c>
      <c r="X8">
        <v>2243</v>
      </c>
      <c r="Y8">
        <v>0</v>
      </c>
      <c r="Z8">
        <f t="shared" si="1"/>
        <v>1</v>
      </c>
      <c r="AA8">
        <v>1</v>
      </c>
      <c r="AB8">
        <v>4.03</v>
      </c>
    </row>
    <row r="9" spans="1:35" x14ac:dyDescent="0.35">
      <c r="A9" t="s">
        <v>23</v>
      </c>
      <c r="B9" t="s">
        <v>24</v>
      </c>
      <c r="C9" t="s">
        <v>33</v>
      </c>
      <c r="D9" t="s">
        <v>34</v>
      </c>
      <c r="E9" t="s">
        <v>309</v>
      </c>
      <c r="F9" t="s">
        <v>310</v>
      </c>
      <c r="G9" s="20" t="s">
        <v>38</v>
      </c>
      <c r="H9" s="20" t="s">
        <v>39</v>
      </c>
      <c r="I9" t="str">
        <f t="shared" si="0"/>
        <v>Apis mellifera</v>
      </c>
      <c r="J9" t="s">
        <v>70</v>
      </c>
      <c r="K9" t="s">
        <v>332</v>
      </c>
      <c r="L9" t="s">
        <v>40</v>
      </c>
      <c r="M9" t="s">
        <v>40</v>
      </c>
      <c r="N9">
        <v>8</v>
      </c>
      <c r="O9" t="s">
        <v>119</v>
      </c>
      <c r="P9" t="s">
        <v>32</v>
      </c>
      <c r="Q9">
        <v>2022</v>
      </c>
      <c r="U9" t="s">
        <v>225</v>
      </c>
      <c r="V9">
        <v>1</v>
      </c>
      <c r="W9">
        <v>1</v>
      </c>
      <c r="X9">
        <v>611</v>
      </c>
      <c r="Y9">
        <v>31</v>
      </c>
      <c r="Z9">
        <f t="shared" si="1"/>
        <v>0.9492635024549918</v>
      </c>
      <c r="AA9">
        <v>1</v>
      </c>
      <c r="AB9">
        <v>4.12</v>
      </c>
    </row>
    <row r="10" spans="1:35" x14ac:dyDescent="0.35">
      <c r="A10" t="s">
        <v>23</v>
      </c>
      <c r="B10" t="s">
        <v>24</v>
      </c>
      <c r="C10" t="s">
        <v>33</v>
      </c>
      <c r="D10" t="s">
        <v>49</v>
      </c>
      <c r="I10" t="s">
        <v>49</v>
      </c>
      <c r="J10" t="s">
        <v>326</v>
      </c>
      <c r="K10" t="s">
        <v>330</v>
      </c>
      <c r="L10" t="s">
        <v>50</v>
      </c>
      <c r="M10" t="s">
        <v>51</v>
      </c>
      <c r="N10">
        <v>33</v>
      </c>
      <c r="O10" t="s">
        <v>119</v>
      </c>
      <c r="P10" t="s">
        <v>37</v>
      </c>
      <c r="Q10" s="1">
        <v>44697</v>
      </c>
      <c r="U10" t="s">
        <v>225</v>
      </c>
      <c r="V10">
        <v>1</v>
      </c>
      <c r="W10">
        <v>1</v>
      </c>
      <c r="X10">
        <v>0</v>
      </c>
      <c r="Y10">
        <v>0</v>
      </c>
      <c r="AA10">
        <v>1</v>
      </c>
      <c r="AB10">
        <v>1.67</v>
      </c>
    </row>
    <row r="11" spans="1:35" x14ac:dyDescent="0.35">
      <c r="A11" t="s">
        <v>23</v>
      </c>
      <c r="B11" t="s">
        <v>24</v>
      </c>
      <c r="C11" t="s">
        <v>33</v>
      </c>
      <c r="D11" t="s">
        <v>65</v>
      </c>
      <c r="E11" t="s">
        <v>62</v>
      </c>
      <c r="F11" t="s">
        <v>316</v>
      </c>
      <c r="G11" t="s">
        <v>66</v>
      </c>
      <c r="H11" t="s">
        <v>7</v>
      </c>
      <c r="I11" t="str">
        <f t="shared" ref="I11:I50" si="2">G11&amp;" "&amp;H11</f>
        <v>Homalictus species</v>
      </c>
      <c r="J11" t="s">
        <v>65</v>
      </c>
      <c r="K11" t="s">
        <v>333</v>
      </c>
      <c r="L11" t="s">
        <v>196</v>
      </c>
      <c r="M11" t="s">
        <v>67</v>
      </c>
      <c r="N11">
        <v>46</v>
      </c>
      <c r="O11" t="s">
        <v>119</v>
      </c>
      <c r="P11" t="s">
        <v>48</v>
      </c>
      <c r="Q11" s="1">
        <v>43997</v>
      </c>
      <c r="U11" t="s">
        <v>225</v>
      </c>
      <c r="V11">
        <v>1</v>
      </c>
      <c r="W11">
        <v>1</v>
      </c>
      <c r="AA11">
        <v>1</v>
      </c>
      <c r="AB11">
        <v>1.1499999999999999</v>
      </c>
    </row>
    <row r="12" spans="1:35" x14ac:dyDescent="0.35">
      <c r="A12" t="s">
        <v>23</v>
      </c>
      <c r="B12" t="s">
        <v>24</v>
      </c>
      <c r="C12" t="s">
        <v>33</v>
      </c>
      <c r="D12" t="s">
        <v>65</v>
      </c>
      <c r="E12" t="s">
        <v>62</v>
      </c>
      <c r="F12" t="s">
        <v>316</v>
      </c>
      <c r="G12" t="s">
        <v>66</v>
      </c>
      <c r="H12" t="s">
        <v>7</v>
      </c>
      <c r="I12" t="str">
        <f t="shared" si="2"/>
        <v>Homalictus species</v>
      </c>
      <c r="J12" t="s">
        <v>65</v>
      </c>
      <c r="K12" t="s">
        <v>333</v>
      </c>
      <c r="L12" t="s">
        <v>196</v>
      </c>
      <c r="M12" t="s">
        <v>67</v>
      </c>
      <c r="N12">
        <v>47</v>
      </c>
      <c r="O12" t="s">
        <v>119</v>
      </c>
      <c r="P12" t="s">
        <v>48</v>
      </c>
      <c r="Q12" s="1">
        <v>43997</v>
      </c>
      <c r="U12" t="s">
        <v>225</v>
      </c>
      <c r="V12">
        <v>1</v>
      </c>
      <c r="W12">
        <v>1</v>
      </c>
      <c r="AA12">
        <v>1</v>
      </c>
      <c r="AB12">
        <v>1.6</v>
      </c>
    </row>
    <row r="13" spans="1:35" x14ac:dyDescent="0.35">
      <c r="A13" t="s">
        <v>23</v>
      </c>
      <c r="B13" t="s">
        <v>24</v>
      </c>
      <c r="C13" t="s">
        <v>33</v>
      </c>
      <c r="D13" t="s">
        <v>65</v>
      </c>
      <c r="E13" t="s">
        <v>62</v>
      </c>
      <c r="F13" t="s">
        <v>316</v>
      </c>
      <c r="G13" t="s">
        <v>66</v>
      </c>
      <c r="H13" t="s">
        <v>7</v>
      </c>
      <c r="I13" t="str">
        <f t="shared" si="2"/>
        <v>Homalictus species</v>
      </c>
      <c r="J13" t="s">
        <v>65</v>
      </c>
      <c r="K13" t="s">
        <v>333</v>
      </c>
      <c r="L13" t="s">
        <v>196</v>
      </c>
      <c r="M13" t="s">
        <v>67</v>
      </c>
      <c r="N13">
        <v>48</v>
      </c>
      <c r="O13" t="s">
        <v>119</v>
      </c>
      <c r="P13" t="s">
        <v>48</v>
      </c>
      <c r="Q13" s="1">
        <v>43997</v>
      </c>
      <c r="U13" t="s">
        <v>225</v>
      </c>
      <c r="V13">
        <v>1</v>
      </c>
      <c r="W13">
        <v>1</v>
      </c>
      <c r="X13">
        <v>12532</v>
      </c>
      <c r="Y13">
        <v>3</v>
      </c>
      <c r="Z13">
        <f>(X13-Y13)/X13</f>
        <v>0.99976061283115225</v>
      </c>
      <c r="AA13">
        <v>1</v>
      </c>
      <c r="AB13">
        <v>1.68</v>
      </c>
    </row>
    <row r="14" spans="1:35" x14ac:dyDescent="0.35">
      <c r="A14" t="s">
        <v>23</v>
      </c>
      <c r="B14" t="s">
        <v>24</v>
      </c>
      <c r="C14" t="s">
        <v>33</v>
      </c>
      <c r="D14" t="s">
        <v>65</v>
      </c>
      <c r="E14" t="s">
        <v>62</v>
      </c>
      <c r="F14" t="s">
        <v>316</v>
      </c>
      <c r="G14" t="s">
        <v>66</v>
      </c>
      <c r="H14" t="s">
        <v>7</v>
      </c>
      <c r="I14" t="str">
        <f t="shared" si="2"/>
        <v>Homalictus species</v>
      </c>
      <c r="J14" t="s">
        <v>65</v>
      </c>
      <c r="K14" t="s">
        <v>333</v>
      </c>
      <c r="L14" t="s">
        <v>196</v>
      </c>
      <c r="M14" t="s">
        <v>67</v>
      </c>
      <c r="N14">
        <v>49</v>
      </c>
      <c r="O14" t="s">
        <v>119</v>
      </c>
      <c r="P14" t="s">
        <v>48</v>
      </c>
      <c r="Q14" s="1">
        <v>43997</v>
      </c>
      <c r="U14" t="s">
        <v>225</v>
      </c>
      <c r="V14">
        <v>1</v>
      </c>
      <c r="W14">
        <v>1</v>
      </c>
      <c r="X14">
        <v>619</v>
      </c>
      <c r="Y14">
        <v>9349</v>
      </c>
      <c r="Z14">
        <f>(X14-Y14)/X14</f>
        <v>-14.103392568659128</v>
      </c>
      <c r="AA14">
        <v>2</v>
      </c>
      <c r="AB14">
        <v>1.88</v>
      </c>
    </row>
    <row r="15" spans="1:35" x14ac:dyDescent="0.35">
      <c r="A15" t="s">
        <v>23</v>
      </c>
      <c r="B15" t="s">
        <v>24</v>
      </c>
      <c r="C15" t="s">
        <v>33</v>
      </c>
      <c r="D15" t="s">
        <v>65</v>
      </c>
      <c r="E15" t="s">
        <v>58</v>
      </c>
      <c r="G15" s="20" t="s">
        <v>307</v>
      </c>
      <c r="H15" t="s">
        <v>7</v>
      </c>
      <c r="I15" t="str">
        <f t="shared" si="2"/>
        <v>Lipotriches species</v>
      </c>
      <c r="J15" t="s">
        <v>65</v>
      </c>
      <c r="K15" t="s">
        <v>333</v>
      </c>
      <c r="L15" t="s">
        <v>196</v>
      </c>
      <c r="M15" t="s">
        <v>59</v>
      </c>
      <c r="N15">
        <v>36</v>
      </c>
      <c r="O15" t="s">
        <v>119</v>
      </c>
      <c r="P15" t="s">
        <v>37</v>
      </c>
      <c r="Q15" s="1">
        <v>44727</v>
      </c>
      <c r="U15" t="s">
        <v>225</v>
      </c>
      <c r="V15">
        <v>1</v>
      </c>
      <c r="W15">
        <v>1</v>
      </c>
      <c r="X15">
        <v>5918</v>
      </c>
      <c r="Y15">
        <v>0</v>
      </c>
      <c r="Z15">
        <f>(X15-Y15)/X15</f>
        <v>1</v>
      </c>
      <c r="AA15">
        <v>1</v>
      </c>
      <c r="AB15">
        <v>3.24</v>
      </c>
    </row>
    <row r="16" spans="1:35" x14ac:dyDescent="0.35">
      <c r="A16" t="s">
        <v>23</v>
      </c>
      <c r="B16" t="s">
        <v>24</v>
      </c>
      <c r="C16" t="s">
        <v>33</v>
      </c>
      <c r="D16" t="s">
        <v>65</v>
      </c>
      <c r="E16" t="s">
        <v>58</v>
      </c>
      <c r="G16" s="20" t="s">
        <v>60</v>
      </c>
      <c r="H16" t="s">
        <v>7</v>
      </c>
      <c r="I16" t="str">
        <f t="shared" si="2"/>
        <v>Mellitidia species</v>
      </c>
      <c r="J16" t="s">
        <v>65</v>
      </c>
      <c r="K16" t="s">
        <v>333</v>
      </c>
      <c r="L16" t="s">
        <v>196</v>
      </c>
      <c r="M16" t="s">
        <v>61</v>
      </c>
      <c r="N16">
        <v>37</v>
      </c>
      <c r="O16" t="s">
        <v>119</v>
      </c>
      <c r="P16" t="s">
        <v>56</v>
      </c>
      <c r="Q16" s="1">
        <v>44725</v>
      </c>
      <c r="U16" t="s">
        <v>225</v>
      </c>
      <c r="V16">
        <v>1</v>
      </c>
      <c r="W16">
        <v>1</v>
      </c>
      <c r="X16">
        <v>3625</v>
      </c>
      <c r="Y16">
        <v>0</v>
      </c>
      <c r="Z16">
        <f>(X16-Y16)/X16</f>
        <v>1</v>
      </c>
      <c r="AA16">
        <v>2</v>
      </c>
      <c r="AB16">
        <v>2.15</v>
      </c>
    </row>
    <row r="17" spans="1:28" x14ac:dyDescent="0.35">
      <c r="A17" t="s">
        <v>23</v>
      </c>
      <c r="B17" t="s">
        <v>24</v>
      </c>
      <c r="C17" t="s">
        <v>33</v>
      </c>
      <c r="D17" t="s">
        <v>65</v>
      </c>
      <c r="E17" t="s">
        <v>58</v>
      </c>
      <c r="G17" s="20" t="s">
        <v>60</v>
      </c>
      <c r="H17" t="s">
        <v>7</v>
      </c>
      <c r="I17" t="str">
        <f t="shared" si="2"/>
        <v>Mellitidia species</v>
      </c>
      <c r="J17" t="s">
        <v>65</v>
      </c>
      <c r="K17" t="s">
        <v>333</v>
      </c>
      <c r="L17" t="s">
        <v>196</v>
      </c>
      <c r="M17" t="s">
        <v>61</v>
      </c>
      <c r="N17">
        <v>38</v>
      </c>
      <c r="O17" t="s">
        <v>119</v>
      </c>
      <c r="P17" t="s">
        <v>56</v>
      </c>
      <c r="Q17" s="1">
        <v>44725</v>
      </c>
      <c r="U17" t="s">
        <v>225</v>
      </c>
      <c r="V17">
        <v>1</v>
      </c>
      <c r="W17">
        <v>1</v>
      </c>
      <c r="X17">
        <v>4021</v>
      </c>
      <c r="Y17">
        <v>20</v>
      </c>
      <c r="Z17">
        <f>(X17-Y17)/X17</f>
        <v>0.99502611290723697</v>
      </c>
      <c r="AA17">
        <v>2</v>
      </c>
      <c r="AB17">
        <v>2.58</v>
      </c>
    </row>
    <row r="18" spans="1:28" x14ac:dyDescent="0.35">
      <c r="A18" t="s">
        <v>23</v>
      </c>
      <c r="B18" t="s">
        <v>24</v>
      </c>
      <c r="C18" t="s">
        <v>33</v>
      </c>
      <c r="D18" t="s">
        <v>65</v>
      </c>
      <c r="E18" t="s">
        <v>58</v>
      </c>
      <c r="G18" s="20" t="s">
        <v>60</v>
      </c>
      <c r="H18" t="s">
        <v>7</v>
      </c>
      <c r="I18" t="str">
        <f t="shared" si="2"/>
        <v>Mellitidia species</v>
      </c>
      <c r="J18" t="s">
        <v>65</v>
      </c>
      <c r="K18" t="s">
        <v>333</v>
      </c>
      <c r="L18" t="s">
        <v>196</v>
      </c>
      <c r="M18" t="s">
        <v>61</v>
      </c>
      <c r="N18">
        <v>39</v>
      </c>
      <c r="O18" t="s">
        <v>119</v>
      </c>
      <c r="P18" t="s">
        <v>56</v>
      </c>
      <c r="Q18" s="2">
        <v>44743</v>
      </c>
      <c r="U18" t="s">
        <v>225</v>
      </c>
      <c r="V18">
        <v>1</v>
      </c>
      <c r="W18">
        <v>1</v>
      </c>
      <c r="X18">
        <v>321</v>
      </c>
      <c r="Y18">
        <v>0</v>
      </c>
      <c r="Z18">
        <f t="shared" ref="Z18:Z22" si="3">(X18-Y18)/X18</f>
        <v>1</v>
      </c>
      <c r="AA18">
        <v>1</v>
      </c>
      <c r="AB18">
        <v>2.74</v>
      </c>
    </row>
    <row r="19" spans="1:28" x14ac:dyDescent="0.35">
      <c r="A19" t="s">
        <v>23</v>
      </c>
      <c r="B19" t="s">
        <v>24</v>
      </c>
      <c r="C19" t="s">
        <v>33</v>
      </c>
      <c r="D19" t="s">
        <v>65</v>
      </c>
      <c r="E19" t="s">
        <v>58</v>
      </c>
      <c r="G19" s="20" t="s">
        <v>60</v>
      </c>
      <c r="H19" t="s">
        <v>7</v>
      </c>
      <c r="I19" t="str">
        <f t="shared" si="2"/>
        <v>Mellitidia species</v>
      </c>
      <c r="J19" t="s">
        <v>65</v>
      </c>
      <c r="K19" t="s">
        <v>333</v>
      </c>
      <c r="L19" t="s">
        <v>196</v>
      </c>
      <c r="M19" t="s">
        <v>61</v>
      </c>
      <c r="N19">
        <v>40</v>
      </c>
      <c r="O19" t="s">
        <v>119</v>
      </c>
      <c r="P19" t="s">
        <v>56</v>
      </c>
      <c r="Q19" s="1">
        <v>44735</v>
      </c>
      <c r="U19" t="s">
        <v>225</v>
      </c>
      <c r="V19">
        <v>1</v>
      </c>
      <c r="W19">
        <v>1</v>
      </c>
      <c r="X19">
        <v>12480</v>
      </c>
      <c r="Y19">
        <v>0</v>
      </c>
      <c r="Z19">
        <f>(X19-Y19)/X19</f>
        <v>1</v>
      </c>
      <c r="AA19">
        <v>1</v>
      </c>
      <c r="AB19">
        <v>2.85</v>
      </c>
    </row>
    <row r="20" spans="1:28" x14ac:dyDescent="0.35">
      <c r="A20" t="s">
        <v>23</v>
      </c>
      <c r="B20" t="s">
        <v>24</v>
      </c>
      <c r="C20" t="s">
        <v>33</v>
      </c>
      <c r="D20" t="s">
        <v>65</v>
      </c>
      <c r="E20" t="s">
        <v>58</v>
      </c>
      <c r="G20" s="20" t="s">
        <v>60</v>
      </c>
      <c r="H20" t="s">
        <v>7</v>
      </c>
      <c r="I20" t="str">
        <f t="shared" si="2"/>
        <v>Mellitidia species</v>
      </c>
      <c r="J20" t="s">
        <v>65</v>
      </c>
      <c r="K20" t="s">
        <v>333</v>
      </c>
      <c r="L20" t="s">
        <v>196</v>
      </c>
      <c r="M20" t="s">
        <v>61</v>
      </c>
      <c r="N20">
        <v>41</v>
      </c>
      <c r="O20" t="s">
        <v>119</v>
      </c>
      <c r="P20" t="s">
        <v>56</v>
      </c>
      <c r="Q20" s="1">
        <v>44735</v>
      </c>
      <c r="U20" t="s">
        <v>225</v>
      </c>
      <c r="V20">
        <v>1</v>
      </c>
      <c r="W20">
        <v>1</v>
      </c>
      <c r="X20">
        <v>14540</v>
      </c>
      <c r="Y20">
        <v>8</v>
      </c>
      <c r="Z20">
        <f t="shared" si="3"/>
        <v>0.99944979367262721</v>
      </c>
      <c r="AA20">
        <v>1</v>
      </c>
      <c r="AB20">
        <v>2.94</v>
      </c>
    </row>
    <row r="21" spans="1:28" x14ac:dyDescent="0.35">
      <c r="A21" t="s">
        <v>23</v>
      </c>
      <c r="B21" t="s">
        <v>24</v>
      </c>
      <c r="C21" t="s">
        <v>33</v>
      </c>
      <c r="D21" t="s">
        <v>65</v>
      </c>
      <c r="E21" t="s">
        <v>58</v>
      </c>
      <c r="G21" s="20" t="s">
        <v>60</v>
      </c>
      <c r="H21" t="s">
        <v>7</v>
      </c>
      <c r="I21" t="str">
        <f t="shared" si="2"/>
        <v>Mellitidia species</v>
      </c>
      <c r="J21" t="s">
        <v>65</v>
      </c>
      <c r="K21" t="s">
        <v>333</v>
      </c>
      <c r="L21" t="s">
        <v>196</v>
      </c>
      <c r="M21" t="s">
        <v>61</v>
      </c>
      <c r="N21">
        <v>42</v>
      </c>
      <c r="O21" t="s">
        <v>119</v>
      </c>
      <c r="P21" t="s">
        <v>56</v>
      </c>
      <c r="Q21" s="2">
        <v>44743</v>
      </c>
      <c r="U21" t="s">
        <v>225</v>
      </c>
      <c r="V21">
        <v>1</v>
      </c>
      <c r="W21">
        <v>1</v>
      </c>
      <c r="X21">
        <v>7270</v>
      </c>
      <c r="Y21">
        <v>0</v>
      </c>
      <c r="Z21">
        <f t="shared" si="3"/>
        <v>1</v>
      </c>
      <c r="AA21">
        <v>1</v>
      </c>
      <c r="AB21">
        <v>3.07</v>
      </c>
    </row>
    <row r="22" spans="1:28" x14ac:dyDescent="0.35">
      <c r="A22" t="s">
        <v>23</v>
      </c>
      <c r="B22" t="s">
        <v>24</v>
      </c>
      <c r="C22" t="s">
        <v>33</v>
      </c>
      <c r="D22" t="s">
        <v>52</v>
      </c>
      <c r="E22" t="s">
        <v>53</v>
      </c>
      <c r="G22" t="s">
        <v>54</v>
      </c>
      <c r="H22" t="s">
        <v>7</v>
      </c>
      <c r="I22" t="str">
        <f t="shared" si="2"/>
        <v>Palaeorhiza species</v>
      </c>
      <c r="J22" t="s">
        <v>249</v>
      </c>
      <c r="K22" t="s">
        <v>332</v>
      </c>
      <c r="L22" t="s">
        <v>268</v>
      </c>
      <c r="M22" t="s">
        <v>55</v>
      </c>
      <c r="N22">
        <v>34</v>
      </c>
      <c r="O22" t="s">
        <v>119</v>
      </c>
      <c r="P22" t="s">
        <v>56</v>
      </c>
      <c r="Q22" s="2">
        <v>44743</v>
      </c>
      <c r="U22" t="s">
        <v>225</v>
      </c>
      <c r="V22">
        <v>1</v>
      </c>
      <c r="W22">
        <v>1</v>
      </c>
      <c r="X22">
        <v>48</v>
      </c>
      <c r="Y22">
        <v>0</v>
      </c>
      <c r="Z22">
        <f t="shared" si="3"/>
        <v>1</v>
      </c>
      <c r="AA22">
        <v>2</v>
      </c>
      <c r="AB22">
        <v>2.42</v>
      </c>
    </row>
    <row r="23" spans="1:28" x14ac:dyDescent="0.35">
      <c r="A23" t="s">
        <v>23</v>
      </c>
      <c r="B23" t="s">
        <v>24</v>
      </c>
      <c r="C23" t="s">
        <v>33</v>
      </c>
      <c r="D23" t="s">
        <v>52</v>
      </c>
      <c r="E23" t="s">
        <v>53</v>
      </c>
      <c r="G23" t="s">
        <v>54</v>
      </c>
      <c r="H23" t="s">
        <v>7</v>
      </c>
      <c r="I23" t="str">
        <f t="shared" si="2"/>
        <v>Palaeorhiza species</v>
      </c>
      <c r="J23" t="s">
        <v>249</v>
      </c>
      <c r="K23" t="s">
        <v>332</v>
      </c>
      <c r="L23" t="s">
        <v>268</v>
      </c>
      <c r="M23" t="s">
        <v>55</v>
      </c>
      <c r="N23">
        <v>35</v>
      </c>
      <c r="O23" t="s">
        <v>119</v>
      </c>
      <c r="P23" t="s">
        <v>56</v>
      </c>
      <c r="Q23" s="2">
        <v>44743</v>
      </c>
      <c r="U23" t="s">
        <v>225</v>
      </c>
      <c r="V23">
        <v>1</v>
      </c>
      <c r="W23">
        <v>1</v>
      </c>
      <c r="X23">
        <v>0</v>
      </c>
      <c r="Y23">
        <v>0</v>
      </c>
      <c r="AA23">
        <v>2</v>
      </c>
      <c r="AB23">
        <v>2.4900000000000002</v>
      </c>
    </row>
    <row r="24" spans="1:28" x14ac:dyDescent="0.35">
      <c r="A24" t="s">
        <v>23</v>
      </c>
      <c r="B24" t="s">
        <v>24</v>
      </c>
      <c r="C24" t="s">
        <v>33</v>
      </c>
      <c r="D24" t="s">
        <v>65</v>
      </c>
      <c r="E24" t="s">
        <v>62</v>
      </c>
      <c r="F24" t="s">
        <v>316</v>
      </c>
      <c r="G24" s="20" t="s">
        <v>314</v>
      </c>
      <c r="H24" s="20" t="s">
        <v>63</v>
      </c>
      <c r="I24" t="str">
        <f t="shared" si="2"/>
        <v xml:space="preserve">Patellapis stirlingi </v>
      </c>
      <c r="J24" t="s">
        <v>65</v>
      </c>
      <c r="K24" t="s">
        <v>333</v>
      </c>
      <c r="L24" t="s">
        <v>65</v>
      </c>
      <c r="M24" t="s">
        <v>64</v>
      </c>
      <c r="N24">
        <v>43</v>
      </c>
      <c r="O24" t="s">
        <v>119</v>
      </c>
      <c r="P24" t="s">
        <v>30</v>
      </c>
      <c r="Q24" s="1">
        <v>44719</v>
      </c>
      <c r="U24" t="s">
        <v>225</v>
      </c>
      <c r="V24">
        <v>1</v>
      </c>
      <c r="W24">
        <v>1</v>
      </c>
      <c r="AA24">
        <v>2</v>
      </c>
      <c r="AB24">
        <v>1.93</v>
      </c>
    </row>
    <row r="25" spans="1:28" x14ac:dyDescent="0.35">
      <c r="A25" t="s">
        <v>23</v>
      </c>
      <c r="B25" t="s">
        <v>24</v>
      </c>
      <c r="C25" t="s">
        <v>33</v>
      </c>
      <c r="D25" t="s">
        <v>65</v>
      </c>
      <c r="E25" t="s">
        <v>62</v>
      </c>
      <c r="F25" t="s">
        <v>316</v>
      </c>
      <c r="G25" s="20" t="s">
        <v>314</v>
      </c>
      <c r="H25" s="20" t="s">
        <v>63</v>
      </c>
      <c r="I25" t="str">
        <f t="shared" si="2"/>
        <v xml:space="preserve">Patellapis stirlingi </v>
      </c>
      <c r="J25" t="s">
        <v>65</v>
      </c>
      <c r="K25" t="s">
        <v>333</v>
      </c>
      <c r="L25" t="s">
        <v>196</v>
      </c>
      <c r="M25" t="s">
        <v>64</v>
      </c>
      <c r="N25">
        <v>44</v>
      </c>
      <c r="O25" t="s">
        <v>119</v>
      </c>
      <c r="P25" t="s">
        <v>41</v>
      </c>
      <c r="Q25" s="1">
        <v>44707</v>
      </c>
      <c r="U25" t="s">
        <v>225</v>
      </c>
      <c r="V25">
        <v>1</v>
      </c>
      <c r="W25">
        <v>1</v>
      </c>
      <c r="X25">
        <v>2869</v>
      </c>
      <c r="Y25">
        <v>0</v>
      </c>
      <c r="Z25">
        <f>(X25-Y25)/X25</f>
        <v>1</v>
      </c>
      <c r="AA25">
        <v>2</v>
      </c>
      <c r="AB25">
        <v>2.35</v>
      </c>
    </row>
    <row r="26" spans="1:28" x14ac:dyDescent="0.35">
      <c r="A26" t="s">
        <v>23</v>
      </c>
      <c r="B26" t="s">
        <v>24</v>
      </c>
      <c r="C26" t="s">
        <v>33</v>
      </c>
      <c r="D26" t="s">
        <v>65</v>
      </c>
      <c r="E26" t="s">
        <v>62</v>
      </c>
      <c r="F26" t="s">
        <v>316</v>
      </c>
      <c r="G26" s="20" t="s">
        <v>314</v>
      </c>
      <c r="H26" s="20" t="s">
        <v>63</v>
      </c>
      <c r="I26" t="str">
        <f t="shared" si="2"/>
        <v xml:space="preserve">Patellapis stirlingi </v>
      </c>
      <c r="J26" t="s">
        <v>65</v>
      </c>
      <c r="K26" t="s">
        <v>333</v>
      </c>
      <c r="L26" t="s">
        <v>196</v>
      </c>
      <c r="M26" t="s">
        <v>64</v>
      </c>
      <c r="N26">
        <v>45</v>
      </c>
      <c r="O26" t="s">
        <v>119</v>
      </c>
      <c r="P26" t="s">
        <v>30</v>
      </c>
      <c r="Q26" s="1">
        <v>44714</v>
      </c>
      <c r="U26" t="s">
        <v>225</v>
      </c>
      <c r="V26">
        <v>1</v>
      </c>
      <c r="W26">
        <v>1</v>
      </c>
      <c r="X26">
        <v>13368</v>
      </c>
      <c r="Y26">
        <v>0</v>
      </c>
      <c r="Z26">
        <f>(X26-Y26)/X26</f>
        <v>1</v>
      </c>
      <c r="AA26">
        <v>2</v>
      </c>
      <c r="AB26">
        <v>2.4</v>
      </c>
    </row>
    <row r="27" spans="1:28" x14ac:dyDescent="0.35">
      <c r="A27" t="s">
        <v>23</v>
      </c>
      <c r="B27" t="s">
        <v>24</v>
      </c>
      <c r="C27" t="s">
        <v>33</v>
      </c>
      <c r="D27" t="s">
        <v>34</v>
      </c>
      <c r="E27" t="s">
        <v>309</v>
      </c>
      <c r="F27" t="s">
        <v>42</v>
      </c>
      <c r="G27" s="20" t="s">
        <v>43</v>
      </c>
      <c r="H27" t="s">
        <v>7</v>
      </c>
      <c r="I27" t="str">
        <f t="shared" si="2"/>
        <v>Tetragonula species</v>
      </c>
      <c r="J27" t="s">
        <v>42</v>
      </c>
      <c r="K27" t="s">
        <v>334</v>
      </c>
      <c r="L27" t="s">
        <v>44</v>
      </c>
      <c r="M27" t="s">
        <v>45</v>
      </c>
      <c r="N27">
        <v>9</v>
      </c>
      <c r="O27" t="s">
        <v>119</v>
      </c>
      <c r="P27" t="s">
        <v>30</v>
      </c>
      <c r="Q27" s="1">
        <v>44714</v>
      </c>
      <c r="U27" t="s">
        <v>225</v>
      </c>
      <c r="V27">
        <v>1</v>
      </c>
      <c r="W27">
        <v>1</v>
      </c>
      <c r="X27">
        <v>226</v>
      </c>
      <c r="Y27">
        <v>0</v>
      </c>
      <c r="Z27">
        <f>(X27-Y27)/X27</f>
        <v>1</v>
      </c>
      <c r="AA27">
        <v>1</v>
      </c>
      <c r="AB27">
        <v>1.65</v>
      </c>
    </row>
    <row r="28" spans="1:28" x14ac:dyDescent="0.35">
      <c r="A28" t="s">
        <v>23</v>
      </c>
      <c r="B28" t="s">
        <v>24</v>
      </c>
      <c r="C28" t="s">
        <v>33</v>
      </c>
      <c r="D28" t="s">
        <v>34</v>
      </c>
      <c r="E28" t="s">
        <v>309</v>
      </c>
      <c r="F28" t="s">
        <v>42</v>
      </c>
      <c r="G28" s="20" t="s">
        <v>43</v>
      </c>
      <c r="H28" t="s">
        <v>7</v>
      </c>
      <c r="I28" t="str">
        <f t="shared" si="2"/>
        <v>Tetragonula species</v>
      </c>
      <c r="J28" t="s">
        <v>42</v>
      </c>
      <c r="K28" t="s">
        <v>334</v>
      </c>
      <c r="L28" t="s">
        <v>44</v>
      </c>
      <c r="M28" t="s">
        <v>45</v>
      </c>
      <c r="N28">
        <v>10</v>
      </c>
      <c r="O28" t="s">
        <v>119</v>
      </c>
      <c r="P28" t="s">
        <v>30</v>
      </c>
      <c r="Q28" s="1">
        <v>44714</v>
      </c>
      <c r="U28" t="s">
        <v>225</v>
      </c>
      <c r="V28">
        <v>1</v>
      </c>
      <c r="W28">
        <v>0</v>
      </c>
      <c r="X28">
        <v>290</v>
      </c>
      <c r="Y28">
        <v>0</v>
      </c>
      <c r="Z28">
        <f>(X28-Y28)/X28</f>
        <v>1</v>
      </c>
      <c r="AA28">
        <v>1</v>
      </c>
      <c r="AB28">
        <v>1.19</v>
      </c>
    </row>
    <row r="29" spans="1:28" x14ac:dyDescent="0.35">
      <c r="A29" t="s">
        <v>23</v>
      </c>
      <c r="B29" t="s">
        <v>24</v>
      </c>
      <c r="C29" t="s">
        <v>33</v>
      </c>
      <c r="D29" t="s">
        <v>34</v>
      </c>
      <c r="E29" t="s">
        <v>309</v>
      </c>
      <c r="F29" t="s">
        <v>42</v>
      </c>
      <c r="G29" s="20" t="s">
        <v>43</v>
      </c>
      <c r="H29" t="s">
        <v>7</v>
      </c>
      <c r="I29" t="str">
        <f t="shared" si="2"/>
        <v>Tetragonula species</v>
      </c>
      <c r="J29" t="s">
        <v>42</v>
      </c>
      <c r="K29" t="s">
        <v>334</v>
      </c>
      <c r="L29" t="s">
        <v>44</v>
      </c>
      <c r="M29" t="s">
        <v>45</v>
      </c>
      <c r="N29">
        <v>11</v>
      </c>
      <c r="O29" t="s">
        <v>119</v>
      </c>
      <c r="P29" t="s">
        <v>41</v>
      </c>
      <c r="Q29" s="1">
        <v>44707</v>
      </c>
      <c r="U29" t="s">
        <v>225</v>
      </c>
      <c r="V29">
        <v>1</v>
      </c>
      <c r="W29">
        <v>0</v>
      </c>
      <c r="X29">
        <v>0</v>
      </c>
      <c r="Y29">
        <v>0</v>
      </c>
      <c r="AA29">
        <v>1</v>
      </c>
      <c r="AB29">
        <v>1.33</v>
      </c>
    </row>
    <row r="30" spans="1:28" x14ac:dyDescent="0.35">
      <c r="A30" t="s">
        <v>23</v>
      </c>
      <c r="B30" t="s">
        <v>24</v>
      </c>
      <c r="C30" t="s">
        <v>33</v>
      </c>
      <c r="D30" t="s">
        <v>34</v>
      </c>
      <c r="E30" t="s">
        <v>309</v>
      </c>
      <c r="F30" t="s">
        <v>42</v>
      </c>
      <c r="G30" s="20" t="s">
        <v>43</v>
      </c>
      <c r="H30" t="s">
        <v>7</v>
      </c>
      <c r="I30" t="str">
        <f t="shared" si="2"/>
        <v>Tetragonula species</v>
      </c>
      <c r="J30" t="s">
        <v>42</v>
      </c>
      <c r="K30" t="s">
        <v>334</v>
      </c>
      <c r="L30" t="s">
        <v>44</v>
      </c>
      <c r="M30" t="s">
        <v>45</v>
      </c>
      <c r="N30">
        <v>12</v>
      </c>
      <c r="O30" t="s">
        <v>119</v>
      </c>
      <c r="P30" t="s">
        <v>41</v>
      </c>
      <c r="Q30" s="1">
        <v>44707</v>
      </c>
      <c r="U30" t="s">
        <v>225</v>
      </c>
      <c r="V30">
        <v>1</v>
      </c>
      <c r="W30">
        <v>0</v>
      </c>
      <c r="X30">
        <v>5</v>
      </c>
      <c r="Y30">
        <v>0</v>
      </c>
      <c r="Z30">
        <f>(X30-Y30)/X30</f>
        <v>1</v>
      </c>
      <c r="AA30">
        <v>1</v>
      </c>
      <c r="AB30">
        <v>1.42</v>
      </c>
    </row>
    <row r="31" spans="1:28" x14ac:dyDescent="0.35">
      <c r="A31" t="s">
        <v>23</v>
      </c>
      <c r="B31" t="s">
        <v>24</v>
      </c>
      <c r="C31" t="s">
        <v>33</v>
      </c>
      <c r="D31" t="s">
        <v>34</v>
      </c>
      <c r="E31" t="s">
        <v>309</v>
      </c>
      <c r="F31" t="s">
        <v>42</v>
      </c>
      <c r="G31" s="20" t="s">
        <v>43</v>
      </c>
      <c r="H31" t="s">
        <v>7</v>
      </c>
      <c r="I31" t="str">
        <f t="shared" si="2"/>
        <v>Tetragonula species</v>
      </c>
      <c r="J31" t="s">
        <v>42</v>
      </c>
      <c r="K31" t="s">
        <v>334</v>
      </c>
      <c r="L31" t="s">
        <v>44</v>
      </c>
      <c r="M31" t="s">
        <v>45</v>
      </c>
      <c r="N31">
        <v>13</v>
      </c>
      <c r="O31" t="s">
        <v>119</v>
      </c>
      <c r="P31" t="s">
        <v>30</v>
      </c>
      <c r="Q31" s="1">
        <v>44714</v>
      </c>
      <c r="U31" t="s">
        <v>225</v>
      </c>
      <c r="V31">
        <v>0</v>
      </c>
      <c r="W31">
        <v>0</v>
      </c>
      <c r="AA31">
        <v>1</v>
      </c>
      <c r="AB31">
        <v>1.69</v>
      </c>
    </row>
    <row r="32" spans="1:28" x14ac:dyDescent="0.35">
      <c r="A32" t="s">
        <v>23</v>
      </c>
      <c r="B32" t="s">
        <v>24</v>
      </c>
      <c r="C32" t="s">
        <v>33</v>
      </c>
      <c r="D32" t="s">
        <v>34</v>
      </c>
      <c r="E32" t="s">
        <v>309</v>
      </c>
      <c r="F32" t="s">
        <v>42</v>
      </c>
      <c r="G32" s="20" t="s">
        <v>43</v>
      </c>
      <c r="H32" t="s">
        <v>7</v>
      </c>
      <c r="I32" t="str">
        <f t="shared" si="2"/>
        <v>Tetragonula species</v>
      </c>
      <c r="J32" t="s">
        <v>42</v>
      </c>
      <c r="K32" t="s">
        <v>334</v>
      </c>
      <c r="L32" t="s">
        <v>44</v>
      </c>
      <c r="M32" t="s">
        <v>45</v>
      </c>
      <c r="N32">
        <v>14</v>
      </c>
      <c r="O32" t="s">
        <v>119</v>
      </c>
      <c r="P32" t="s">
        <v>30</v>
      </c>
      <c r="Q32" s="1">
        <v>44714</v>
      </c>
      <c r="U32" t="s">
        <v>225</v>
      </c>
      <c r="V32">
        <v>1</v>
      </c>
      <c r="W32">
        <v>1</v>
      </c>
      <c r="X32">
        <v>94</v>
      </c>
      <c r="Y32">
        <v>0</v>
      </c>
      <c r="Z32">
        <f>(X32-Y32)/X32</f>
        <v>1</v>
      </c>
      <c r="AA32">
        <v>1</v>
      </c>
      <c r="AB32">
        <v>1.69</v>
      </c>
    </row>
    <row r="33" spans="1:28" x14ac:dyDescent="0.35">
      <c r="A33" t="s">
        <v>23</v>
      </c>
      <c r="B33" t="s">
        <v>24</v>
      </c>
      <c r="C33" t="s">
        <v>33</v>
      </c>
      <c r="D33" t="s">
        <v>34</v>
      </c>
      <c r="E33" t="s">
        <v>309</v>
      </c>
      <c r="F33" t="s">
        <v>42</v>
      </c>
      <c r="G33" s="20" t="s">
        <v>43</v>
      </c>
      <c r="H33" t="s">
        <v>7</v>
      </c>
      <c r="I33" t="str">
        <f t="shared" si="2"/>
        <v>Tetragonula species</v>
      </c>
      <c r="J33" t="s">
        <v>42</v>
      </c>
      <c r="K33" t="s">
        <v>334</v>
      </c>
      <c r="L33" t="s">
        <v>44</v>
      </c>
      <c r="M33" t="s">
        <v>45</v>
      </c>
      <c r="N33">
        <v>15</v>
      </c>
      <c r="O33" t="s">
        <v>119</v>
      </c>
      <c r="P33" t="s">
        <v>41</v>
      </c>
      <c r="Q33" s="1">
        <v>44707</v>
      </c>
      <c r="U33" t="s">
        <v>225</v>
      </c>
      <c r="V33">
        <v>0</v>
      </c>
      <c r="W33">
        <v>1</v>
      </c>
      <c r="X33">
        <v>15803</v>
      </c>
      <c r="Y33">
        <v>0</v>
      </c>
      <c r="Z33">
        <f>(X33-Y33)/X33</f>
        <v>1</v>
      </c>
    </row>
    <row r="34" spans="1:28" x14ac:dyDescent="0.35">
      <c r="A34" t="s">
        <v>23</v>
      </c>
      <c r="B34" t="s">
        <v>24</v>
      </c>
      <c r="C34" t="s">
        <v>33</v>
      </c>
      <c r="D34" t="s">
        <v>34</v>
      </c>
      <c r="E34" t="s">
        <v>309</v>
      </c>
      <c r="F34" t="s">
        <v>42</v>
      </c>
      <c r="G34" s="20" t="s">
        <v>43</v>
      </c>
      <c r="H34" t="s">
        <v>7</v>
      </c>
      <c r="I34" t="str">
        <f t="shared" si="2"/>
        <v>Tetragonula species</v>
      </c>
      <c r="J34" t="s">
        <v>42</v>
      </c>
      <c r="K34" t="s">
        <v>334</v>
      </c>
      <c r="L34" t="s">
        <v>44</v>
      </c>
      <c r="M34" t="s">
        <v>45</v>
      </c>
      <c r="N34">
        <v>16</v>
      </c>
      <c r="O34" t="s">
        <v>119</v>
      </c>
      <c r="P34" t="s">
        <v>41</v>
      </c>
      <c r="Q34" s="1">
        <v>44707</v>
      </c>
      <c r="U34" t="s">
        <v>225</v>
      </c>
      <c r="V34">
        <v>0</v>
      </c>
      <c r="W34">
        <v>1</v>
      </c>
      <c r="X34">
        <v>7270</v>
      </c>
      <c r="Y34">
        <v>0</v>
      </c>
      <c r="Z34">
        <f>(X34-Y34)/X34</f>
        <v>1</v>
      </c>
    </row>
    <row r="35" spans="1:28" x14ac:dyDescent="0.35">
      <c r="A35" t="s">
        <v>23</v>
      </c>
      <c r="B35" t="s">
        <v>24</v>
      </c>
      <c r="C35" t="s">
        <v>33</v>
      </c>
      <c r="D35" t="s">
        <v>34</v>
      </c>
      <c r="E35" t="s">
        <v>309</v>
      </c>
      <c r="F35" t="s">
        <v>42</v>
      </c>
      <c r="G35" s="20" t="s">
        <v>43</v>
      </c>
      <c r="H35" t="s">
        <v>7</v>
      </c>
      <c r="I35" t="str">
        <f t="shared" si="2"/>
        <v>Tetragonula species</v>
      </c>
      <c r="J35" t="s">
        <v>42</v>
      </c>
      <c r="K35" t="s">
        <v>334</v>
      </c>
      <c r="L35" t="s">
        <v>44</v>
      </c>
      <c r="M35" t="s">
        <v>45</v>
      </c>
      <c r="N35">
        <v>17</v>
      </c>
      <c r="O35" t="s">
        <v>119</v>
      </c>
      <c r="P35" t="s">
        <v>41</v>
      </c>
      <c r="Q35" s="1">
        <v>44707</v>
      </c>
      <c r="U35" t="s">
        <v>225</v>
      </c>
      <c r="V35">
        <v>0</v>
      </c>
      <c r="W35">
        <v>1</v>
      </c>
      <c r="X35">
        <v>321</v>
      </c>
      <c r="Y35">
        <v>0</v>
      </c>
      <c r="Z35">
        <f>(X35-Y35)/X35</f>
        <v>1</v>
      </c>
    </row>
    <row r="36" spans="1:28" x14ac:dyDescent="0.35">
      <c r="A36" t="s">
        <v>23</v>
      </c>
      <c r="B36" t="s">
        <v>24</v>
      </c>
      <c r="C36" t="s">
        <v>33</v>
      </c>
      <c r="D36" t="s">
        <v>34</v>
      </c>
      <c r="E36" t="s">
        <v>309</v>
      </c>
      <c r="F36" t="s">
        <v>42</v>
      </c>
      <c r="G36" s="20" t="s">
        <v>43</v>
      </c>
      <c r="H36" t="s">
        <v>7</v>
      </c>
      <c r="I36" t="str">
        <f t="shared" si="2"/>
        <v>Tetragonula species</v>
      </c>
      <c r="J36" t="s">
        <v>42</v>
      </c>
      <c r="K36" t="s">
        <v>334</v>
      </c>
      <c r="L36" t="s">
        <v>44</v>
      </c>
      <c r="M36" t="s">
        <v>45</v>
      </c>
      <c r="N36">
        <v>18</v>
      </c>
      <c r="O36" t="s">
        <v>119</v>
      </c>
      <c r="P36" t="s">
        <v>30</v>
      </c>
      <c r="Q36" s="1">
        <v>44714</v>
      </c>
      <c r="U36" t="s">
        <v>225</v>
      </c>
      <c r="V36">
        <v>0</v>
      </c>
      <c r="W36">
        <v>0</v>
      </c>
    </row>
    <row r="37" spans="1:28" x14ac:dyDescent="0.35">
      <c r="A37" t="s">
        <v>23</v>
      </c>
      <c r="B37" t="s">
        <v>24</v>
      </c>
      <c r="C37" t="s">
        <v>33</v>
      </c>
      <c r="D37" t="s">
        <v>34</v>
      </c>
      <c r="E37" t="s">
        <v>309</v>
      </c>
      <c r="F37" t="s">
        <v>42</v>
      </c>
      <c r="G37" s="20" t="s">
        <v>43</v>
      </c>
      <c r="H37" t="s">
        <v>7</v>
      </c>
      <c r="I37" t="str">
        <f t="shared" si="2"/>
        <v>Tetragonula species</v>
      </c>
      <c r="J37" t="s">
        <v>42</v>
      </c>
      <c r="K37" t="s">
        <v>334</v>
      </c>
      <c r="L37" t="s">
        <v>44</v>
      </c>
      <c r="M37" t="s">
        <v>45</v>
      </c>
      <c r="N37">
        <v>19</v>
      </c>
      <c r="O37" t="s">
        <v>119</v>
      </c>
      <c r="P37" t="s">
        <v>30</v>
      </c>
      <c r="Q37" s="1">
        <v>44714</v>
      </c>
      <c r="U37" t="s">
        <v>225</v>
      </c>
      <c r="V37">
        <v>0</v>
      </c>
      <c r="W37">
        <v>0</v>
      </c>
    </row>
    <row r="38" spans="1:28" x14ac:dyDescent="0.35">
      <c r="A38" t="s">
        <v>23</v>
      </c>
      <c r="B38" t="s">
        <v>24</v>
      </c>
      <c r="C38" t="s">
        <v>33</v>
      </c>
      <c r="D38" t="s">
        <v>34</v>
      </c>
      <c r="E38" t="s">
        <v>309</v>
      </c>
      <c r="F38" t="s">
        <v>42</v>
      </c>
      <c r="G38" s="20" t="s">
        <v>43</v>
      </c>
      <c r="H38" t="s">
        <v>7</v>
      </c>
      <c r="I38" t="str">
        <f t="shared" si="2"/>
        <v>Tetragonula species</v>
      </c>
      <c r="J38" t="s">
        <v>42</v>
      </c>
      <c r="K38" t="s">
        <v>334</v>
      </c>
      <c r="L38" t="s">
        <v>44</v>
      </c>
      <c r="M38" t="s">
        <v>45</v>
      </c>
      <c r="N38">
        <v>20</v>
      </c>
      <c r="O38" t="s">
        <v>119</v>
      </c>
      <c r="P38" t="s">
        <v>30</v>
      </c>
      <c r="Q38" s="1">
        <v>44714</v>
      </c>
      <c r="U38" t="s">
        <v>225</v>
      </c>
      <c r="V38">
        <v>0</v>
      </c>
      <c r="W38">
        <v>0</v>
      </c>
    </row>
    <row r="39" spans="1:28" x14ac:dyDescent="0.35">
      <c r="A39" t="s">
        <v>23</v>
      </c>
      <c r="B39" t="s">
        <v>24</v>
      </c>
      <c r="C39" t="s">
        <v>33</v>
      </c>
      <c r="D39" t="s">
        <v>34</v>
      </c>
      <c r="E39" t="s">
        <v>309</v>
      </c>
      <c r="F39" t="s">
        <v>42</v>
      </c>
      <c r="G39" s="20" t="s">
        <v>43</v>
      </c>
      <c r="H39" t="s">
        <v>7</v>
      </c>
      <c r="I39" t="str">
        <f t="shared" si="2"/>
        <v>Tetragonula species</v>
      </c>
      <c r="J39" t="s">
        <v>42</v>
      </c>
      <c r="K39" t="s">
        <v>334</v>
      </c>
      <c r="L39" t="s">
        <v>44</v>
      </c>
      <c r="M39" t="s">
        <v>45</v>
      </c>
      <c r="N39">
        <v>21</v>
      </c>
      <c r="O39" t="s">
        <v>119</v>
      </c>
      <c r="P39" t="s">
        <v>30</v>
      </c>
      <c r="Q39" s="1">
        <v>44714</v>
      </c>
      <c r="U39" t="s">
        <v>225</v>
      </c>
      <c r="V39">
        <v>0</v>
      </c>
      <c r="W39">
        <v>0</v>
      </c>
    </row>
    <row r="40" spans="1:28" x14ac:dyDescent="0.35">
      <c r="A40" t="s">
        <v>23</v>
      </c>
      <c r="B40" t="s">
        <v>24</v>
      </c>
      <c r="C40" t="s">
        <v>33</v>
      </c>
      <c r="D40" t="s">
        <v>34</v>
      </c>
      <c r="E40" t="s">
        <v>309</v>
      </c>
      <c r="F40" t="s">
        <v>42</v>
      </c>
      <c r="G40" s="20" t="s">
        <v>43</v>
      </c>
      <c r="H40" t="s">
        <v>7</v>
      </c>
      <c r="I40" t="str">
        <f t="shared" si="2"/>
        <v>Tetragonula species</v>
      </c>
      <c r="J40" t="s">
        <v>42</v>
      </c>
      <c r="K40" t="s">
        <v>334</v>
      </c>
      <c r="L40" t="s">
        <v>44</v>
      </c>
      <c r="M40" t="s">
        <v>45</v>
      </c>
      <c r="N40">
        <v>22</v>
      </c>
      <c r="O40" t="s">
        <v>119</v>
      </c>
      <c r="P40" t="s">
        <v>30</v>
      </c>
      <c r="Q40" s="1">
        <v>44714</v>
      </c>
      <c r="U40" t="s">
        <v>225</v>
      </c>
      <c r="V40">
        <v>0</v>
      </c>
      <c r="W40">
        <v>0</v>
      </c>
    </row>
    <row r="41" spans="1:28" x14ac:dyDescent="0.35">
      <c r="A41" t="s">
        <v>23</v>
      </c>
      <c r="B41" t="s">
        <v>24</v>
      </c>
      <c r="C41" t="s">
        <v>33</v>
      </c>
      <c r="D41" t="s">
        <v>34</v>
      </c>
      <c r="E41" t="s">
        <v>309</v>
      </c>
      <c r="F41" t="s">
        <v>42</v>
      </c>
      <c r="G41" s="20" t="s">
        <v>43</v>
      </c>
      <c r="H41" t="s">
        <v>7</v>
      </c>
      <c r="I41" t="str">
        <f t="shared" si="2"/>
        <v>Tetragonula species</v>
      </c>
      <c r="J41" t="s">
        <v>42</v>
      </c>
      <c r="K41" t="s">
        <v>334</v>
      </c>
      <c r="L41" t="s">
        <v>44</v>
      </c>
      <c r="M41" t="s">
        <v>45</v>
      </c>
      <c r="N41">
        <v>23</v>
      </c>
      <c r="O41" t="s">
        <v>119</v>
      </c>
      <c r="P41" t="s">
        <v>30</v>
      </c>
      <c r="Q41" s="1">
        <v>44714</v>
      </c>
      <c r="U41" t="s">
        <v>225</v>
      </c>
      <c r="V41">
        <v>0</v>
      </c>
      <c r="W41">
        <v>0</v>
      </c>
    </row>
    <row r="42" spans="1:28" x14ac:dyDescent="0.35">
      <c r="A42" t="s">
        <v>23</v>
      </c>
      <c r="B42" t="s">
        <v>24</v>
      </c>
      <c r="C42" t="s">
        <v>33</v>
      </c>
      <c r="D42" t="s">
        <v>34</v>
      </c>
      <c r="E42" t="s">
        <v>309</v>
      </c>
      <c r="F42" t="s">
        <v>42</v>
      </c>
      <c r="G42" s="20" t="s">
        <v>43</v>
      </c>
      <c r="H42" t="s">
        <v>7</v>
      </c>
      <c r="I42" t="str">
        <f t="shared" si="2"/>
        <v>Tetragonula species</v>
      </c>
      <c r="J42" t="s">
        <v>42</v>
      </c>
      <c r="K42" t="s">
        <v>334</v>
      </c>
      <c r="L42" t="s">
        <v>44</v>
      </c>
      <c r="M42" t="s">
        <v>45</v>
      </c>
      <c r="N42">
        <v>24</v>
      </c>
      <c r="O42" t="s">
        <v>119</v>
      </c>
      <c r="P42" t="s">
        <v>30</v>
      </c>
      <c r="Q42" s="1">
        <v>44714</v>
      </c>
      <c r="U42" t="s">
        <v>225</v>
      </c>
      <c r="V42">
        <v>0</v>
      </c>
      <c r="W42">
        <v>0</v>
      </c>
    </row>
    <row r="43" spans="1:28" x14ac:dyDescent="0.35">
      <c r="A43" t="s">
        <v>23</v>
      </c>
      <c r="B43" t="s">
        <v>24</v>
      </c>
      <c r="C43" t="s">
        <v>33</v>
      </c>
      <c r="D43" t="s">
        <v>34</v>
      </c>
      <c r="E43" t="s">
        <v>309</v>
      </c>
      <c r="F43" t="s">
        <v>42</v>
      </c>
      <c r="G43" s="20" t="s">
        <v>43</v>
      </c>
      <c r="H43" t="s">
        <v>7</v>
      </c>
      <c r="I43" t="str">
        <f t="shared" si="2"/>
        <v>Tetragonula species</v>
      </c>
      <c r="J43" t="s">
        <v>42</v>
      </c>
      <c r="K43" t="s">
        <v>334</v>
      </c>
      <c r="L43" t="s">
        <v>44</v>
      </c>
      <c r="M43" t="s">
        <v>45</v>
      </c>
      <c r="N43">
        <v>25</v>
      </c>
      <c r="O43" t="s">
        <v>119</v>
      </c>
      <c r="P43" t="s">
        <v>30</v>
      </c>
      <c r="Q43" s="1">
        <v>44714</v>
      </c>
      <c r="U43" t="s">
        <v>225</v>
      </c>
      <c r="V43">
        <v>0</v>
      </c>
      <c r="W43">
        <v>0</v>
      </c>
    </row>
    <row r="44" spans="1:28" x14ac:dyDescent="0.35">
      <c r="A44" t="s">
        <v>23</v>
      </c>
      <c r="B44" t="s">
        <v>24</v>
      </c>
      <c r="C44" t="s">
        <v>33</v>
      </c>
      <c r="D44" t="s">
        <v>34</v>
      </c>
      <c r="E44" t="s">
        <v>309</v>
      </c>
      <c r="F44" t="s">
        <v>42</v>
      </c>
      <c r="G44" s="20" t="s">
        <v>43</v>
      </c>
      <c r="H44" t="s">
        <v>7</v>
      </c>
      <c r="I44" t="str">
        <f t="shared" si="2"/>
        <v>Tetragonula species</v>
      </c>
      <c r="J44" t="s">
        <v>42</v>
      </c>
      <c r="K44" t="s">
        <v>334</v>
      </c>
      <c r="L44" t="s">
        <v>44</v>
      </c>
      <c r="M44" t="s">
        <v>45</v>
      </c>
      <c r="N44">
        <v>26</v>
      </c>
      <c r="O44" t="s">
        <v>119</v>
      </c>
      <c r="P44" t="s">
        <v>30</v>
      </c>
      <c r="Q44" s="1">
        <v>44714</v>
      </c>
      <c r="U44" t="s">
        <v>225</v>
      </c>
      <c r="V44">
        <v>0</v>
      </c>
      <c r="W44">
        <v>0</v>
      </c>
    </row>
    <row r="45" spans="1:28" x14ac:dyDescent="0.35">
      <c r="A45" t="s">
        <v>23</v>
      </c>
      <c r="B45" t="s">
        <v>24</v>
      </c>
      <c r="C45" t="s">
        <v>33</v>
      </c>
      <c r="D45" t="s">
        <v>34</v>
      </c>
      <c r="E45" t="s">
        <v>309</v>
      </c>
      <c r="F45" t="s">
        <v>42</v>
      </c>
      <c r="G45" s="20" t="s">
        <v>43</v>
      </c>
      <c r="H45" t="s">
        <v>7</v>
      </c>
      <c r="I45" t="str">
        <f t="shared" si="2"/>
        <v>Tetragonula species</v>
      </c>
      <c r="J45" t="s">
        <v>42</v>
      </c>
      <c r="K45" t="s">
        <v>334</v>
      </c>
      <c r="L45" t="s">
        <v>44</v>
      </c>
      <c r="M45" t="s">
        <v>45</v>
      </c>
      <c r="N45">
        <v>27</v>
      </c>
      <c r="O45" t="s">
        <v>119</v>
      </c>
      <c r="P45" t="s">
        <v>30</v>
      </c>
      <c r="Q45" s="1">
        <v>44714</v>
      </c>
      <c r="U45" t="s">
        <v>225</v>
      </c>
      <c r="V45">
        <v>0</v>
      </c>
      <c r="W45">
        <v>0</v>
      </c>
    </row>
    <row r="46" spans="1:28" x14ac:dyDescent="0.35">
      <c r="A46" t="s">
        <v>23</v>
      </c>
      <c r="B46" t="s">
        <v>24</v>
      </c>
      <c r="C46" t="s">
        <v>33</v>
      </c>
      <c r="D46" t="s">
        <v>34</v>
      </c>
      <c r="E46" t="s">
        <v>309</v>
      </c>
      <c r="F46" t="s">
        <v>42</v>
      </c>
      <c r="G46" s="20" t="s">
        <v>43</v>
      </c>
      <c r="H46" t="s">
        <v>7</v>
      </c>
      <c r="I46" t="str">
        <f t="shared" si="2"/>
        <v>Tetragonula species</v>
      </c>
      <c r="J46" t="s">
        <v>42</v>
      </c>
      <c r="K46" t="s">
        <v>334</v>
      </c>
      <c r="L46" t="s">
        <v>44</v>
      </c>
      <c r="M46" t="s">
        <v>45</v>
      </c>
      <c r="N46">
        <v>28</v>
      </c>
      <c r="O46" t="s">
        <v>119</v>
      </c>
      <c r="P46" t="s">
        <v>30</v>
      </c>
      <c r="Q46" s="1">
        <v>44714</v>
      </c>
      <c r="U46" t="s">
        <v>225</v>
      </c>
      <c r="V46">
        <v>1</v>
      </c>
      <c r="W46">
        <v>0</v>
      </c>
      <c r="X46">
        <v>3</v>
      </c>
      <c r="Y46">
        <v>0</v>
      </c>
      <c r="Z46">
        <f>(X46-Y46)/X46</f>
        <v>1</v>
      </c>
    </row>
    <row r="47" spans="1:28" x14ac:dyDescent="0.35">
      <c r="A47" t="s">
        <v>23</v>
      </c>
      <c r="B47" t="s">
        <v>24</v>
      </c>
      <c r="C47" t="s">
        <v>33</v>
      </c>
      <c r="D47" t="s">
        <v>34</v>
      </c>
      <c r="E47" t="s">
        <v>320</v>
      </c>
      <c r="F47" t="s">
        <v>321</v>
      </c>
      <c r="G47" s="20" t="s">
        <v>46</v>
      </c>
      <c r="H47" t="s">
        <v>7</v>
      </c>
      <c r="I47" t="str">
        <f t="shared" si="2"/>
        <v>Xylocopa species</v>
      </c>
      <c r="J47" t="s">
        <v>255</v>
      </c>
      <c r="K47" t="s">
        <v>331</v>
      </c>
      <c r="L47" t="s">
        <v>47</v>
      </c>
      <c r="M47" t="s">
        <v>47</v>
      </c>
      <c r="N47">
        <v>29</v>
      </c>
      <c r="O47" t="s">
        <v>119</v>
      </c>
      <c r="P47" t="s">
        <v>48</v>
      </c>
      <c r="Q47" s="1">
        <v>44727</v>
      </c>
      <c r="U47" t="s">
        <v>225</v>
      </c>
      <c r="V47">
        <v>1</v>
      </c>
      <c r="W47">
        <v>1</v>
      </c>
      <c r="X47">
        <v>9840</v>
      </c>
      <c r="Y47">
        <v>0</v>
      </c>
      <c r="Z47">
        <f>(X47-Y47)/X47</f>
        <v>1</v>
      </c>
      <c r="AA47">
        <v>1</v>
      </c>
      <c r="AB47">
        <v>7.42</v>
      </c>
    </row>
    <row r="48" spans="1:28" x14ac:dyDescent="0.35">
      <c r="A48" t="s">
        <v>23</v>
      </c>
      <c r="B48" t="s">
        <v>24</v>
      </c>
      <c r="C48" t="s">
        <v>33</v>
      </c>
      <c r="D48" t="s">
        <v>34</v>
      </c>
      <c r="E48" t="s">
        <v>320</v>
      </c>
      <c r="F48" t="s">
        <v>321</v>
      </c>
      <c r="G48" s="20" t="s">
        <v>46</v>
      </c>
      <c r="H48" t="s">
        <v>7</v>
      </c>
      <c r="I48" t="str">
        <f t="shared" si="2"/>
        <v>Xylocopa species</v>
      </c>
      <c r="J48" t="s">
        <v>255</v>
      </c>
      <c r="K48" t="s">
        <v>331</v>
      </c>
      <c r="L48" t="s">
        <v>47</v>
      </c>
      <c r="M48" t="s">
        <v>47</v>
      </c>
      <c r="N48">
        <v>30</v>
      </c>
      <c r="O48" t="s">
        <v>119</v>
      </c>
      <c r="P48" t="s">
        <v>37</v>
      </c>
      <c r="Q48" s="1">
        <v>44742</v>
      </c>
      <c r="U48" t="s">
        <v>225</v>
      </c>
      <c r="V48">
        <v>1</v>
      </c>
      <c r="W48">
        <v>1</v>
      </c>
      <c r="X48">
        <v>80359</v>
      </c>
      <c r="Y48">
        <v>0</v>
      </c>
      <c r="Z48">
        <f>(X48-Y48)/X48</f>
        <v>1</v>
      </c>
      <c r="AA48">
        <v>1</v>
      </c>
      <c r="AB48">
        <v>8.1199999999999992</v>
      </c>
    </row>
    <row r="49" spans="1:35" x14ac:dyDescent="0.35">
      <c r="A49" t="s">
        <v>23</v>
      </c>
      <c r="B49" t="s">
        <v>24</v>
      </c>
      <c r="C49" t="s">
        <v>33</v>
      </c>
      <c r="D49" t="s">
        <v>34</v>
      </c>
      <c r="E49" t="s">
        <v>320</v>
      </c>
      <c r="F49" t="s">
        <v>321</v>
      </c>
      <c r="G49" s="20" t="s">
        <v>46</v>
      </c>
      <c r="H49" t="s">
        <v>7</v>
      </c>
      <c r="I49" t="str">
        <f t="shared" si="2"/>
        <v>Xylocopa species</v>
      </c>
      <c r="J49" t="s">
        <v>255</v>
      </c>
      <c r="K49" t="s">
        <v>331</v>
      </c>
      <c r="L49" t="s">
        <v>47</v>
      </c>
      <c r="M49" t="s">
        <v>47</v>
      </c>
      <c r="N49">
        <v>31</v>
      </c>
      <c r="O49" t="s">
        <v>119</v>
      </c>
      <c r="P49" t="s">
        <v>48</v>
      </c>
      <c r="Q49" s="1">
        <v>44727</v>
      </c>
      <c r="U49" t="s">
        <v>225</v>
      </c>
      <c r="V49">
        <v>1</v>
      </c>
      <c r="W49">
        <v>1</v>
      </c>
      <c r="X49">
        <v>11092</v>
      </c>
      <c r="Y49">
        <v>0</v>
      </c>
      <c r="Z49">
        <f>(X49-Y49)/X49</f>
        <v>1</v>
      </c>
      <c r="AA49">
        <v>1</v>
      </c>
      <c r="AB49">
        <v>8.2100000000000009</v>
      </c>
    </row>
    <row r="50" spans="1:35" x14ac:dyDescent="0.35">
      <c r="A50" t="s">
        <v>23</v>
      </c>
      <c r="B50" t="s">
        <v>24</v>
      </c>
      <c r="C50" t="s">
        <v>33</v>
      </c>
      <c r="D50" t="s">
        <v>34</v>
      </c>
      <c r="E50" t="s">
        <v>320</v>
      </c>
      <c r="F50" t="s">
        <v>321</v>
      </c>
      <c r="G50" s="20" t="s">
        <v>46</v>
      </c>
      <c r="H50" t="s">
        <v>7</v>
      </c>
      <c r="I50" t="str">
        <f t="shared" si="2"/>
        <v>Xylocopa species</v>
      </c>
      <c r="J50" t="s">
        <v>255</v>
      </c>
      <c r="K50" t="s">
        <v>331</v>
      </c>
      <c r="L50" t="s">
        <v>47</v>
      </c>
      <c r="M50" t="s">
        <v>47</v>
      </c>
      <c r="N50">
        <v>32</v>
      </c>
      <c r="O50" t="s">
        <v>119</v>
      </c>
      <c r="P50" t="s">
        <v>48</v>
      </c>
      <c r="Q50" s="1">
        <v>44727</v>
      </c>
      <c r="U50" t="s">
        <v>225</v>
      </c>
      <c r="V50">
        <v>1</v>
      </c>
      <c r="W50">
        <v>1</v>
      </c>
      <c r="X50">
        <v>3822</v>
      </c>
      <c r="Y50">
        <v>0</v>
      </c>
      <c r="Z50">
        <f>(X50-Y50)/X50</f>
        <v>1</v>
      </c>
      <c r="AA50">
        <v>1</v>
      </c>
      <c r="AB50">
        <v>8.6199999999999992</v>
      </c>
    </row>
    <row r="51" spans="1:35" x14ac:dyDescent="0.35">
      <c r="A51" t="s">
        <v>68</v>
      </c>
      <c r="B51" t="s">
        <v>69</v>
      </c>
      <c r="C51" t="s">
        <v>33</v>
      </c>
      <c r="D51" t="s">
        <v>34</v>
      </c>
      <c r="E51" t="s">
        <v>309</v>
      </c>
      <c r="F51" t="s">
        <v>310</v>
      </c>
      <c r="G51" s="20" t="s">
        <v>38</v>
      </c>
      <c r="H51" s="20" t="s">
        <v>39</v>
      </c>
      <c r="I51" t="s">
        <v>70</v>
      </c>
      <c r="J51" t="s">
        <v>70</v>
      </c>
      <c r="K51" t="s">
        <v>332</v>
      </c>
      <c r="L51" t="s">
        <v>40</v>
      </c>
      <c r="M51" t="s">
        <v>40</v>
      </c>
      <c r="N51">
        <v>50</v>
      </c>
      <c r="O51" t="s">
        <v>119</v>
      </c>
      <c r="P51" t="s">
        <v>41</v>
      </c>
      <c r="Q51" t="s">
        <v>71</v>
      </c>
      <c r="R51">
        <v>1</v>
      </c>
      <c r="S51" t="s">
        <v>98</v>
      </c>
      <c r="U51" t="s">
        <v>225</v>
      </c>
      <c r="AD51">
        <v>1</v>
      </c>
      <c r="AF51">
        <v>3</v>
      </c>
      <c r="AI51">
        <v>1</v>
      </c>
    </row>
    <row r="52" spans="1:35" x14ac:dyDescent="0.35">
      <c r="A52" t="s">
        <v>68</v>
      </c>
      <c r="B52" t="s">
        <v>69</v>
      </c>
      <c r="C52" t="s">
        <v>33</v>
      </c>
      <c r="D52" t="s">
        <v>65</v>
      </c>
      <c r="E52" t="s">
        <v>62</v>
      </c>
      <c r="F52" t="s">
        <v>316</v>
      </c>
      <c r="G52" t="s">
        <v>66</v>
      </c>
      <c r="H52" t="s">
        <v>7</v>
      </c>
      <c r="I52" t="str">
        <f>G52&amp;" "&amp;H52</f>
        <v>Homalictus species</v>
      </c>
      <c r="J52" t="s">
        <v>65</v>
      </c>
      <c r="K52" t="s">
        <v>333</v>
      </c>
      <c r="L52" t="s">
        <v>196</v>
      </c>
      <c r="M52" t="s">
        <v>67</v>
      </c>
      <c r="N52">
        <v>120</v>
      </c>
      <c r="O52" t="s">
        <v>119</v>
      </c>
      <c r="P52" t="s">
        <v>48</v>
      </c>
      <c r="Q52" t="s">
        <v>76</v>
      </c>
      <c r="U52" t="s">
        <v>225</v>
      </c>
      <c r="AD52">
        <v>1</v>
      </c>
      <c r="AF52">
        <v>3</v>
      </c>
      <c r="AI52">
        <v>2</v>
      </c>
    </row>
    <row r="53" spans="1:35" x14ac:dyDescent="0.35">
      <c r="A53" t="s">
        <v>68</v>
      </c>
      <c r="B53" t="s">
        <v>69</v>
      </c>
      <c r="C53" t="s">
        <v>33</v>
      </c>
      <c r="D53" t="s">
        <v>65</v>
      </c>
      <c r="E53" t="s">
        <v>62</v>
      </c>
      <c r="F53" t="s">
        <v>316</v>
      </c>
      <c r="G53" t="s">
        <v>66</v>
      </c>
      <c r="H53" t="s">
        <v>7</v>
      </c>
      <c r="I53" t="str">
        <f>G53&amp;" "&amp;H53</f>
        <v>Homalictus species</v>
      </c>
      <c r="J53" t="s">
        <v>65</v>
      </c>
      <c r="K53" t="s">
        <v>333</v>
      </c>
      <c r="L53" t="s">
        <v>196</v>
      </c>
      <c r="M53" t="s">
        <v>67</v>
      </c>
      <c r="N53">
        <v>121</v>
      </c>
      <c r="O53" t="s">
        <v>119</v>
      </c>
      <c r="P53" t="s">
        <v>48</v>
      </c>
      <c r="Q53" t="s">
        <v>76</v>
      </c>
      <c r="U53" t="s">
        <v>225</v>
      </c>
      <c r="AD53">
        <v>1</v>
      </c>
      <c r="AF53">
        <v>2</v>
      </c>
      <c r="AI53">
        <v>3</v>
      </c>
    </row>
    <row r="54" spans="1:35" x14ac:dyDescent="0.35">
      <c r="A54" t="s">
        <v>68</v>
      </c>
      <c r="B54" t="s">
        <v>69</v>
      </c>
      <c r="C54" t="s">
        <v>33</v>
      </c>
      <c r="D54" t="s">
        <v>65</v>
      </c>
      <c r="E54" t="s">
        <v>62</v>
      </c>
      <c r="F54" t="s">
        <v>316</v>
      </c>
      <c r="G54" t="s">
        <v>66</v>
      </c>
      <c r="H54" t="s">
        <v>7</v>
      </c>
      <c r="I54" t="str">
        <f>G54&amp;" "&amp;H54</f>
        <v>Homalictus species</v>
      </c>
      <c r="J54" t="s">
        <v>65</v>
      </c>
      <c r="K54" t="s">
        <v>333</v>
      </c>
      <c r="L54" t="s">
        <v>196</v>
      </c>
      <c r="M54" t="s">
        <v>67</v>
      </c>
      <c r="N54">
        <v>122</v>
      </c>
      <c r="O54" t="s">
        <v>119</v>
      </c>
      <c r="P54" t="s">
        <v>56</v>
      </c>
      <c r="Q54" t="s">
        <v>84</v>
      </c>
      <c r="U54" t="s">
        <v>225</v>
      </c>
      <c r="AD54">
        <v>1</v>
      </c>
      <c r="AF54">
        <v>2</v>
      </c>
      <c r="AI54">
        <v>4</v>
      </c>
    </row>
    <row r="55" spans="1:35" x14ac:dyDescent="0.35">
      <c r="A55" t="s">
        <v>68</v>
      </c>
      <c r="B55" t="s">
        <v>69</v>
      </c>
      <c r="C55" t="s">
        <v>33</v>
      </c>
      <c r="D55" t="s">
        <v>34</v>
      </c>
      <c r="E55" t="s">
        <v>309</v>
      </c>
      <c r="F55" t="s">
        <v>42</v>
      </c>
      <c r="I55" t="s">
        <v>42</v>
      </c>
      <c r="J55" t="s">
        <v>42</v>
      </c>
      <c r="K55" t="s">
        <v>334</v>
      </c>
      <c r="L55" t="s">
        <v>44</v>
      </c>
      <c r="M55" t="s">
        <v>77</v>
      </c>
      <c r="N55">
        <v>55</v>
      </c>
      <c r="O55" t="s">
        <v>119</v>
      </c>
      <c r="P55" t="s">
        <v>41</v>
      </c>
      <c r="Q55" t="s">
        <v>75</v>
      </c>
      <c r="S55" t="s">
        <v>107</v>
      </c>
      <c r="T55" t="s">
        <v>107</v>
      </c>
      <c r="U55" t="s">
        <v>271</v>
      </c>
      <c r="AD55">
        <v>1</v>
      </c>
      <c r="AF55" s="3">
        <v>2</v>
      </c>
      <c r="AI55">
        <v>68</v>
      </c>
    </row>
    <row r="56" spans="1:35" x14ac:dyDescent="0.35">
      <c r="A56" t="s">
        <v>68</v>
      </c>
      <c r="B56" t="s">
        <v>69</v>
      </c>
      <c r="C56" t="s">
        <v>33</v>
      </c>
      <c r="D56" t="s">
        <v>34</v>
      </c>
      <c r="E56" t="s">
        <v>309</v>
      </c>
      <c r="F56" t="s">
        <v>42</v>
      </c>
      <c r="I56" t="s">
        <v>42</v>
      </c>
      <c r="J56" t="s">
        <v>42</v>
      </c>
      <c r="K56" t="s">
        <v>334</v>
      </c>
      <c r="L56" t="s">
        <v>44</v>
      </c>
      <c r="M56" t="s">
        <v>44</v>
      </c>
      <c r="N56">
        <v>56</v>
      </c>
      <c r="O56" t="s">
        <v>119</v>
      </c>
      <c r="P56" t="s">
        <v>48</v>
      </c>
      <c r="Q56" t="s">
        <v>76</v>
      </c>
      <c r="R56">
        <v>1</v>
      </c>
      <c r="S56" t="s">
        <v>107</v>
      </c>
      <c r="T56" t="s">
        <v>107</v>
      </c>
      <c r="U56" t="s">
        <v>271</v>
      </c>
      <c r="AD56">
        <v>1</v>
      </c>
      <c r="AF56" s="3">
        <v>2</v>
      </c>
      <c r="AI56">
        <v>66</v>
      </c>
    </row>
    <row r="57" spans="1:35" x14ac:dyDescent="0.35">
      <c r="A57" t="s">
        <v>68</v>
      </c>
      <c r="B57" t="s">
        <v>69</v>
      </c>
      <c r="C57" t="s">
        <v>33</v>
      </c>
      <c r="D57" t="s">
        <v>34</v>
      </c>
      <c r="E57" t="s">
        <v>309</v>
      </c>
      <c r="F57" t="s">
        <v>42</v>
      </c>
      <c r="I57" t="s">
        <v>42</v>
      </c>
      <c r="J57" t="s">
        <v>42</v>
      </c>
      <c r="K57" t="s">
        <v>334</v>
      </c>
      <c r="L57" t="s">
        <v>44</v>
      </c>
      <c r="M57" t="s">
        <v>44</v>
      </c>
      <c r="N57">
        <v>57</v>
      </c>
      <c r="O57" t="s">
        <v>119</v>
      </c>
      <c r="P57" t="s">
        <v>48</v>
      </c>
      <c r="Q57" t="s">
        <v>76</v>
      </c>
      <c r="S57" t="s">
        <v>107</v>
      </c>
      <c r="T57" t="s">
        <v>107</v>
      </c>
      <c r="U57" t="s">
        <v>271</v>
      </c>
      <c r="AD57">
        <v>1</v>
      </c>
      <c r="AF57" s="3">
        <v>2</v>
      </c>
      <c r="AI57">
        <v>67</v>
      </c>
    </row>
    <row r="58" spans="1:35" x14ac:dyDescent="0.35">
      <c r="A58" t="s">
        <v>68</v>
      </c>
      <c r="B58" t="s">
        <v>69</v>
      </c>
      <c r="C58" t="s">
        <v>33</v>
      </c>
      <c r="D58" t="s">
        <v>34</v>
      </c>
      <c r="E58" t="s">
        <v>309</v>
      </c>
      <c r="F58" t="s">
        <v>42</v>
      </c>
      <c r="I58" t="s">
        <v>42</v>
      </c>
      <c r="J58" t="s">
        <v>42</v>
      </c>
      <c r="K58" t="s">
        <v>334</v>
      </c>
      <c r="L58" t="s">
        <v>44</v>
      </c>
      <c r="M58" t="s">
        <v>44</v>
      </c>
      <c r="N58">
        <v>58</v>
      </c>
      <c r="O58" t="s">
        <v>119</v>
      </c>
      <c r="P58" t="s">
        <v>30</v>
      </c>
      <c r="Q58" t="s">
        <v>79</v>
      </c>
      <c r="R58">
        <v>1</v>
      </c>
      <c r="S58" t="s">
        <v>107</v>
      </c>
      <c r="T58" t="s">
        <v>107</v>
      </c>
      <c r="U58" t="s">
        <v>271</v>
      </c>
      <c r="AD58">
        <v>1</v>
      </c>
      <c r="AF58">
        <v>2</v>
      </c>
      <c r="AI58">
        <v>5</v>
      </c>
    </row>
    <row r="59" spans="1:35" x14ac:dyDescent="0.35">
      <c r="A59" t="s">
        <v>68</v>
      </c>
      <c r="B59" t="s">
        <v>69</v>
      </c>
      <c r="C59" t="s">
        <v>33</v>
      </c>
      <c r="D59" t="s">
        <v>34</v>
      </c>
      <c r="E59" t="s">
        <v>309</v>
      </c>
      <c r="F59" t="s">
        <v>42</v>
      </c>
      <c r="I59" t="s">
        <v>42</v>
      </c>
      <c r="J59" t="s">
        <v>42</v>
      </c>
      <c r="K59" t="s">
        <v>334</v>
      </c>
      <c r="L59" t="s">
        <v>44</v>
      </c>
      <c r="M59" t="s">
        <v>44</v>
      </c>
      <c r="N59">
        <v>59</v>
      </c>
      <c r="O59" t="s">
        <v>119</v>
      </c>
      <c r="P59" t="s">
        <v>30</v>
      </c>
      <c r="Q59" t="s">
        <v>79</v>
      </c>
      <c r="R59">
        <v>0</v>
      </c>
      <c r="S59" t="s">
        <v>107</v>
      </c>
      <c r="T59" t="s">
        <v>107</v>
      </c>
      <c r="U59" t="s">
        <v>271</v>
      </c>
      <c r="AD59">
        <v>1</v>
      </c>
      <c r="AF59">
        <v>2</v>
      </c>
      <c r="AI59">
        <v>6</v>
      </c>
    </row>
    <row r="60" spans="1:35" x14ac:dyDescent="0.35">
      <c r="A60" t="s">
        <v>68</v>
      </c>
      <c r="B60" t="s">
        <v>69</v>
      </c>
      <c r="C60" t="s">
        <v>33</v>
      </c>
      <c r="D60" t="s">
        <v>34</v>
      </c>
      <c r="E60" t="s">
        <v>309</v>
      </c>
      <c r="F60" t="s">
        <v>42</v>
      </c>
      <c r="I60" t="s">
        <v>42</v>
      </c>
      <c r="J60" t="s">
        <v>42</v>
      </c>
      <c r="K60" t="s">
        <v>334</v>
      </c>
      <c r="L60" t="s">
        <v>44</v>
      </c>
      <c r="M60" t="s">
        <v>77</v>
      </c>
      <c r="N60">
        <v>60</v>
      </c>
      <c r="O60" t="s">
        <v>119</v>
      </c>
      <c r="P60" t="s">
        <v>30</v>
      </c>
      <c r="Q60" t="s">
        <v>79</v>
      </c>
      <c r="R60">
        <v>0</v>
      </c>
      <c r="S60" t="s">
        <v>107</v>
      </c>
      <c r="T60" t="s">
        <v>107</v>
      </c>
      <c r="U60" t="s">
        <v>271</v>
      </c>
      <c r="AD60">
        <v>1</v>
      </c>
      <c r="AF60">
        <v>2</v>
      </c>
      <c r="AI60">
        <v>7</v>
      </c>
    </row>
    <row r="61" spans="1:35" x14ac:dyDescent="0.35">
      <c r="A61" t="s">
        <v>68</v>
      </c>
      <c r="B61" t="s">
        <v>69</v>
      </c>
      <c r="C61" t="s">
        <v>33</v>
      </c>
      <c r="D61" t="s">
        <v>34</v>
      </c>
      <c r="E61" t="s">
        <v>309</v>
      </c>
      <c r="F61" t="s">
        <v>42</v>
      </c>
      <c r="I61" t="s">
        <v>42</v>
      </c>
      <c r="J61" t="s">
        <v>42</v>
      </c>
      <c r="K61" t="s">
        <v>334</v>
      </c>
      <c r="L61" t="s">
        <v>44</v>
      </c>
      <c r="M61" t="s">
        <v>44</v>
      </c>
      <c r="N61">
        <v>61</v>
      </c>
      <c r="O61" t="s">
        <v>119</v>
      </c>
      <c r="P61" t="s">
        <v>30</v>
      </c>
      <c r="Q61" t="s">
        <v>79</v>
      </c>
      <c r="R61">
        <v>0</v>
      </c>
      <c r="S61" t="s">
        <v>107</v>
      </c>
      <c r="T61" t="s">
        <v>107</v>
      </c>
      <c r="U61" t="s">
        <v>271</v>
      </c>
      <c r="AD61">
        <v>1</v>
      </c>
      <c r="AF61">
        <v>1</v>
      </c>
      <c r="AI61">
        <v>8</v>
      </c>
    </row>
    <row r="62" spans="1:35" x14ac:dyDescent="0.35">
      <c r="A62" t="s">
        <v>68</v>
      </c>
      <c r="B62" t="s">
        <v>69</v>
      </c>
      <c r="C62" t="s">
        <v>33</v>
      </c>
      <c r="D62" t="s">
        <v>34</v>
      </c>
      <c r="E62" t="s">
        <v>309</v>
      </c>
      <c r="F62" t="s">
        <v>42</v>
      </c>
      <c r="I62" t="s">
        <v>42</v>
      </c>
      <c r="J62" t="s">
        <v>42</v>
      </c>
      <c r="K62" t="s">
        <v>334</v>
      </c>
      <c r="L62" t="s">
        <v>44</v>
      </c>
      <c r="M62" t="s">
        <v>44</v>
      </c>
      <c r="N62">
        <v>62</v>
      </c>
      <c r="O62" t="s">
        <v>119</v>
      </c>
      <c r="P62" t="s">
        <v>30</v>
      </c>
      <c r="Q62" t="s">
        <v>79</v>
      </c>
      <c r="R62">
        <v>0</v>
      </c>
      <c r="S62" t="s">
        <v>107</v>
      </c>
      <c r="T62" t="s">
        <v>107</v>
      </c>
      <c r="U62" t="s">
        <v>271</v>
      </c>
      <c r="AD62">
        <v>1</v>
      </c>
      <c r="AF62">
        <v>4</v>
      </c>
      <c r="AI62">
        <v>9</v>
      </c>
    </row>
    <row r="63" spans="1:35" x14ac:dyDescent="0.35">
      <c r="A63" t="s">
        <v>68</v>
      </c>
      <c r="B63" t="s">
        <v>69</v>
      </c>
      <c r="C63" t="s">
        <v>33</v>
      </c>
      <c r="D63" t="s">
        <v>34</v>
      </c>
      <c r="E63" t="s">
        <v>309</v>
      </c>
      <c r="F63" t="s">
        <v>42</v>
      </c>
      <c r="I63" t="s">
        <v>42</v>
      </c>
      <c r="J63" t="s">
        <v>42</v>
      </c>
      <c r="K63" t="s">
        <v>334</v>
      </c>
      <c r="L63" t="s">
        <v>44</v>
      </c>
      <c r="M63" t="s">
        <v>44</v>
      </c>
      <c r="N63">
        <v>63</v>
      </c>
      <c r="O63" t="s">
        <v>119</v>
      </c>
      <c r="P63" t="s">
        <v>30</v>
      </c>
      <c r="Q63" t="s">
        <v>79</v>
      </c>
      <c r="R63">
        <v>0</v>
      </c>
      <c r="S63" t="s">
        <v>107</v>
      </c>
      <c r="T63" t="s">
        <v>107</v>
      </c>
      <c r="U63" t="s">
        <v>271</v>
      </c>
      <c r="AD63">
        <v>1</v>
      </c>
      <c r="AF63" s="9">
        <v>1</v>
      </c>
      <c r="AI63">
        <v>10</v>
      </c>
    </row>
    <row r="64" spans="1:35" x14ac:dyDescent="0.35">
      <c r="A64" t="s">
        <v>68</v>
      </c>
      <c r="B64" t="s">
        <v>69</v>
      </c>
      <c r="C64" t="s">
        <v>33</v>
      </c>
      <c r="D64" t="s">
        <v>34</v>
      </c>
      <c r="E64" t="s">
        <v>309</v>
      </c>
      <c r="F64" t="s">
        <v>42</v>
      </c>
      <c r="I64" t="s">
        <v>42</v>
      </c>
      <c r="J64" t="s">
        <v>42</v>
      </c>
      <c r="K64" t="s">
        <v>334</v>
      </c>
      <c r="L64" t="s">
        <v>44</v>
      </c>
      <c r="M64" t="s">
        <v>44</v>
      </c>
      <c r="N64">
        <v>64</v>
      </c>
      <c r="O64" t="s">
        <v>119</v>
      </c>
      <c r="P64" t="s">
        <v>30</v>
      </c>
      <c r="Q64" t="s">
        <v>79</v>
      </c>
      <c r="R64">
        <v>0</v>
      </c>
      <c r="S64" t="s">
        <v>107</v>
      </c>
      <c r="T64" t="s">
        <v>107</v>
      </c>
      <c r="U64" t="s">
        <v>271</v>
      </c>
      <c r="AD64">
        <v>1</v>
      </c>
      <c r="AF64" s="9">
        <v>3</v>
      </c>
      <c r="AI64">
        <v>11</v>
      </c>
    </row>
    <row r="65" spans="1:35" x14ac:dyDescent="0.35">
      <c r="A65" t="s">
        <v>68</v>
      </c>
      <c r="B65" t="s">
        <v>69</v>
      </c>
      <c r="C65" t="s">
        <v>33</v>
      </c>
      <c r="D65" t="s">
        <v>34</v>
      </c>
      <c r="E65" t="s">
        <v>309</v>
      </c>
      <c r="F65" t="s">
        <v>42</v>
      </c>
      <c r="I65" t="s">
        <v>42</v>
      </c>
      <c r="J65" t="s">
        <v>42</v>
      </c>
      <c r="K65" t="s">
        <v>334</v>
      </c>
      <c r="L65" t="s">
        <v>44</v>
      </c>
      <c r="M65" t="s">
        <v>77</v>
      </c>
      <c r="N65">
        <v>65</v>
      </c>
      <c r="O65" t="s">
        <v>119</v>
      </c>
      <c r="P65" t="s">
        <v>30</v>
      </c>
      <c r="Q65" t="s">
        <v>79</v>
      </c>
      <c r="R65">
        <v>1</v>
      </c>
      <c r="S65" t="s">
        <v>107</v>
      </c>
      <c r="T65" t="s">
        <v>107</v>
      </c>
      <c r="U65" t="s">
        <v>271</v>
      </c>
      <c r="AD65">
        <v>1</v>
      </c>
      <c r="AF65" s="9">
        <v>3</v>
      </c>
      <c r="AI65">
        <v>12</v>
      </c>
    </row>
    <row r="66" spans="1:35" x14ac:dyDescent="0.35">
      <c r="A66" t="s">
        <v>68</v>
      </c>
      <c r="B66" t="s">
        <v>69</v>
      </c>
      <c r="C66" t="s">
        <v>33</v>
      </c>
      <c r="D66" t="s">
        <v>34</v>
      </c>
      <c r="E66" t="s">
        <v>309</v>
      </c>
      <c r="F66" t="s">
        <v>42</v>
      </c>
      <c r="I66" t="s">
        <v>42</v>
      </c>
      <c r="J66" t="s">
        <v>42</v>
      </c>
      <c r="K66" t="s">
        <v>334</v>
      </c>
      <c r="L66" t="s">
        <v>44</v>
      </c>
      <c r="M66" t="s">
        <v>77</v>
      </c>
      <c r="N66">
        <v>66</v>
      </c>
      <c r="O66" t="s">
        <v>119</v>
      </c>
      <c r="P66" t="s">
        <v>30</v>
      </c>
      <c r="Q66" t="s">
        <v>79</v>
      </c>
      <c r="R66">
        <v>0</v>
      </c>
      <c r="S66" t="s">
        <v>107</v>
      </c>
      <c r="T66" t="s">
        <v>107</v>
      </c>
      <c r="U66" t="s">
        <v>271</v>
      </c>
      <c r="AD66">
        <v>1</v>
      </c>
      <c r="AF66" s="9">
        <v>1</v>
      </c>
      <c r="AI66">
        <v>13</v>
      </c>
    </row>
    <row r="67" spans="1:35" x14ac:dyDescent="0.35">
      <c r="A67" t="s">
        <v>68</v>
      </c>
      <c r="B67" t="s">
        <v>69</v>
      </c>
      <c r="C67" t="s">
        <v>33</v>
      </c>
      <c r="D67" t="s">
        <v>34</v>
      </c>
      <c r="E67" t="s">
        <v>309</v>
      </c>
      <c r="F67" t="s">
        <v>42</v>
      </c>
      <c r="I67" t="s">
        <v>42</v>
      </c>
      <c r="J67" t="s">
        <v>42</v>
      </c>
      <c r="K67" t="s">
        <v>334</v>
      </c>
      <c r="L67" t="s">
        <v>44</v>
      </c>
      <c r="M67" t="s">
        <v>77</v>
      </c>
      <c r="N67">
        <v>67</v>
      </c>
      <c r="O67" t="s">
        <v>119</v>
      </c>
      <c r="P67" t="s">
        <v>30</v>
      </c>
      <c r="Q67" t="s">
        <v>79</v>
      </c>
      <c r="R67">
        <v>0</v>
      </c>
      <c r="S67" t="s">
        <v>107</v>
      </c>
      <c r="T67" t="s">
        <v>107</v>
      </c>
      <c r="U67" t="s">
        <v>271</v>
      </c>
      <c r="AD67">
        <v>1</v>
      </c>
      <c r="AF67" s="9">
        <v>1</v>
      </c>
      <c r="AI67">
        <v>14</v>
      </c>
    </row>
    <row r="68" spans="1:35" x14ac:dyDescent="0.35">
      <c r="A68" t="s">
        <v>68</v>
      </c>
      <c r="B68" t="s">
        <v>69</v>
      </c>
      <c r="C68" t="s">
        <v>33</v>
      </c>
      <c r="D68" t="s">
        <v>34</v>
      </c>
      <c r="E68" t="s">
        <v>309</v>
      </c>
      <c r="F68" t="s">
        <v>42</v>
      </c>
      <c r="I68" t="s">
        <v>42</v>
      </c>
      <c r="J68" t="s">
        <v>42</v>
      </c>
      <c r="K68" t="s">
        <v>334</v>
      </c>
      <c r="L68" t="s">
        <v>44</v>
      </c>
      <c r="M68" t="s">
        <v>77</v>
      </c>
      <c r="N68">
        <v>68</v>
      </c>
      <c r="O68" t="s">
        <v>119</v>
      </c>
      <c r="P68" t="s">
        <v>30</v>
      </c>
      <c r="Q68" t="s">
        <v>79</v>
      </c>
      <c r="R68">
        <v>0</v>
      </c>
      <c r="S68" t="s">
        <v>107</v>
      </c>
      <c r="T68" t="s">
        <v>107</v>
      </c>
      <c r="U68" t="s">
        <v>271</v>
      </c>
      <c r="AD68">
        <v>1</v>
      </c>
      <c r="AF68" s="9">
        <v>1</v>
      </c>
      <c r="AI68">
        <v>15</v>
      </c>
    </row>
    <row r="69" spans="1:35" x14ac:dyDescent="0.35">
      <c r="A69" t="s">
        <v>68</v>
      </c>
      <c r="B69" t="s">
        <v>69</v>
      </c>
      <c r="C69" t="s">
        <v>33</v>
      </c>
      <c r="D69" t="s">
        <v>34</v>
      </c>
      <c r="E69" t="s">
        <v>309</v>
      </c>
      <c r="F69" t="s">
        <v>42</v>
      </c>
      <c r="I69" t="s">
        <v>42</v>
      </c>
      <c r="J69" t="s">
        <v>42</v>
      </c>
      <c r="K69" t="s">
        <v>334</v>
      </c>
      <c r="L69" t="s">
        <v>44</v>
      </c>
      <c r="M69" t="s">
        <v>77</v>
      </c>
      <c r="N69">
        <v>69</v>
      </c>
      <c r="O69" t="s">
        <v>119</v>
      </c>
      <c r="P69" t="s">
        <v>30</v>
      </c>
      <c r="Q69" t="s">
        <v>79</v>
      </c>
      <c r="R69">
        <v>0</v>
      </c>
      <c r="S69" t="s">
        <v>107</v>
      </c>
      <c r="T69" t="s">
        <v>107</v>
      </c>
      <c r="U69" t="s">
        <v>271</v>
      </c>
      <c r="AD69">
        <v>1</v>
      </c>
      <c r="AF69" s="9">
        <v>3</v>
      </c>
      <c r="AI69">
        <v>16</v>
      </c>
    </row>
    <row r="70" spans="1:35" x14ac:dyDescent="0.35">
      <c r="A70" t="s">
        <v>68</v>
      </c>
      <c r="B70" t="s">
        <v>69</v>
      </c>
      <c r="C70" t="s">
        <v>33</v>
      </c>
      <c r="D70" t="s">
        <v>34</v>
      </c>
      <c r="E70" t="s">
        <v>309</v>
      </c>
      <c r="F70" t="s">
        <v>42</v>
      </c>
      <c r="I70" t="s">
        <v>42</v>
      </c>
      <c r="J70" t="s">
        <v>42</v>
      </c>
      <c r="K70" t="s">
        <v>334</v>
      </c>
      <c r="L70" t="s">
        <v>44</v>
      </c>
      <c r="M70" t="s">
        <v>44</v>
      </c>
      <c r="N70">
        <v>70</v>
      </c>
      <c r="O70" t="s">
        <v>119</v>
      </c>
      <c r="P70" t="s">
        <v>30</v>
      </c>
      <c r="Q70" t="s">
        <v>79</v>
      </c>
      <c r="R70">
        <v>1</v>
      </c>
      <c r="S70" t="s">
        <v>107</v>
      </c>
      <c r="T70" t="s">
        <v>107</v>
      </c>
      <c r="U70" t="s">
        <v>271</v>
      </c>
      <c r="AD70">
        <v>1</v>
      </c>
      <c r="AF70" s="9">
        <v>3</v>
      </c>
      <c r="AI70">
        <v>17</v>
      </c>
    </row>
    <row r="71" spans="1:35" x14ac:dyDescent="0.35">
      <c r="A71" t="s">
        <v>68</v>
      </c>
      <c r="B71" t="s">
        <v>69</v>
      </c>
      <c r="C71" t="s">
        <v>33</v>
      </c>
      <c r="D71" t="s">
        <v>34</v>
      </c>
      <c r="E71" t="s">
        <v>309</v>
      </c>
      <c r="F71" t="s">
        <v>42</v>
      </c>
      <c r="I71" t="s">
        <v>42</v>
      </c>
      <c r="J71" t="s">
        <v>42</v>
      </c>
      <c r="K71" t="s">
        <v>334</v>
      </c>
      <c r="L71" t="s">
        <v>44</v>
      </c>
      <c r="M71" t="s">
        <v>77</v>
      </c>
      <c r="N71">
        <v>71</v>
      </c>
      <c r="O71" t="s">
        <v>119</v>
      </c>
      <c r="P71" t="s">
        <v>30</v>
      </c>
      <c r="Q71" t="s">
        <v>79</v>
      </c>
      <c r="R71">
        <v>1</v>
      </c>
      <c r="S71" t="s">
        <v>107</v>
      </c>
      <c r="T71" t="s">
        <v>107</v>
      </c>
      <c r="U71" t="s">
        <v>271</v>
      </c>
      <c r="AD71">
        <v>1</v>
      </c>
      <c r="AF71" s="9">
        <v>3</v>
      </c>
      <c r="AI71">
        <v>18</v>
      </c>
    </row>
    <row r="72" spans="1:35" x14ac:dyDescent="0.35">
      <c r="A72" t="s">
        <v>68</v>
      </c>
      <c r="B72" t="s">
        <v>69</v>
      </c>
      <c r="C72" t="s">
        <v>33</v>
      </c>
      <c r="D72" t="s">
        <v>34</v>
      </c>
      <c r="E72" t="s">
        <v>309</v>
      </c>
      <c r="F72" t="s">
        <v>42</v>
      </c>
      <c r="I72" t="s">
        <v>42</v>
      </c>
      <c r="J72" t="s">
        <v>42</v>
      </c>
      <c r="K72" t="s">
        <v>334</v>
      </c>
      <c r="L72" t="s">
        <v>44</v>
      </c>
      <c r="M72" t="s">
        <v>77</v>
      </c>
      <c r="N72">
        <v>72</v>
      </c>
      <c r="O72" t="s">
        <v>119</v>
      </c>
      <c r="P72" t="s">
        <v>30</v>
      </c>
      <c r="Q72" t="s">
        <v>79</v>
      </c>
      <c r="R72">
        <v>0</v>
      </c>
      <c r="S72" t="s">
        <v>107</v>
      </c>
      <c r="T72" t="s">
        <v>107</v>
      </c>
      <c r="U72" t="s">
        <v>271</v>
      </c>
      <c r="AD72">
        <v>1</v>
      </c>
      <c r="AF72" s="9">
        <v>3</v>
      </c>
      <c r="AI72">
        <v>19</v>
      </c>
    </row>
    <row r="73" spans="1:35" x14ac:dyDescent="0.35">
      <c r="A73" t="s">
        <v>68</v>
      </c>
      <c r="B73" t="s">
        <v>69</v>
      </c>
      <c r="C73" t="s">
        <v>33</v>
      </c>
      <c r="D73" t="s">
        <v>34</v>
      </c>
      <c r="E73" t="s">
        <v>309</v>
      </c>
      <c r="F73" t="s">
        <v>42</v>
      </c>
      <c r="I73" t="s">
        <v>42</v>
      </c>
      <c r="J73" t="s">
        <v>42</v>
      </c>
      <c r="K73" t="s">
        <v>334</v>
      </c>
      <c r="L73" t="s">
        <v>44</v>
      </c>
      <c r="M73" t="s">
        <v>77</v>
      </c>
      <c r="N73">
        <v>73</v>
      </c>
      <c r="O73" t="s">
        <v>119</v>
      </c>
      <c r="P73" t="s">
        <v>30</v>
      </c>
      <c r="Q73" t="s">
        <v>79</v>
      </c>
      <c r="R73">
        <v>1</v>
      </c>
      <c r="S73" t="s">
        <v>107</v>
      </c>
      <c r="T73" t="s">
        <v>107</v>
      </c>
      <c r="U73" t="s">
        <v>271</v>
      </c>
      <c r="AD73">
        <v>1</v>
      </c>
      <c r="AF73" s="9">
        <v>3</v>
      </c>
      <c r="AI73">
        <v>20</v>
      </c>
    </row>
    <row r="74" spans="1:35" x14ac:dyDescent="0.35">
      <c r="A74" t="s">
        <v>68</v>
      </c>
      <c r="B74" t="s">
        <v>69</v>
      </c>
      <c r="C74" t="s">
        <v>33</v>
      </c>
      <c r="D74" t="s">
        <v>34</v>
      </c>
      <c r="E74" t="s">
        <v>309</v>
      </c>
      <c r="F74" t="s">
        <v>42</v>
      </c>
      <c r="I74" t="s">
        <v>42</v>
      </c>
      <c r="J74" t="s">
        <v>42</v>
      </c>
      <c r="K74" t="s">
        <v>334</v>
      </c>
      <c r="L74" t="s">
        <v>44</v>
      </c>
      <c r="M74" t="s">
        <v>44</v>
      </c>
      <c r="N74">
        <v>74</v>
      </c>
      <c r="O74" t="s">
        <v>119</v>
      </c>
      <c r="P74" t="s">
        <v>30</v>
      </c>
      <c r="Q74" t="s">
        <v>79</v>
      </c>
      <c r="U74" t="s">
        <v>225</v>
      </c>
      <c r="AD74">
        <v>1</v>
      </c>
      <c r="AF74" s="9">
        <v>3</v>
      </c>
      <c r="AI74">
        <v>21</v>
      </c>
    </row>
    <row r="75" spans="1:35" x14ac:dyDescent="0.35">
      <c r="A75" t="s">
        <v>68</v>
      </c>
      <c r="B75" t="s">
        <v>69</v>
      </c>
      <c r="C75" t="s">
        <v>33</v>
      </c>
      <c r="D75" t="s">
        <v>34</v>
      </c>
      <c r="E75" t="s">
        <v>309</v>
      </c>
      <c r="F75" t="s">
        <v>42</v>
      </c>
      <c r="I75" t="s">
        <v>42</v>
      </c>
      <c r="J75" t="s">
        <v>42</v>
      </c>
      <c r="K75" t="s">
        <v>334</v>
      </c>
      <c r="L75" t="s">
        <v>44</v>
      </c>
      <c r="M75" t="s">
        <v>44</v>
      </c>
      <c r="N75">
        <v>75</v>
      </c>
      <c r="O75" t="s">
        <v>119</v>
      </c>
      <c r="P75" t="s">
        <v>30</v>
      </c>
      <c r="Q75" t="s">
        <v>79</v>
      </c>
      <c r="U75" t="s">
        <v>225</v>
      </c>
      <c r="AD75">
        <v>1</v>
      </c>
      <c r="AF75" s="9">
        <v>1</v>
      </c>
      <c r="AI75">
        <v>22</v>
      </c>
    </row>
    <row r="76" spans="1:35" x14ac:dyDescent="0.35">
      <c r="A76" t="s">
        <v>68</v>
      </c>
      <c r="B76" t="s">
        <v>69</v>
      </c>
      <c r="C76" t="s">
        <v>33</v>
      </c>
      <c r="D76" t="s">
        <v>34</v>
      </c>
      <c r="E76" t="s">
        <v>309</v>
      </c>
      <c r="F76" t="s">
        <v>42</v>
      </c>
      <c r="I76" t="s">
        <v>42</v>
      </c>
      <c r="J76" t="s">
        <v>42</v>
      </c>
      <c r="K76" t="s">
        <v>334</v>
      </c>
      <c r="L76" t="s">
        <v>44</v>
      </c>
      <c r="M76" t="s">
        <v>44</v>
      </c>
      <c r="N76">
        <v>76</v>
      </c>
      <c r="O76" t="s">
        <v>119</v>
      </c>
      <c r="P76" t="s">
        <v>30</v>
      </c>
      <c r="Q76" t="s">
        <v>79</v>
      </c>
      <c r="U76" t="s">
        <v>225</v>
      </c>
      <c r="AD76">
        <v>1</v>
      </c>
      <c r="AF76" s="9">
        <v>3</v>
      </c>
      <c r="AI76">
        <v>23</v>
      </c>
    </row>
    <row r="77" spans="1:35" x14ac:dyDescent="0.35">
      <c r="A77" t="s">
        <v>68</v>
      </c>
      <c r="B77" t="s">
        <v>69</v>
      </c>
      <c r="C77" t="s">
        <v>33</v>
      </c>
      <c r="D77" t="s">
        <v>34</v>
      </c>
      <c r="E77" t="s">
        <v>309</v>
      </c>
      <c r="F77" t="s">
        <v>42</v>
      </c>
      <c r="I77" t="s">
        <v>42</v>
      </c>
      <c r="J77" t="s">
        <v>42</v>
      </c>
      <c r="K77" t="s">
        <v>334</v>
      </c>
      <c r="L77" t="s">
        <v>44</v>
      </c>
      <c r="M77" t="s">
        <v>77</v>
      </c>
      <c r="N77">
        <v>77</v>
      </c>
      <c r="O77" t="s">
        <v>119</v>
      </c>
      <c r="P77" t="s">
        <v>30</v>
      </c>
      <c r="Q77" t="s">
        <v>79</v>
      </c>
      <c r="U77" t="s">
        <v>225</v>
      </c>
      <c r="AD77">
        <v>1</v>
      </c>
      <c r="AF77" s="9">
        <v>3</v>
      </c>
      <c r="AI77">
        <v>24</v>
      </c>
    </row>
    <row r="78" spans="1:35" x14ac:dyDescent="0.35">
      <c r="A78" t="s">
        <v>68</v>
      </c>
      <c r="B78" t="s">
        <v>69</v>
      </c>
      <c r="C78" t="s">
        <v>33</v>
      </c>
      <c r="D78" t="s">
        <v>34</v>
      </c>
      <c r="E78" t="s">
        <v>309</v>
      </c>
      <c r="F78" t="s">
        <v>42</v>
      </c>
      <c r="I78" t="s">
        <v>42</v>
      </c>
      <c r="J78" t="s">
        <v>42</v>
      </c>
      <c r="K78" t="s">
        <v>334</v>
      </c>
      <c r="L78" t="s">
        <v>44</v>
      </c>
      <c r="M78" t="s">
        <v>77</v>
      </c>
      <c r="N78">
        <v>78</v>
      </c>
      <c r="O78" t="s">
        <v>119</v>
      </c>
      <c r="P78" t="s">
        <v>30</v>
      </c>
      <c r="Q78" t="s">
        <v>79</v>
      </c>
      <c r="U78" t="s">
        <v>225</v>
      </c>
      <c r="AD78">
        <v>1</v>
      </c>
      <c r="AF78" s="9">
        <v>3</v>
      </c>
      <c r="AI78">
        <v>25</v>
      </c>
    </row>
    <row r="79" spans="1:35" x14ac:dyDescent="0.35">
      <c r="A79" t="s">
        <v>68</v>
      </c>
      <c r="B79" t="s">
        <v>69</v>
      </c>
      <c r="C79" t="s">
        <v>33</v>
      </c>
      <c r="D79" t="s">
        <v>34</v>
      </c>
      <c r="E79" t="s">
        <v>309</v>
      </c>
      <c r="F79" t="s">
        <v>42</v>
      </c>
      <c r="I79" t="s">
        <v>42</v>
      </c>
      <c r="J79" t="s">
        <v>42</v>
      </c>
      <c r="K79" t="s">
        <v>334</v>
      </c>
      <c r="L79" t="s">
        <v>44</v>
      </c>
      <c r="M79" t="s">
        <v>77</v>
      </c>
      <c r="N79">
        <v>79</v>
      </c>
      <c r="O79" t="s">
        <v>119</v>
      </c>
      <c r="P79" t="s">
        <v>30</v>
      </c>
      <c r="Q79" t="s">
        <v>79</v>
      </c>
      <c r="U79" t="s">
        <v>225</v>
      </c>
      <c r="AD79">
        <v>1</v>
      </c>
      <c r="AF79" s="9">
        <v>1</v>
      </c>
      <c r="AI79">
        <v>26</v>
      </c>
    </row>
    <row r="80" spans="1:35" x14ac:dyDescent="0.35">
      <c r="A80" t="s">
        <v>68</v>
      </c>
      <c r="B80" t="s">
        <v>69</v>
      </c>
      <c r="C80" t="s">
        <v>33</v>
      </c>
      <c r="D80" t="s">
        <v>34</v>
      </c>
      <c r="E80" t="s">
        <v>309</v>
      </c>
      <c r="F80" t="s">
        <v>42</v>
      </c>
      <c r="I80" t="s">
        <v>42</v>
      </c>
      <c r="J80" t="s">
        <v>42</v>
      </c>
      <c r="K80" t="s">
        <v>334</v>
      </c>
      <c r="L80" t="s">
        <v>44</v>
      </c>
      <c r="M80" t="s">
        <v>77</v>
      </c>
      <c r="N80">
        <v>80</v>
      </c>
      <c r="O80" t="s">
        <v>119</v>
      </c>
      <c r="P80" t="s">
        <v>30</v>
      </c>
      <c r="Q80" t="s">
        <v>79</v>
      </c>
      <c r="U80" t="s">
        <v>225</v>
      </c>
      <c r="AD80">
        <v>1</v>
      </c>
      <c r="AF80" s="9">
        <v>1</v>
      </c>
      <c r="AI80">
        <v>27</v>
      </c>
    </row>
    <row r="81" spans="1:35" x14ac:dyDescent="0.35">
      <c r="A81" t="s">
        <v>68</v>
      </c>
      <c r="B81" t="s">
        <v>69</v>
      </c>
      <c r="C81" t="s">
        <v>33</v>
      </c>
      <c r="D81" t="s">
        <v>34</v>
      </c>
      <c r="E81" t="s">
        <v>309</v>
      </c>
      <c r="F81" t="s">
        <v>42</v>
      </c>
      <c r="I81" t="s">
        <v>42</v>
      </c>
      <c r="J81" t="s">
        <v>42</v>
      </c>
      <c r="K81" t="s">
        <v>334</v>
      </c>
      <c r="L81" t="s">
        <v>44</v>
      </c>
      <c r="M81" t="s">
        <v>77</v>
      </c>
      <c r="N81">
        <v>81</v>
      </c>
      <c r="O81" t="s">
        <v>119</v>
      </c>
      <c r="P81" t="s">
        <v>30</v>
      </c>
      <c r="Q81" t="s">
        <v>79</v>
      </c>
      <c r="U81" t="s">
        <v>225</v>
      </c>
      <c r="AD81">
        <v>1</v>
      </c>
      <c r="AF81" s="9">
        <v>1</v>
      </c>
      <c r="AI81">
        <v>28</v>
      </c>
    </row>
    <row r="82" spans="1:35" x14ac:dyDescent="0.35">
      <c r="A82" t="s">
        <v>68</v>
      </c>
      <c r="B82" t="s">
        <v>69</v>
      </c>
      <c r="C82" t="s">
        <v>33</v>
      </c>
      <c r="D82" t="s">
        <v>34</v>
      </c>
      <c r="E82" t="s">
        <v>309</v>
      </c>
      <c r="F82" t="s">
        <v>42</v>
      </c>
      <c r="I82" t="s">
        <v>42</v>
      </c>
      <c r="J82" t="s">
        <v>42</v>
      </c>
      <c r="K82" t="s">
        <v>334</v>
      </c>
      <c r="L82" t="s">
        <v>44</v>
      </c>
      <c r="M82" t="s">
        <v>77</v>
      </c>
      <c r="N82">
        <v>82</v>
      </c>
      <c r="O82" t="s">
        <v>119</v>
      </c>
      <c r="P82" t="s">
        <v>30</v>
      </c>
      <c r="Q82" t="s">
        <v>79</v>
      </c>
      <c r="U82" t="s">
        <v>225</v>
      </c>
      <c r="AD82">
        <v>1</v>
      </c>
      <c r="AF82" s="9">
        <v>3</v>
      </c>
      <c r="AI82">
        <v>29</v>
      </c>
    </row>
    <row r="83" spans="1:35" x14ac:dyDescent="0.35">
      <c r="A83" t="s">
        <v>68</v>
      </c>
      <c r="B83" t="s">
        <v>69</v>
      </c>
      <c r="C83" t="s">
        <v>33</v>
      </c>
      <c r="D83" t="s">
        <v>34</v>
      </c>
      <c r="E83" t="s">
        <v>309</v>
      </c>
      <c r="F83" t="s">
        <v>42</v>
      </c>
      <c r="I83" t="s">
        <v>42</v>
      </c>
      <c r="J83" t="s">
        <v>42</v>
      </c>
      <c r="K83" t="s">
        <v>334</v>
      </c>
      <c r="L83" t="s">
        <v>44</v>
      </c>
      <c r="M83" t="s">
        <v>77</v>
      </c>
      <c r="N83">
        <v>83</v>
      </c>
      <c r="O83" t="s">
        <v>119</v>
      </c>
      <c r="P83" t="s">
        <v>30</v>
      </c>
      <c r="Q83" t="s">
        <v>79</v>
      </c>
      <c r="U83" t="s">
        <v>225</v>
      </c>
      <c r="AD83">
        <v>1</v>
      </c>
      <c r="AF83" s="9">
        <v>3</v>
      </c>
      <c r="AI83">
        <v>30</v>
      </c>
    </row>
    <row r="84" spans="1:35" x14ac:dyDescent="0.35">
      <c r="A84" t="s">
        <v>68</v>
      </c>
      <c r="B84" t="s">
        <v>69</v>
      </c>
      <c r="C84" t="s">
        <v>33</v>
      </c>
      <c r="D84" t="s">
        <v>34</v>
      </c>
      <c r="E84" t="s">
        <v>309</v>
      </c>
      <c r="F84" t="s">
        <v>42</v>
      </c>
      <c r="I84" t="s">
        <v>42</v>
      </c>
      <c r="J84" t="s">
        <v>42</v>
      </c>
      <c r="K84" t="s">
        <v>334</v>
      </c>
      <c r="L84" t="s">
        <v>44</v>
      </c>
      <c r="M84" t="s">
        <v>77</v>
      </c>
      <c r="N84">
        <v>84</v>
      </c>
      <c r="O84" t="s">
        <v>119</v>
      </c>
      <c r="P84" t="s">
        <v>30</v>
      </c>
      <c r="Q84" t="s">
        <v>79</v>
      </c>
      <c r="U84" t="s">
        <v>225</v>
      </c>
      <c r="AD84">
        <v>1</v>
      </c>
      <c r="AF84" s="9">
        <v>3</v>
      </c>
      <c r="AI84">
        <v>31</v>
      </c>
    </row>
    <row r="85" spans="1:35" x14ac:dyDescent="0.35">
      <c r="A85" t="s">
        <v>68</v>
      </c>
      <c r="B85" t="s">
        <v>69</v>
      </c>
      <c r="C85" t="s">
        <v>33</v>
      </c>
      <c r="D85" t="s">
        <v>34</v>
      </c>
      <c r="E85" t="s">
        <v>309</v>
      </c>
      <c r="F85" t="s">
        <v>42</v>
      </c>
      <c r="I85" t="s">
        <v>42</v>
      </c>
      <c r="J85" t="s">
        <v>42</v>
      </c>
      <c r="K85" t="s">
        <v>334</v>
      </c>
      <c r="L85" t="s">
        <v>44</v>
      </c>
      <c r="M85" t="s">
        <v>77</v>
      </c>
      <c r="N85">
        <v>85</v>
      </c>
      <c r="O85" t="s">
        <v>119</v>
      </c>
      <c r="P85" t="s">
        <v>30</v>
      </c>
      <c r="Q85" t="s">
        <v>79</v>
      </c>
      <c r="U85" t="s">
        <v>225</v>
      </c>
      <c r="AD85">
        <v>1</v>
      </c>
      <c r="AF85" s="9">
        <v>3</v>
      </c>
      <c r="AI85">
        <v>32</v>
      </c>
    </row>
    <row r="86" spans="1:35" x14ac:dyDescent="0.35">
      <c r="A86" t="s">
        <v>68</v>
      </c>
      <c r="B86" t="s">
        <v>69</v>
      </c>
      <c r="C86" t="s">
        <v>33</v>
      </c>
      <c r="D86" t="s">
        <v>34</v>
      </c>
      <c r="E86" t="s">
        <v>309</v>
      </c>
      <c r="F86" t="s">
        <v>42</v>
      </c>
      <c r="I86" t="s">
        <v>42</v>
      </c>
      <c r="J86" t="s">
        <v>42</v>
      </c>
      <c r="K86" t="s">
        <v>334</v>
      </c>
      <c r="L86" t="s">
        <v>44</v>
      </c>
      <c r="M86" t="s">
        <v>77</v>
      </c>
      <c r="N86">
        <v>86</v>
      </c>
      <c r="O86" t="s">
        <v>119</v>
      </c>
      <c r="P86" t="s">
        <v>30</v>
      </c>
      <c r="Q86" t="s">
        <v>79</v>
      </c>
      <c r="U86" t="s">
        <v>225</v>
      </c>
      <c r="AD86">
        <v>1</v>
      </c>
      <c r="AF86" s="9">
        <v>3</v>
      </c>
      <c r="AI86">
        <v>33</v>
      </c>
    </row>
    <row r="87" spans="1:35" x14ac:dyDescent="0.35">
      <c r="A87" t="s">
        <v>68</v>
      </c>
      <c r="B87" t="s">
        <v>69</v>
      </c>
      <c r="C87" t="s">
        <v>33</v>
      </c>
      <c r="D87" t="s">
        <v>34</v>
      </c>
      <c r="E87" t="s">
        <v>309</v>
      </c>
      <c r="F87" t="s">
        <v>42</v>
      </c>
      <c r="I87" t="s">
        <v>42</v>
      </c>
      <c r="J87" t="s">
        <v>42</v>
      </c>
      <c r="K87" t="s">
        <v>334</v>
      </c>
      <c r="L87" t="s">
        <v>44</v>
      </c>
      <c r="M87" t="s">
        <v>77</v>
      </c>
      <c r="N87">
        <v>87</v>
      </c>
      <c r="O87" t="s">
        <v>119</v>
      </c>
      <c r="P87" t="s">
        <v>30</v>
      </c>
      <c r="Q87" t="s">
        <v>79</v>
      </c>
      <c r="U87" t="s">
        <v>225</v>
      </c>
      <c r="AD87">
        <v>1</v>
      </c>
      <c r="AF87" s="9">
        <v>3</v>
      </c>
      <c r="AI87">
        <v>34</v>
      </c>
    </row>
    <row r="88" spans="1:35" x14ac:dyDescent="0.35">
      <c r="A88" t="s">
        <v>68</v>
      </c>
      <c r="B88" t="s">
        <v>69</v>
      </c>
      <c r="C88" t="s">
        <v>33</v>
      </c>
      <c r="D88" t="s">
        <v>34</v>
      </c>
      <c r="E88" t="s">
        <v>309</v>
      </c>
      <c r="F88" t="s">
        <v>42</v>
      </c>
      <c r="I88" t="s">
        <v>42</v>
      </c>
      <c r="J88" t="s">
        <v>42</v>
      </c>
      <c r="K88" t="s">
        <v>334</v>
      </c>
      <c r="L88" t="s">
        <v>44</v>
      </c>
      <c r="M88" t="s">
        <v>77</v>
      </c>
      <c r="N88">
        <v>88</v>
      </c>
      <c r="O88" t="s">
        <v>119</v>
      </c>
      <c r="P88" t="s">
        <v>30</v>
      </c>
      <c r="Q88" t="s">
        <v>79</v>
      </c>
      <c r="U88" t="s">
        <v>225</v>
      </c>
      <c r="AD88">
        <v>1</v>
      </c>
      <c r="AF88" s="9">
        <v>3</v>
      </c>
      <c r="AI88">
        <v>35</v>
      </c>
    </row>
    <row r="89" spans="1:35" x14ac:dyDescent="0.35">
      <c r="A89" t="s">
        <v>68</v>
      </c>
      <c r="B89" t="s">
        <v>69</v>
      </c>
      <c r="C89" t="s">
        <v>33</v>
      </c>
      <c r="D89" t="s">
        <v>34</v>
      </c>
      <c r="E89" t="s">
        <v>309</v>
      </c>
      <c r="F89" t="s">
        <v>42</v>
      </c>
      <c r="I89" t="s">
        <v>42</v>
      </c>
      <c r="J89" t="s">
        <v>42</v>
      </c>
      <c r="K89" t="s">
        <v>334</v>
      </c>
      <c r="L89" t="s">
        <v>44</v>
      </c>
      <c r="M89" t="s">
        <v>77</v>
      </c>
      <c r="N89">
        <v>89</v>
      </c>
      <c r="O89" t="s">
        <v>119</v>
      </c>
      <c r="P89" t="s">
        <v>30</v>
      </c>
      <c r="Q89" t="s">
        <v>79</v>
      </c>
      <c r="U89" t="s">
        <v>225</v>
      </c>
      <c r="AD89">
        <v>1</v>
      </c>
      <c r="AF89" s="9">
        <v>3</v>
      </c>
      <c r="AI89">
        <v>36</v>
      </c>
    </row>
    <row r="90" spans="1:35" x14ac:dyDescent="0.35">
      <c r="A90" t="s">
        <v>68</v>
      </c>
      <c r="B90" t="s">
        <v>69</v>
      </c>
      <c r="C90" t="s">
        <v>33</v>
      </c>
      <c r="D90" t="s">
        <v>34</v>
      </c>
      <c r="E90" t="s">
        <v>309</v>
      </c>
      <c r="F90" t="s">
        <v>42</v>
      </c>
      <c r="I90" t="s">
        <v>42</v>
      </c>
      <c r="J90" t="s">
        <v>42</v>
      </c>
      <c r="K90" t="s">
        <v>334</v>
      </c>
      <c r="L90" t="s">
        <v>44</v>
      </c>
      <c r="M90" t="s">
        <v>77</v>
      </c>
      <c r="N90">
        <v>90</v>
      </c>
      <c r="O90" t="s">
        <v>119</v>
      </c>
      <c r="P90" t="s">
        <v>30</v>
      </c>
      <c r="Q90" t="s">
        <v>79</v>
      </c>
      <c r="U90" t="s">
        <v>225</v>
      </c>
      <c r="AD90">
        <v>1</v>
      </c>
      <c r="AF90" s="9">
        <v>3</v>
      </c>
      <c r="AI90">
        <v>37</v>
      </c>
    </row>
    <row r="91" spans="1:35" x14ac:dyDescent="0.35">
      <c r="A91" t="s">
        <v>68</v>
      </c>
      <c r="B91" t="s">
        <v>69</v>
      </c>
      <c r="C91" t="s">
        <v>33</v>
      </c>
      <c r="D91" t="s">
        <v>34</v>
      </c>
      <c r="E91" t="s">
        <v>309</v>
      </c>
      <c r="F91" t="s">
        <v>42</v>
      </c>
      <c r="I91" t="s">
        <v>42</v>
      </c>
      <c r="J91" t="s">
        <v>42</v>
      </c>
      <c r="K91" t="s">
        <v>334</v>
      </c>
      <c r="L91" t="s">
        <v>44</v>
      </c>
      <c r="M91" t="s">
        <v>77</v>
      </c>
      <c r="N91">
        <v>91</v>
      </c>
      <c r="O91" t="s">
        <v>119</v>
      </c>
      <c r="P91" t="s">
        <v>30</v>
      </c>
      <c r="Q91" t="s">
        <v>79</v>
      </c>
      <c r="U91" t="s">
        <v>225</v>
      </c>
      <c r="AD91">
        <v>1</v>
      </c>
      <c r="AF91" s="9">
        <v>3</v>
      </c>
      <c r="AI91">
        <v>38</v>
      </c>
    </row>
    <row r="92" spans="1:35" x14ac:dyDescent="0.35">
      <c r="A92" t="s">
        <v>68</v>
      </c>
      <c r="B92" t="s">
        <v>69</v>
      </c>
      <c r="C92" t="s">
        <v>33</v>
      </c>
      <c r="D92" t="s">
        <v>34</v>
      </c>
      <c r="E92" t="s">
        <v>309</v>
      </c>
      <c r="F92" t="s">
        <v>42</v>
      </c>
      <c r="I92" t="s">
        <v>42</v>
      </c>
      <c r="J92" t="s">
        <v>42</v>
      </c>
      <c r="K92" t="s">
        <v>334</v>
      </c>
      <c r="L92" t="s">
        <v>44</v>
      </c>
      <c r="M92" t="s">
        <v>77</v>
      </c>
      <c r="N92">
        <v>92</v>
      </c>
      <c r="O92" t="s">
        <v>119</v>
      </c>
      <c r="P92" t="s">
        <v>30</v>
      </c>
      <c r="Q92" t="s">
        <v>79</v>
      </c>
      <c r="U92" t="s">
        <v>225</v>
      </c>
      <c r="AD92">
        <v>1</v>
      </c>
      <c r="AF92" s="9">
        <v>3</v>
      </c>
      <c r="AI92">
        <v>39</v>
      </c>
    </row>
    <row r="93" spans="1:35" x14ac:dyDescent="0.35">
      <c r="A93" t="s">
        <v>68</v>
      </c>
      <c r="B93" t="s">
        <v>69</v>
      </c>
      <c r="C93" t="s">
        <v>33</v>
      </c>
      <c r="D93" t="s">
        <v>34</v>
      </c>
      <c r="E93" t="s">
        <v>309</v>
      </c>
      <c r="F93" t="s">
        <v>42</v>
      </c>
      <c r="I93" t="s">
        <v>42</v>
      </c>
      <c r="J93" t="s">
        <v>42</v>
      </c>
      <c r="K93" t="s">
        <v>334</v>
      </c>
      <c r="L93" t="s">
        <v>44</v>
      </c>
      <c r="M93" t="s">
        <v>77</v>
      </c>
      <c r="N93">
        <v>93</v>
      </c>
      <c r="O93" t="s">
        <v>119</v>
      </c>
      <c r="P93" t="s">
        <v>30</v>
      </c>
      <c r="Q93" t="s">
        <v>79</v>
      </c>
      <c r="U93" t="s">
        <v>225</v>
      </c>
      <c r="AD93">
        <v>1</v>
      </c>
      <c r="AF93" s="9">
        <v>3</v>
      </c>
      <c r="AI93">
        <v>40</v>
      </c>
    </row>
    <row r="94" spans="1:35" x14ac:dyDescent="0.35">
      <c r="A94" t="s">
        <v>68</v>
      </c>
      <c r="B94" t="s">
        <v>69</v>
      </c>
      <c r="C94" t="s">
        <v>33</v>
      </c>
      <c r="D94" t="s">
        <v>34</v>
      </c>
      <c r="E94" t="s">
        <v>309</v>
      </c>
      <c r="F94" t="s">
        <v>42</v>
      </c>
      <c r="I94" t="s">
        <v>42</v>
      </c>
      <c r="J94" t="s">
        <v>42</v>
      </c>
      <c r="K94" t="s">
        <v>334</v>
      </c>
      <c r="L94" t="s">
        <v>44</v>
      </c>
      <c r="M94" t="s">
        <v>77</v>
      </c>
      <c r="N94">
        <v>94</v>
      </c>
      <c r="O94" t="s">
        <v>119</v>
      </c>
      <c r="P94" t="s">
        <v>30</v>
      </c>
      <c r="Q94" t="s">
        <v>79</v>
      </c>
      <c r="U94" t="s">
        <v>225</v>
      </c>
      <c r="AD94">
        <v>1</v>
      </c>
      <c r="AF94" s="9">
        <v>3</v>
      </c>
      <c r="AI94">
        <v>41</v>
      </c>
    </row>
    <row r="95" spans="1:35" x14ac:dyDescent="0.35">
      <c r="A95" t="s">
        <v>68</v>
      </c>
      <c r="B95" t="s">
        <v>69</v>
      </c>
      <c r="C95" t="s">
        <v>33</v>
      </c>
      <c r="D95" t="s">
        <v>34</v>
      </c>
      <c r="E95" t="s">
        <v>309</v>
      </c>
      <c r="F95" t="s">
        <v>42</v>
      </c>
      <c r="I95" t="s">
        <v>42</v>
      </c>
      <c r="J95" t="s">
        <v>42</v>
      </c>
      <c r="K95" t="s">
        <v>334</v>
      </c>
      <c r="L95" t="s">
        <v>44</v>
      </c>
      <c r="M95" t="s">
        <v>77</v>
      </c>
      <c r="N95">
        <v>95</v>
      </c>
      <c r="O95" t="s">
        <v>119</v>
      </c>
      <c r="P95" t="s">
        <v>30</v>
      </c>
      <c r="Q95" t="s">
        <v>79</v>
      </c>
      <c r="U95" t="s">
        <v>225</v>
      </c>
      <c r="AD95">
        <v>1</v>
      </c>
      <c r="AF95" s="9">
        <v>3</v>
      </c>
      <c r="AI95">
        <v>42</v>
      </c>
    </row>
    <row r="96" spans="1:35" x14ac:dyDescent="0.35">
      <c r="A96" t="s">
        <v>68</v>
      </c>
      <c r="B96" t="s">
        <v>69</v>
      </c>
      <c r="C96" t="s">
        <v>33</v>
      </c>
      <c r="D96" t="s">
        <v>34</v>
      </c>
      <c r="E96" t="s">
        <v>309</v>
      </c>
      <c r="F96" t="s">
        <v>42</v>
      </c>
      <c r="I96" t="s">
        <v>42</v>
      </c>
      <c r="J96" t="s">
        <v>42</v>
      </c>
      <c r="K96" t="s">
        <v>334</v>
      </c>
      <c r="L96" t="s">
        <v>44</v>
      </c>
      <c r="M96" t="s">
        <v>77</v>
      </c>
      <c r="N96">
        <v>96</v>
      </c>
      <c r="O96" t="s">
        <v>119</v>
      </c>
      <c r="P96" t="s">
        <v>30</v>
      </c>
      <c r="Q96" t="s">
        <v>79</v>
      </c>
      <c r="U96" t="s">
        <v>225</v>
      </c>
      <c r="AD96">
        <v>1</v>
      </c>
      <c r="AF96" s="9">
        <v>3</v>
      </c>
      <c r="AI96">
        <v>43</v>
      </c>
    </row>
    <row r="97" spans="1:35" x14ac:dyDescent="0.35">
      <c r="A97" t="s">
        <v>68</v>
      </c>
      <c r="B97" t="s">
        <v>69</v>
      </c>
      <c r="C97" t="s">
        <v>33</v>
      </c>
      <c r="D97" t="s">
        <v>34</v>
      </c>
      <c r="E97" t="s">
        <v>309</v>
      </c>
      <c r="F97" t="s">
        <v>42</v>
      </c>
      <c r="I97" t="s">
        <v>42</v>
      </c>
      <c r="J97" t="s">
        <v>42</v>
      </c>
      <c r="K97" t="s">
        <v>334</v>
      </c>
      <c r="L97" t="s">
        <v>44</v>
      </c>
      <c r="M97" t="s">
        <v>77</v>
      </c>
      <c r="N97">
        <v>97</v>
      </c>
      <c r="O97" t="s">
        <v>119</v>
      </c>
      <c r="P97" t="s">
        <v>30</v>
      </c>
      <c r="Q97" t="s">
        <v>79</v>
      </c>
      <c r="U97" t="s">
        <v>225</v>
      </c>
      <c r="AD97">
        <v>1</v>
      </c>
      <c r="AF97" s="9">
        <v>3</v>
      </c>
      <c r="AI97">
        <v>44</v>
      </c>
    </row>
    <row r="98" spans="1:35" x14ac:dyDescent="0.35">
      <c r="A98" t="s">
        <v>68</v>
      </c>
      <c r="B98" t="s">
        <v>69</v>
      </c>
      <c r="C98" t="s">
        <v>33</v>
      </c>
      <c r="D98" t="s">
        <v>34</v>
      </c>
      <c r="E98" t="s">
        <v>309</v>
      </c>
      <c r="F98" t="s">
        <v>42</v>
      </c>
      <c r="I98" t="s">
        <v>42</v>
      </c>
      <c r="J98" t="s">
        <v>42</v>
      </c>
      <c r="K98" t="s">
        <v>334</v>
      </c>
      <c r="L98" t="s">
        <v>44</v>
      </c>
      <c r="M98" t="s">
        <v>77</v>
      </c>
      <c r="N98">
        <v>98</v>
      </c>
      <c r="O98" t="s">
        <v>119</v>
      </c>
      <c r="P98" t="s">
        <v>30</v>
      </c>
      <c r="Q98" t="s">
        <v>79</v>
      </c>
      <c r="U98" t="s">
        <v>225</v>
      </c>
      <c r="AD98">
        <v>1</v>
      </c>
      <c r="AF98" s="9">
        <v>3</v>
      </c>
      <c r="AI98">
        <v>45</v>
      </c>
    </row>
    <row r="99" spans="1:35" x14ac:dyDescent="0.35">
      <c r="A99" t="s">
        <v>68</v>
      </c>
      <c r="B99" t="s">
        <v>69</v>
      </c>
      <c r="C99" t="s">
        <v>33</v>
      </c>
      <c r="D99" t="s">
        <v>34</v>
      </c>
      <c r="E99" t="s">
        <v>309</v>
      </c>
      <c r="F99" t="s">
        <v>42</v>
      </c>
      <c r="I99" t="s">
        <v>42</v>
      </c>
      <c r="J99" t="s">
        <v>42</v>
      </c>
      <c r="K99" t="s">
        <v>334</v>
      </c>
      <c r="L99" t="s">
        <v>44</v>
      </c>
      <c r="M99" t="s">
        <v>77</v>
      </c>
      <c r="N99">
        <v>99</v>
      </c>
      <c r="O99" t="s">
        <v>119</v>
      </c>
      <c r="P99" t="s">
        <v>30</v>
      </c>
      <c r="Q99" t="s">
        <v>79</v>
      </c>
      <c r="U99" t="s">
        <v>225</v>
      </c>
      <c r="AD99">
        <v>1</v>
      </c>
      <c r="AF99" s="9">
        <v>3</v>
      </c>
      <c r="AI99">
        <v>46</v>
      </c>
    </row>
    <row r="100" spans="1:35" x14ac:dyDescent="0.35">
      <c r="A100" t="s">
        <v>68</v>
      </c>
      <c r="B100" t="s">
        <v>69</v>
      </c>
      <c r="C100" t="s">
        <v>33</v>
      </c>
      <c r="D100" t="s">
        <v>34</v>
      </c>
      <c r="E100" t="s">
        <v>309</v>
      </c>
      <c r="F100" t="s">
        <v>42</v>
      </c>
      <c r="I100" t="s">
        <v>42</v>
      </c>
      <c r="J100" t="s">
        <v>42</v>
      </c>
      <c r="K100" t="s">
        <v>334</v>
      </c>
      <c r="L100" t="s">
        <v>44</v>
      </c>
      <c r="M100" t="s">
        <v>44</v>
      </c>
      <c r="N100">
        <v>100</v>
      </c>
      <c r="O100" t="s">
        <v>119</v>
      </c>
      <c r="P100" t="s">
        <v>30</v>
      </c>
      <c r="Q100" t="s">
        <v>79</v>
      </c>
      <c r="U100" t="s">
        <v>225</v>
      </c>
      <c r="AD100">
        <v>1</v>
      </c>
      <c r="AF100" s="9">
        <v>3</v>
      </c>
      <c r="AI100">
        <v>47</v>
      </c>
    </row>
    <row r="101" spans="1:35" x14ac:dyDescent="0.35">
      <c r="A101" t="s">
        <v>68</v>
      </c>
      <c r="B101" t="s">
        <v>69</v>
      </c>
      <c r="C101" t="s">
        <v>33</v>
      </c>
      <c r="D101" t="s">
        <v>34</v>
      </c>
      <c r="E101" t="s">
        <v>309</v>
      </c>
      <c r="F101" t="s">
        <v>42</v>
      </c>
      <c r="I101" t="s">
        <v>42</v>
      </c>
      <c r="J101" t="s">
        <v>42</v>
      </c>
      <c r="K101" t="s">
        <v>334</v>
      </c>
      <c r="L101" t="s">
        <v>44</v>
      </c>
      <c r="M101" t="s">
        <v>44</v>
      </c>
      <c r="N101">
        <v>101</v>
      </c>
      <c r="O101" t="s">
        <v>119</v>
      </c>
      <c r="P101" t="s">
        <v>30</v>
      </c>
      <c r="Q101" t="s">
        <v>79</v>
      </c>
      <c r="U101" t="s">
        <v>225</v>
      </c>
      <c r="AD101">
        <v>1</v>
      </c>
      <c r="AF101" s="9">
        <v>3</v>
      </c>
      <c r="AI101">
        <v>48</v>
      </c>
    </row>
    <row r="102" spans="1:35" x14ac:dyDescent="0.35">
      <c r="A102" t="s">
        <v>68</v>
      </c>
      <c r="B102" t="s">
        <v>69</v>
      </c>
      <c r="C102" t="s">
        <v>33</v>
      </c>
      <c r="D102" t="s">
        <v>34</v>
      </c>
      <c r="E102" t="s">
        <v>309</v>
      </c>
      <c r="F102" t="s">
        <v>42</v>
      </c>
      <c r="I102" t="s">
        <v>42</v>
      </c>
      <c r="J102" t="s">
        <v>42</v>
      </c>
      <c r="K102" t="s">
        <v>334</v>
      </c>
      <c r="L102" t="s">
        <v>44</v>
      </c>
      <c r="M102" t="s">
        <v>44</v>
      </c>
      <c r="N102">
        <v>102</v>
      </c>
      <c r="O102" t="s">
        <v>119</v>
      </c>
      <c r="P102" t="s">
        <v>30</v>
      </c>
      <c r="Q102" t="s">
        <v>79</v>
      </c>
      <c r="U102" t="s">
        <v>225</v>
      </c>
      <c r="AD102">
        <v>1</v>
      </c>
      <c r="AF102" s="9">
        <v>3</v>
      </c>
      <c r="AI102">
        <v>49</v>
      </c>
    </row>
    <row r="103" spans="1:35" x14ac:dyDescent="0.35">
      <c r="A103" t="s">
        <v>68</v>
      </c>
      <c r="B103" t="s">
        <v>69</v>
      </c>
      <c r="C103" t="s">
        <v>33</v>
      </c>
      <c r="D103" t="s">
        <v>34</v>
      </c>
      <c r="E103" t="s">
        <v>309</v>
      </c>
      <c r="F103" t="s">
        <v>42</v>
      </c>
      <c r="I103" t="s">
        <v>42</v>
      </c>
      <c r="J103" t="s">
        <v>42</v>
      </c>
      <c r="K103" t="s">
        <v>334</v>
      </c>
      <c r="L103" t="s">
        <v>44</v>
      </c>
      <c r="M103" t="s">
        <v>44</v>
      </c>
      <c r="N103">
        <v>103</v>
      </c>
      <c r="O103" t="s">
        <v>119</v>
      </c>
      <c r="P103" t="s">
        <v>30</v>
      </c>
      <c r="Q103" t="s">
        <v>79</v>
      </c>
      <c r="U103" t="s">
        <v>225</v>
      </c>
      <c r="AD103">
        <v>1</v>
      </c>
      <c r="AF103" s="9">
        <v>3</v>
      </c>
      <c r="AI103">
        <v>50</v>
      </c>
    </row>
    <row r="104" spans="1:35" x14ac:dyDescent="0.35">
      <c r="A104" t="s">
        <v>68</v>
      </c>
      <c r="B104" t="s">
        <v>69</v>
      </c>
      <c r="C104" t="s">
        <v>33</v>
      </c>
      <c r="D104" t="s">
        <v>34</v>
      </c>
      <c r="E104" t="s">
        <v>309</v>
      </c>
      <c r="F104" t="s">
        <v>42</v>
      </c>
      <c r="I104" t="s">
        <v>42</v>
      </c>
      <c r="J104" t="s">
        <v>42</v>
      </c>
      <c r="K104" t="s">
        <v>334</v>
      </c>
      <c r="L104" t="s">
        <v>44</v>
      </c>
      <c r="M104" t="s">
        <v>44</v>
      </c>
      <c r="N104">
        <v>104</v>
      </c>
      <c r="O104" t="s">
        <v>119</v>
      </c>
      <c r="P104" t="s">
        <v>30</v>
      </c>
      <c r="Q104" t="s">
        <v>79</v>
      </c>
      <c r="U104" t="s">
        <v>225</v>
      </c>
      <c r="AD104">
        <v>1</v>
      </c>
      <c r="AF104" s="9">
        <v>3</v>
      </c>
      <c r="AI104">
        <v>51</v>
      </c>
    </row>
    <row r="105" spans="1:35" x14ac:dyDescent="0.35">
      <c r="A105" t="s">
        <v>68</v>
      </c>
      <c r="B105" t="s">
        <v>69</v>
      </c>
      <c r="C105" t="s">
        <v>33</v>
      </c>
      <c r="D105" t="s">
        <v>34</v>
      </c>
      <c r="E105" t="s">
        <v>309</v>
      </c>
      <c r="F105" t="s">
        <v>42</v>
      </c>
      <c r="I105" t="s">
        <v>42</v>
      </c>
      <c r="J105" t="s">
        <v>42</v>
      </c>
      <c r="K105" t="s">
        <v>334</v>
      </c>
      <c r="L105" t="s">
        <v>44</v>
      </c>
      <c r="M105" t="s">
        <v>44</v>
      </c>
      <c r="N105">
        <v>105</v>
      </c>
      <c r="O105" t="s">
        <v>119</v>
      </c>
      <c r="P105" t="s">
        <v>30</v>
      </c>
      <c r="Q105" t="s">
        <v>79</v>
      </c>
      <c r="U105" t="s">
        <v>225</v>
      </c>
      <c r="AD105">
        <v>1</v>
      </c>
      <c r="AF105" s="9">
        <v>3</v>
      </c>
      <c r="AI105">
        <v>52</v>
      </c>
    </row>
    <row r="106" spans="1:35" x14ac:dyDescent="0.35">
      <c r="A106" t="s">
        <v>68</v>
      </c>
      <c r="B106" t="s">
        <v>69</v>
      </c>
      <c r="C106" t="s">
        <v>33</v>
      </c>
      <c r="D106" t="s">
        <v>34</v>
      </c>
      <c r="E106" t="s">
        <v>309</v>
      </c>
      <c r="F106" t="s">
        <v>42</v>
      </c>
      <c r="I106" t="s">
        <v>42</v>
      </c>
      <c r="J106" t="s">
        <v>42</v>
      </c>
      <c r="K106" t="s">
        <v>334</v>
      </c>
      <c r="L106" t="s">
        <v>44</v>
      </c>
      <c r="M106" t="s">
        <v>44</v>
      </c>
      <c r="N106">
        <v>106</v>
      </c>
      <c r="O106" t="s">
        <v>119</v>
      </c>
      <c r="P106" t="s">
        <v>30</v>
      </c>
      <c r="Q106" t="s">
        <v>79</v>
      </c>
      <c r="R106">
        <v>0</v>
      </c>
      <c r="S106" t="s">
        <v>107</v>
      </c>
      <c r="T106" t="s">
        <v>107</v>
      </c>
      <c r="U106" t="s">
        <v>271</v>
      </c>
      <c r="AD106">
        <v>1</v>
      </c>
      <c r="AF106" s="9">
        <v>3</v>
      </c>
      <c r="AI106">
        <v>53</v>
      </c>
    </row>
    <row r="107" spans="1:35" x14ac:dyDescent="0.35">
      <c r="A107" t="s">
        <v>68</v>
      </c>
      <c r="B107" t="s">
        <v>69</v>
      </c>
      <c r="C107" t="s">
        <v>33</v>
      </c>
      <c r="D107" t="s">
        <v>34</v>
      </c>
      <c r="E107" t="s">
        <v>309</v>
      </c>
      <c r="F107" t="s">
        <v>42</v>
      </c>
      <c r="I107" t="s">
        <v>42</v>
      </c>
      <c r="J107" t="s">
        <v>42</v>
      </c>
      <c r="K107" t="s">
        <v>334</v>
      </c>
      <c r="L107" t="s">
        <v>44</v>
      </c>
      <c r="M107" t="s">
        <v>44</v>
      </c>
      <c r="N107">
        <v>107</v>
      </c>
      <c r="O107" t="s">
        <v>119</v>
      </c>
      <c r="P107" t="s">
        <v>30</v>
      </c>
      <c r="Q107" t="s">
        <v>79</v>
      </c>
      <c r="R107">
        <v>0</v>
      </c>
      <c r="S107" t="s">
        <v>107</v>
      </c>
      <c r="T107" t="s">
        <v>107</v>
      </c>
      <c r="U107" t="s">
        <v>271</v>
      </c>
      <c r="AD107">
        <v>1</v>
      </c>
      <c r="AF107" s="9">
        <v>3</v>
      </c>
      <c r="AI107">
        <v>54</v>
      </c>
    </row>
    <row r="108" spans="1:35" x14ac:dyDescent="0.35">
      <c r="A108" t="s">
        <v>68</v>
      </c>
      <c r="B108" t="s">
        <v>69</v>
      </c>
      <c r="C108" t="s">
        <v>33</v>
      </c>
      <c r="D108" t="s">
        <v>34</v>
      </c>
      <c r="E108" t="s">
        <v>309</v>
      </c>
      <c r="F108" t="s">
        <v>42</v>
      </c>
      <c r="I108" t="s">
        <v>42</v>
      </c>
      <c r="J108" t="s">
        <v>42</v>
      </c>
      <c r="K108" t="s">
        <v>334</v>
      </c>
      <c r="L108" t="s">
        <v>44</v>
      </c>
      <c r="M108" t="s">
        <v>44</v>
      </c>
      <c r="N108">
        <v>108</v>
      </c>
      <c r="O108" t="s">
        <v>119</v>
      </c>
      <c r="P108" t="s">
        <v>30</v>
      </c>
      <c r="Q108" t="s">
        <v>81</v>
      </c>
      <c r="R108">
        <v>1</v>
      </c>
      <c r="S108" t="s">
        <v>107</v>
      </c>
      <c r="T108" t="s">
        <v>107</v>
      </c>
      <c r="U108" t="s">
        <v>271</v>
      </c>
      <c r="AD108">
        <v>1</v>
      </c>
      <c r="AF108" s="9">
        <v>3</v>
      </c>
      <c r="AI108">
        <v>55</v>
      </c>
    </row>
    <row r="109" spans="1:35" x14ac:dyDescent="0.35">
      <c r="A109" t="s">
        <v>68</v>
      </c>
      <c r="B109" t="s">
        <v>69</v>
      </c>
      <c r="C109" t="s">
        <v>33</v>
      </c>
      <c r="D109" t="s">
        <v>34</v>
      </c>
      <c r="E109" t="s">
        <v>309</v>
      </c>
      <c r="F109" t="s">
        <v>42</v>
      </c>
      <c r="I109" t="s">
        <v>42</v>
      </c>
      <c r="J109" t="s">
        <v>42</v>
      </c>
      <c r="K109" t="s">
        <v>334</v>
      </c>
      <c r="L109" t="s">
        <v>44</v>
      </c>
      <c r="M109" t="s">
        <v>44</v>
      </c>
      <c r="N109">
        <v>109</v>
      </c>
      <c r="O109" t="s">
        <v>119</v>
      </c>
      <c r="P109" t="s">
        <v>30</v>
      </c>
      <c r="Q109" t="s">
        <v>81</v>
      </c>
      <c r="R109">
        <v>0</v>
      </c>
      <c r="S109" t="s">
        <v>107</v>
      </c>
      <c r="T109" t="s">
        <v>107</v>
      </c>
      <c r="U109" t="s">
        <v>271</v>
      </c>
      <c r="AD109">
        <v>1</v>
      </c>
      <c r="AF109" s="9">
        <v>3</v>
      </c>
      <c r="AI109">
        <v>56</v>
      </c>
    </row>
    <row r="110" spans="1:35" x14ac:dyDescent="0.35">
      <c r="A110" t="s">
        <v>68</v>
      </c>
      <c r="B110" t="s">
        <v>69</v>
      </c>
      <c r="C110" t="s">
        <v>33</v>
      </c>
      <c r="D110" t="s">
        <v>34</v>
      </c>
      <c r="E110" t="s">
        <v>309</v>
      </c>
      <c r="F110" t="s">
        <v>42</v>
      </c>
      <c r="I110" t="s">
        <v>42</v>
      </c>
      <c r="J110" t="s">
        <v>42</v>
      </c>
      <c r="K110" t="s">
        <v>334</v>
      </c>
      <c r="L110" t="s">
        <v>44</v>
      </c>
      <c r="M110" t="s">
        <v>44</v>
      </c>
      <c r="N110">
        <v>110</v>
      </c>
      <c r="O110" t="s">
        <v>119</v>
      </c>
      <c r="P110" t="s">
        <v>30</v>
      </c>
      <c r="Q110" t="s">
        <v>81</v>
      </c>
      <c r="R110">
        <v>1</v>
      </c>
      <c r="S110" t="s">
        <v>107</v>
      </c>
      <c r="T110" t="s">
        <v>107</v>
      </c>
      <c r="U110" t="s">
        <v>271</v>
      </c>
      <c r="AD110">
        <v>1</v>
      </c>
      <c r="AF110" s="9">
        <v>3</v>
      </c>
      <c r="AI110">
        <v>57</v>
      </c>
    </row>
    <row r="111" spans="1:35" x14ac:dyDescent="0.35">
      <c r="A111" t="s">
        <v>68</v>
      </c>
      <c r="B111" t="s">
        <v>69</v>
      </c>
      <c r="C111" t="s">
        <v>33</v>
      </c>
      <c r="D111" t="s">
        <v>34</v>
      </c>
      <c r="E111" t="s">
        <v>309</v>
      </c>
      <c r="F111" t="s">
        <v>42</v>
      </c>
      <c r="I111" t="s">
        <v>42</v>
      </c>
      <c r="J111" t="s">
        <v>42</v>
      </c>
      <c r="K111" t="s">
        <v>334</v>
      </c>
      <c r="L111" t="s">
        <v>44</v>
      </c>
      <c r="M111" t="s">
        <v>44</v>
      </c>
      <c r="N111">
        <v>111</v>
      </c>
      <c r="O111" t="s">
        <v>119</v>
      </c>
      <c r="P111" t="s">
        <v>30</v>
      </c>
      <c r="Q111" t="s">
        <v>81</v>
      </c>
      <c r="R111">
        <v>1</v>
      </c>
      <c r="S111" t="s">
        <v>107</v>
      </c>
      <c r="T111" t="s">
        <v>107</v>
      </c>
      <c r="U111" t="s">
        <v>271</v>
      </c>
      <c r="AD111">
        <v>1</v>
      </c>
      <c r="AF111" s="9">
        <v>1</v>
      </c>
      <c r="AI111">
        <v>58</v>
      </c>
    </row>
    <row r="112" spans="1:35" x14ac:dyDescent="0.35">
      <c r="A112" t="s">
        <v>68</v>
      </c>
      <c r="B112" t="s">
        <v>69</v>
      </c>
      <c r="C112" t="s">
        <v>33</v>
      </c>
      <c r="D112" t="s">
        <v>34</v>
      </c>
      <c r="E112" t="s">
        <v>309</v>
      </c>
      <c r="F112" t="s">
        <v>42</v>
      </c>
      <c r="I112" t="s">
        <v>42</v>
      </c>
      <c r="J112" t="s">
        <v>42</v>
      </c>
      <c r="K112" t="s">
        <v>334</v>
      </c>
      <c r="L112" t="s">
        <v>44</v>
      </c>
      <c r="M112" t="s">
        <v>44</v>
      </c>
      <c r="N112">
        <v>112</v>
      </c>
      <c r="O112" t="s">
        <v>119</v>
      </c>
      <c r="P112" t="s">
        <v>30</v>
      </c>
      <c r="Q112" t="s">
        <v>81</v>
      </c>
      <c r="S112" t="s">
        <v>107</v>
      </c>
      <c r="T112" t="s">
        <v>107</v>
      </c>
      <c r="U112" t="s">
        <v>271</v>
      </c>
      <c r="AD112">
        <v>1</v>
      </c>
      <c r="AF112" s="9">
        <v>3</v>
      </c>
      <c r="AI112">
        <v>59</v>
      </c>
    </row>
    <row r="113" spans="1:35" x14ac:dyDescent="0.35">
      <c r="A113" t="s">
        <v>68</v>
      </c>
      <c r="B113" t="s">
        <v>69</v>
      </c>
      <c r="C113" t="s">
        <v>33</v>
      </c>
      <c r="D113" t="s">
        <v>34</v>
      </c>
      <c r="E113" t="s">
        <v>309</v>
      </c>
      <c r="F113" t="s">
        <v>42</v>
      </c>
      <c r="I113" t="s">
        <v>42</v>
      </c>
      <c r="J113" t="s">
        <v>42</v>
      </c>
      <c r="K113" t="s">
        <v>334</v>
      </c>
      <c r="L113" t="s">
        <v>44</v>
      </c>
      <c r="M113" t="s">
        <v>44</v>
      </c>
      <c r="N113">
        <v>113</v>
      </c>
      <c r="O113" t="s">
        <v>119</v>
      </c>
      <c r="P113" t="s">
        <v>30</v>
      </c>
      <c r="Q113" t="s">
        <v>82</v>
      </c>
      <c r="R113">
        <v>0</v>
      </c>
      <c r="S113" t="s">
        <v>107</v>
      </c>
      <c r="T113" t="s">
        <v>107</v>
      </c>
      <c r="U113" t="s">
        <v>271</v>
      </c>
      <c r="AD113">
        <v>1</v>
      </c>
      <c r="AF113">
        <v>2</v>
      </c>
      <c r="AI113">
        <v>60</v>
      </c>
    </row>
    <row r="114" spans="1:35" x14ac:dyDescent="0.35">
      <c r="A114" t="s">
        <v>68</v>
      </c>
      <c r="B114" t="s">
        <v>69</v>
      </c>
      <c r="C114" t="s">
        <v>33</v>
      </c>
      <c r="D114" t="s">
        <v>34</v>
      </c>
      <c r="E114" t="s">
        <v>309</v>
      </c>
      <c r="F114" t="s">
        <v>42</v>
      </c>
      <c r="I114" t="s">
        <v>42</v>
      </c>
      <c r="J114" t="s">
        <v>42</v>
      </c>
      <c r="K114" t="s">
        <v>334</v>
      </c>
      <c r="L114" t="s">
        <v>44</v>
      </c>
      <c r="M114" t="s">
        <v>44</v>
      </c>
      <c r="N114">
        <v>114</v>
      </c>
      <c r="O114" t="s">
        <v>119</v>
      </c>
      <c r="P114" t="s">
        <v>30</v>
      </c>
      <c r="Q114" t="s">
        <v>82</v>
      </c>
      <c r="R114">
        <v>0</v>
      </c>
      <c r="S114" t="s">
        <v>107</v>
      </c>
      <c r="T114" t="s">
        <v>107</v>
      </c>
      <c r="U114" t="s">
        <v>271</v>
      </c>
      <c r="AD114">
        <v>1</v>
      </c>
      <c r="AF114">
        <v>2</v>
      </c>
      <c r="AI114">
        <v>61</v>
      </c>
    </row>
    <row r="115" spans="1:35" x14ac:dyDescent="0.35">
      <c r="A115" t="s">
        <v>68</v>
      </c>
      <c r="B115" t="s">
        <v>69</v>
      </c>
      <c r="C115" t="s">
        <v>33</v>
      </c>
      <c r="D115" t="s">
        <v>34</v>
      </c>
      <c r="E115" t="s">
        <v>309</v>
      </c>
      <c r="F115" t="s">
        <v>42</v>
      </c>
      <c r="I115" t="s">
        <v>42</v>
      </c>
      <c r="J115" t="s">
        <v>42</v>
      </c>
      <c r="K115" t="s">
        <v>334</v>
      </c>
      <c r="L115" t="s">
        <v>44</v>
      </c>
      <c r="M115" t="s">
        <v>44</v>
      </c>
      <c r="N115">
        <v>115</v>
      </c>
      <c r="O115" t="s">
        <v>119</v>
      </c>
      <c r="P115" t="s">
        <v>30</v>
      </c>
      <c r="Q115" t="s">
        <v>82</v>
      </c>
      <c r="U115" t="s">
        <v>225</v>
      </c>
      <c r="AD115">
        <v>1</v>
      </c>
      <c r="AF115">
        <v>2</v>
      </c>
      <c r="AI115">
        <v>62</v>
      </c>
    </row>
    <row r="116" spans="1:35" x14ac:dyDescent="0.35">
      <c r="A116" t="s">
        <v>68</v>
      </c>
      <c r="B116" t="s">
        <v>69</v>
      </c>
      <c r="C116" t="s">
        <v>33</v>
      </c>
      <c r="D116" t="s">
        <v>34</v>
      </c>
      <c r="E116" t="s">
        <v>309</v>
      </c>
      <c r="F116" t="s">
        <v>42</v>
      </c>
      <c r="I116" t="s">
        <v>42</v>
      </c>
      <c r="J116" t="s">
        <v>42</v>
      </c>
      <c r="K116" t="s">
        <v>334</v>
      </c>
      <c r="L116" t="s">
        <v>44</v>
      </c>
      <c r="M116" t="s">
        <v>44</v>
      </c>
      <c r="N116">
        <v>116</v>
      </c>
      <c r="O116" t="s">
        <v>119</v>
      </c>
      <c r="P116" t="s">
        <v>30</v>
      </c>
      <c r="Q116" t="s">
        <v>82</v>
      </c>
      <c r="U116" t="s">
        <v>225</v>
      </c>
      <c r="AD116">
        <v>1</v>
      </c>
      <c r="AF116">
        <v>2</v>
      </c>
      <c r="AI116">
        <v>63</v>
      </c>
    </row>
    <row r="117" spans="1:35" x14ac:dyDescent="0.35">
      <c r="A117" t="s">
        <v>68</v>
      </c>
      <c r="B117" t="s">
        <v>69</v>
      </c>
      <c r="C117" t="s">
        <v>33</v>
      </c>
      <c r="D117" t="s">
        <v>34</v>
      </c>
      <c r="E117" t="s">
        <v>309</v>
      </c>
      <c r="F117" t="s">
        <v>42</v>
      </c>
      <c r="I117" t="s">
        <v>42</v>
      </c>
      <c r="J117" t="s">
        <v>42</v>
      </c>
      <c r="K117" t="s">
        <v>334</v>
      </c>
      <c r="L117" t="s">
        <v>44</v>
      </c>
      <c r="M117" t="s">
        <v>44</v>
      </c>
      <c r="N117">
        <v>117</v>
      </c>
      <c r="O117" t="s">
        <v>119</v>
      </c>
      <c r="P117" t="s">
        <v>30</v>
      </c>
      <c r="Q117" t="s">
        <v>82</v>
      </c>
      <c r="U117" t="s">
        <v>225</v>
      </c>
      <c r="AD117">
        <v>1</v>
      </c>
      <c r="AF117">
        <v>2</v>
      </c>
      <c r="AI117">
        <v>64</v>
      </c>
    </row>
    <row r="118" spans="1:35" x14ac:dyDescent="0.35">
      <c r="A118" t="s">
        <v>68</v>
      </c>
      <c r="B118" t="s">
        <v>69</v>
      </c>
      <c r="C118" t="s">
        <v>33</v>
      </c>
      <c r="D118" t="s">
        <v>34</v>
      </c>
      <c r="E118" t="s">
        <v>309</v>
      </c>
      <c r="F118" t="s">
        <v>42</v>
      </c>
      <c r="I118" t="s">
        <v>42</v>
      </c>
      <c r="J118" t="s">
        <v>42</v>
      </c>
      <c r="K118" t="s">
        <v>334</v>
      </c>
      <c r="L118" t="s">
        <v>44</v>
      </c>
      <c r="M118" t="s">
        <v>44</v>
      </c>
      <c r="N118">
        <v>118</v>
      </c>
      <c r="O118" t="s">
        <v>119</v>
      </c>
      <c r="P118" t="s">
        <v>30</v>
      </c>
      <c r="Q118" t="s">
        <v>82</v>
      </c>
      <c r="U118" t="s">
        <v>225</v>
      </c>
      <c r="AD118">
        <v>1</v>
      </c>
      <c r="AF118" s="3">
        <v>2</v>
      </c>
      <c r="AI118">
        <v>65</v>
      </c>
    </row>
    <row r="119" spans="1:35" x14ac:dyDescent="0.35">
      <c r="A119" t="s">
        <v>68</v>
      </c>
      <c r="B119" t="s">
        <v>69</v>
      </c>
      <c r="C119" t="s">
        <v>33</v>
      </c>
      <c r="D119" t="s">
        <v>65</v>
      </c>
      <c r="E119" t="s">
        <v>62</v>
      </c>
      <c r="F119" t="s">
        <v>316</v>
      </c>
      <c r="G119" s="20" t="s">
        <v>314</v>
      </c>
      <c r="H119" s="20" t="s">
        <v>63</v>
      </c>
      <c r="I119" t="str">
        <f t="shared" ref="I119:I150" si="4">G119&amp;" "&amp;H119</f>
        <v xml:space="preserve">Patellapis stirlingi </v>
      </c>
      <c r="J119" t="s">
        <v>65</v>
      </c>
      <c r="K119" t="s">
        <v>333</v>
      </c>
      <c r="L119" t="s">
        <v>196</v>
      </c>
      <c r="M119" t="s">
        <v>64</v>
      </c>
      <c r="N119">
        <v>119</v>
      </c>
      <c r="O119" t="s">
        <v>119</v>
      </c>
      <c r="P119" t="s">
        <v>37</v>
      </c>
      <c r="Q119" t="s">
        <v>73</v>
      </c>
      <c r="R119">
        <v>1</v>
      </c>
      <c r="S119" t="s">
        <v>107</v>
      </c>
      <c r="T119" t="s">
        <v>107</v>
      </c>
      <c r="U119" t="s">
        <v>271</v>
      </c>
      <c r="AD119">
        <v>1</v>
      </c>
      <c r="AF119" s="3">
        <v>2</v>
      </c>
      <c r="AI119">
        <v>69</v>
      </c>
    </row>
    <row r="120" spans="1:35" x14ac:dyDescent="0.35">
      <c r="A120" t="s">
        <v>68</v>
      </c>
      <c r="B120" t="s">
        <v>69</v>
      </c>
      <c r="C120" t="s">
        <v>33</v>
      </c>
      <c r="D120" t="s">
        <v>34</v>
      </c>
      <c r="E120" t="s">
        <v>320</v>
      </c>
      <c r="F120" t="s">
        <v>321</v>
      </c>
      <c r="G120" s="20" t="s">
        <v>46</v>
      </c>
      <c r="H120" t="s">
        <v>7</v>
      </c>
      <c r="I120" t="str">
        <f t="shared" si="4"/>
        <v>Xylocopa species</v>
      </c>
      <c r="J120" t="s">
        <v>255</v>
      </c>
      <c r="K120" t="s">
        <v>331</v>
      </c>
      <c r="L120" t="s">
        <v>47</v>
      </c>
      <c r="M120" t="s">
        <v>47</v>
      </c>
      <c r="N120">
        <v>51</v>
      </c>
      <c r="O120" t="s">
        <v>119</v>
      </c>
      <c r="P120" t="s">
        <v>37</v>
      </c>
      <c r="Q120" t="s">
        <v>73</v>
      </c>
      <c r="R120">
        <v>1</v>
      </c>
      <c r="S120" t="s">
        <v>110</v>
      </c>
      <c r="T120" t="s">
        <v>107</v>
      </c>
      <c r="U120" t="s">
        <v>271</v>
      </c>
      <c r="AD120">
        <v>1</v>
      </c>
      <c r="AF120">
        <v>2</v>
      </c>
      <c r="AI120">
        <v>72</v>
      </c>
    </row>
    <row r="121" spans="1:35" x14ac:dyDescent="0.35">
      <c r="A121" t="s">
        <v>68</v>
      </c>
      <c r="B121" t="s">
        <v>69</v>
      </c>
      <c r="C121" t="s">
        <v>33</v>
      </c>
      <c r="D121" t="s">
        <v>34</v>
      </c>
      <c r="E121" t="s">
        <v>320</v>
      </c>
      <c r="F121" t="s">
        <v>321</v>
      </c>
      <c r="G121" s="20" t="s">
        <v>46</v>
      </c>
      <c r="H121" t="s">
        <v>7</v>
      </c>
      <c r="I121" t="str">
        <f t="shared" si="4"/>
        <v>Xylocopa species</v>
      </c>
      <c r="J121" t="s">
        <v>255</v>
      </c>
      <c r="K121" t="s">
        <v>331</v>
      </c>
      <c r="L121" t="s">
        <v>47</v>
      </c>
      <c r="M121" t="s">
        <v>47</v>
      </c>
      <c r="N121">
        <v>52</v>
      </c>
      <c r="O121" t="s">
        <v>119</v>
      </c>
      <c r="P121" t="s">
        <v>41</v>
      </c>
      <c r="Q121" t="s">
        <v>75</v>
      </c>
      <c r="S121" t="s">
        <v>104</v>
      </c>
      <c r="T121" t="s">
        <v>107</v>
      </c>
      <c r="U121" t="s">
        <v>271</v>
      </c>
      <c r="AD121">
        <v>1</v>
      </c>
      <c r="AF121">
        <v>2</v>
      </c>
      <c r="AI121">
        <v>73</v>
      </c>
    </row>
    <row r="122" spans="1:35" x14ac:dyDescent="0.35">
      <c r="A122" t="s">
        <v>68</v>
      </c>
      <c r="B122" t="s">
        <v>69</v>
      </c>
      <c r="C122" t="s">
        <v>33</v>
      </c>
      <c r="D122" t="s">
        <v>34</v>
      </c>
      <c r="E122" t="s">
        <v>320</v>
      </c>
      <c r="F122" t="s">
        <v>321</v>
      </c>
      <c r="G122" s="20" t="s">
        <v>46</v>
      </c>
      <c r="H122" t="s">
        <v>7</v>
      </c>
      <c r="I122" t="str">
        <f t="shared" si="4"/>
        <v>Xylocopa species</v>
      </c>
      <c r="J122" t="s">
        <v>255</v>
      </c>
      <c r="K122" t="s">
        <v>331</v>
      </c>
      <c r="L122" t="s">
        <v>47</v>
      </c>
      <c r="M122" t="s">
        <v>47</v>
      </c>
      <c r="N122">
        <v>53</v>
      </c>
      <c r="O122" t="s">
        <v>119</v>
      </c>
      <c r="P122" t="s">
        <v>48</v>
      </c>
      <c r="Q122" t="s">
        <v>76</v>
      </c>
      <c r="S122" t="s">
        <v>174</v>
      </c>
      <c r="T122" t="s">
        <v>107</v>
      </c>
      <c r="U122" t="s">
        <v>271</v>
      </c>
      <c r="AD122">
        <v>1</v>
      </c>
      <c r="AF122" s="3">
        <v>2</v>
      </c>
      <c r="AI122">
        <v>70</v>
      </c>
    </row>
    <row r="123" spans="1:35" x14ac:dyDescent="0.35">
      <c r="A123" t="s">
        <v>68</v>
      </c>
      <c r="B123" t="s">
        <v>69</v>
      </c>
      <c r="C123" t="s">
        <v>33</v>
      </c>
      <c r="D123" t="s">
        <v>34</v>
      </c>
      <c r="E123" t="s">
        <v>320</v>
      </c>
      <c r="F123" t="s">
        <v>321</v>
      </c>
      <c r="G123" s="20" t="s">
        <v>46</v>
      </c>
      <c r="H123" t="s">
        <v>7</v>
      </c>
      <c r="I123" t="str">
        <f t="shared" si="4"/>
        <v>Xylocopa species</v>
      </c>
      <c r="J123" t="s">
        <v>255</v>
      </c>
      <c r="K123" t="s">
        <v>331</v>
      </c>
      <c r="L123" t="s">
        <v>47</v>
      </c>
      <c r="M123" t="s">
        <v>47</v>
      </c>
      <c r="N123">
        <v>54</v>
      </c>
      <c r="O123" t="s">
        <v>119</v>
      </c>
      <c r="P123" t="s">
        <v>48</v>
      </c>
      <c r="Q123" t="s">
        <v>76</v>
      </c>
      <c r="S123" t="s">
        <v>173</v>
      </c>
      <c r="T123" t="s">
        <v>107</v>
      </c>
      <c r="U123" t="s">
        <v>271</v>
      </c>
      <c r="AD123">
        <v>1</v>
      </c>
      <c r="AF123">
        <v>2</v>
      </c>
      <c r="AI123">
        <v>71</v>
      </c>
    </row>
    <row r="124" spans="1:35" x14ac:dyDescent="0.35">
      <c r="A124" t="s">
        <v>68</v>
      </c>
      <c r="B124" t="s">
        <v>69</v>
      </c>
      <c r="C124" t="s">
        <v>85</v>
      </c>
      <c r="D124" t="s">
        <v>86</v>
      </c>
      <c r="E124" t="s">
        <v>87</v>
      </c>
      <c r="F124" t="s">
        <v>88</v>
      </c>
      <c r="G124" s="20" t="s">
        <v>89</v>
      </c>
      <c r="H124" t="s">
        <v>7</v>
      </c>
      <c r="I124" t="str">
        <f t="shared" si="4"/>
        <v>Acraea species</v>
      </c>
      <c r="J124" t="s">
        <v>326</v>
      </c>
      <c r="K124" t="s">
        <v>330</v>
      </c>
      <c r="L124" t="s">
        <v>90</v>
      </c>
      <c r="M124" t="s">
        <v>90</v>
      </c>
      <c r="N124">
        <v>123</v>
      </c>
      <c r="O124" t="s">
        <v>119</v>
      </c>
      <c r="P124" t="s">
        <v>48</v>
      </c>
      <c r="Q124" t="s">
        <v>76</v>
      </c>
      <c r="R124">
        <v>0</v>
      </c>
      <c r="U124" t="s">
        <v>225</v>
      </c>
      <c r="AD124">
        <v>1</v>
      </c>
      <c r="AF124">
        <v>2</v>
      </c>
      <c r="AI124">
        <v>74</v>
      </c>
    </row>
    <row r="125" spans="1:35" x14ac:dyDescent="0.35">
      <c r="A125" t="s">
        <v>193</v>
      </c>
      <c r="B125" t="s">
        <v>69</v>
      </c>
      <c r="C125" t="s">
        <v>33</v>
      </c>
      <c r="D125" t="s">
        <v>34</v>
      </c>
      <c r="E125" t="s">
        <v>309</v>
      </c>
      <c r="F125" t="s">
        <v>310</v>
      </c>
      <c r="G125" s="20" t="s">
        <v>38</v>
      </c>
      <c r="H125" s="20" t="s">
        <v>39</v>
      </c>
      <c r="I125" t="str">
        <f t="shared" si="4"/>
        <v>Apis mellifera</v>
      </c>
      <c r="J125" t="s">
        <v>70</v>
      </c>
      <c r="K125" t="s">
        <v>332</v>
      </c>
      <c r="L125" s="9" t="s">
        <v>197</v>
      </c>
      <c r="N125">
        <v>816</v>
      </c>
      <c r="O125" t="s">
        <v>155</v>
      </c>
      <c r="P125" t="s">
        <v>222</v>
      </c>
      <c r="Q125" t="s">
        <v>207</v>
      </c>
      <c r="R125" s="9">
        <v>1</v>
      </c>
      <c r="S125" s="13" t="s">
        <v>166</v>
      </c>
      <c r="T125" t="s">
        <v>72</v>
      </c>
      <c r="U125" t="s">
        <v>271</v>
      </c>
      <c r="AD125">
        <v>1</v>
      </c>
      <c r="AE125" s="8"/>
      <c r="AF125" s="17">
        <v>2</v>
      </c>
      <c r="AI125">
        <v>4</v>
      </c>
    </row>
    <row r="126" spans="1:35" x14ac:dyDescent="0.35">
      <c r="A126" t="s">
        <v>193</v>
      </c>
      <c r="B126" t="s">
        <v>69</v>
      </c>
      <c r="C126" t="s">
        <v>33</v>
      </c>
      <c r="D126" t="s">
        <v>34</v>
      </c>
      <c r="E126" t="s">
        <v>309</v>
      </c>
      <c r="F126" t="s">
        <v>310</v>
      </c>
      <c r="G126" s="20" t="s">
        <v>38</v>
      </c>
      <c r="H126" s="20" t="s">
        <v>39</v>
      </c>
      <c r="I126" t="str">
        <f t="shared" si="4"/>
        <v>Apis mellifera</v>
      </c>
      <c r="J126" t="s">
        <v>70</v>
      </c>
      <c r="K126" t="s">
        <v>332</v>
      </c>
      <c r="L126" s="9" t="s">
        <v>197</v>
      </c>
      <c r="N126">
        <v>817</v>
      </c>
      <c r="O126" t="s">
        <v>155</v>
      </c>
      <c r="P126" t="s">
        <v>222</v>
      </c>
      <c r="Q126" t="s">
        <v>207</v>
      </c>
      <c r="R126" s="9">
        <v>1</v>
      </c>
      <c r="S126" t="s">
        <v>166</v>
      </c>
      <c r="T126" t="s">
        <v>72</v>
      </c>
      <c r="U126" t="s">
        <v>271</v>
      </c>
      <c r="AD126">
        <v>1</v>
      </c>
      <c r="AE126" s="8"/>
      <c r="AF126" s="17">
        <v>2</v>
      </c>
      <c r="AI126">
        <v>6</v>
      </c>
    </row>
    <row r="127" spans="1:35" x14ac:dyDescent="0.35">
      <c r="A127" t="s">
        <v>193</v>
      </c>
      <c r="B127" t="s">
        <v>69</v>
      </c>
      <c r="C127" t="s">
        <v>33</v>
      </c>
      <c r="D127" t="s">
        <v>34</v>
      </c>
      <c r="E127" t="s">
        <v>309</v>
      </c>
      <c r="F127" t="s">
        <v>310</v>
      </c>
      <c r="G127" s="20" t="s">
        <v>38</v>
      </c>
      <c r="H127" s="20" t="s">
        <v>39</v>
      </c>
      <c r="I127" t="str">
        <f t="shared" si="4"/>
        <v>Apis mellifera</v>
      </c>
      <c r="J127" t="s">
        <v>70</v>
      </c>
      <c r="K127" t="s">
        <v>332</v>
      </c>
      <c r="L127" s="9" t="s">
        <v>197</v>
      </c>
      <c r="N127">
        <v>818</v>
      </c>
      <c r="O127" t="s">
        <v>155</v>
      </c>
      <c r="P127" t="s">
        <v>222</v>
      </c>
      <c r="Q127" t="s">
        <v>207</v>
      </c>
      <c r="R127" s="9">
        <v>1</v>
      </c>
      <c r="S127" t="s">
        <v>166</v>
      </c>
      <c r="T127" t="s">
        <v>72</v>
      </c>
      <c r="U127" t="s">
        <v>271</v>
      </c>
      <c r="AD127">
        <v>1</v>
      </c>
      <c r="AE127" s="8"/>
      <c r="AF127" s="17">
        <v>2</v>
      </c>
      <c r="AI127">
        <v>7</v>
      </c>
    </row>
    <row r="128" spans="1:35" x14ac:dyDescent="0.35">
      <c r="A128" t="s">
        <v>193</v>
      </c>
      <c r="B128" t="s">
        <v>69</v>
      </c>
      <c r="C128" t="s">
        <v>33</v>
      </c>
      <c r="D128" t="s">
        <v>34</v>
      </c>
      <c r="E128" t="s">
        <v>309</v>
      </c>
      <c r="F128" t="s">
        <v>310</v>
      </c>
      <c r="G128" s="20" t="s">
        <v>38</v>
      </c>
      <c r="H128" s="20" t="s">
        <v>39</v>
      </c>
      <c r="I128" t="str">
        <f t="shared" si="4"/>
        <v>Apis mellifera</v>
      </c>
      <c r="J128" t="s">
        <v>70</v>
      </c>
      <c r="K128" t="s">
        <v>332</v>
      </c>
      <c r="L128" s="9" t="s">
        <v>197</v>
      </c>
      <c r="N128">
        <v>819</v>
      </c>
      <c r="O128" t="s">
        <v>155</v>
      </c>
      <c r="P128" t="s">
        <v>154</v>
      </c>
      <c r="Q128" t="s">
        <v>208</v>
      </c>
      <c r="R128" s="9">
        <v>1</v>
      </c>
      <c r="S128" s="13" t="s">
        <v>166</v>
      </c>
      <c r="T128" t="s">
        <v>72</v>
      </c>
      <c r="U128" t="s">
        <v>271</v>
      </c>
      <c r="AD128">
        <v>1</v>
      </c>
      <c r="AE128" s="8"/>
      <c r="AF128" s="17">
        <v>2</v>
      </c>
      <c r="AI128">
        <v>18</v>
      </c>
    </row>
    <row r="129" spans="1:35" x14ac:dyDescent="0.35">
      <c r="A129" t="s">
        <v>193</v>
      </c>
      <c r="B129" t="s">
        <v>69</v>
      </c>
      <c r="C129" t="s">
        <v>33</v>
      </c>
      <c r="D129" t="s">
        <v>34</v>
      </c>
      <c r="E129" t="s">
        <v>309</v>
      </c>
      <c r="F129" t="s">
        <v>310</v>
      </c>
      <c r="G129" s="20" t="s">
        <v>38</v>
      </c>
      <c r="H129" s="20" t="s">
        <v>39</v>
      </c>
      <c r="I129" t="str">
        <f t="shared" si="4"/>
        <v>Apis mellifera</v>
      </c>
      <c r="J129" t="s">
        <v>70</v>
      </c>
      <c r="K129" t="s">
        <v>332</v>
      </c>
      <c r="L129" s="9" t="s">
        <v>197</v>
      </c>
      <c r="N129">
        <v>820</v>
      </c>
      <c r="O129" t="s">
        <v>155</v>
      </c>
      <c r="P129" t="s">
        <v>154</v>
      </c>
      <c r="Q129" t="s">
        <v>208</v>
      </c>
      <c r="R129" s="3">
        <v>1</v>
      </c>
      <c r="S129" s="13" t="s">
        <v>166</v>
      </c>
      <c r="T129" t="s">
        <v>72</v>
      </c>
      <c r="U129" t="s">
        <v>271</v>
      </c>
      <c r="AD129">
        <v>1</v>
      </c>
      <c r="AE129" s="8"/>
      <c r="AF129" s="17">
        <v>2</v>
      </c>
      <c r="AI129">
        <v>19</v>
      </c>
    </row>
    <row r="130" spans="1:35" x14ac:dyDescent="0.35">
      <c r="A130" t="s">
        <v>193</v>
      </c>
      <c r="B130" t="s">
        <v>69</v>
      </c>
      <c r="C130" t="s">
        <v>33</v>
      </c>
      <c r="D130" t="s">
        <v>34</v>
      </c>
      <c r="E130" t="s">
        <v>309</v>
      </c>
      <c r="F130" t="s">
        <v>310</v>
      </c>
      <c r="G130" s="20" t="s">
        <v>38</v>
      </c>
      <c r="H130" s="20" t="s">
        <v>39</v>
      </c>
      <c r="I130" t="str">
        <f t="shared" si="4"/>
        <v>Apis mellifera</v>
      </c>
      <c r="J130" t="s">
        <v>70</v>
      </c>
      <c r="K130" t="s">
        <v>332</v>
      </c>
      <c r="L130" s="3" t="s">
        <v>197</v>
      </c>
      <c r="N130">
        <v>823</v>
      </c>
      <c r="O130" t="s">
        <v>155</v>
      </c>
      <c r="P130" t="s">
        <v>154</v>
      </c>
      <c r="Q130" t="s">
        <v>209</v>
      </c>
      <c r="R130" s="3">
        <v>1</v>
      </c>
      <c r="S130" s="14" t="s">
        <v>166</v>
      </c>
      <c r="T130" t="s">
        <v>72</v>
      </c>
      <c r="U130" t="s">
        <v>271</v>
      </c>
      <c r="AD130">
        <v>1</v>
      </c>
      <c r="AE130" s="8"/>
      <c r="AF130" s="9">
        <v>3</v>
      </c>
      <c r="AI130">
        <v>24</v>
      </c>
    </row>
    <row r="131" spans="1:35" x14ac:dyDescent="0.35">
      <c r="A131" t="s">
        <v>193</v>
      </c>
      <c r="B131" t="s">
        <v>69</v>
      </c>
      <c r="C131" t="s">
        <v>33</v>
      </c>
      <c r="D131" t="s">
        <v>34</v>
      </c>
      <c r="E131" t="s">
        <v>309</v>
      </c>
      <c r="F131" t="s">
        <v>310</v>
      </c>
      <c r="G131" s="20" t="s">
        <v>38</v>
      </c>
      <c r="H131" s="20" t="s">
        <v>39</v>
      </c>
      <c r="I131" t="str">
        <f t="shared" si="4"/>
        <v>Apis mellifera</v>
      </c>
      <c r="J131" t="s">
        <v>70</v>
      </c>
      <c r="K131" t="s">
        <v>332</v>
      </c>
      <c r="L131" s="3" t="s">
        <v>197</v>
      </c>
      <c r="N131">
        <v>824</v>
      </c>
      <c r="O131" t="s">
        <v>155</v>
      </c>
      <c r="P131" t="s">
        <v>154</v>
      </c>
      <c r="Q131" t="s">
        <v>209</v>
      </c>
      <c r="R131" s="3">
        <v>1</v>
      </c>
      <c r="S131" s="14" t="s">
        <v>166</v>
      </c>
      <c r="T131" t="s">
        <v>72</v>
      </c>
      <c r="U131" t="s">
        <v>271</v>
      </c>
      <c r="AD131">
        <v>1</v>
      </c>
      <c r="AE131" s="8"/>
      <c r="AF131" s="3">
        <v>3</v>
      </c>
      <c r="AI131">
        <v>25</v>
      </c>
    </row>
    <row r="132" spans="1:35" x14ac:dyDescent="0.35">
      <c r="A132" t="s">
        <v>193</v>
      </c>
      <c r="B132" t="s">
        <v>69</v>
      </c>
      <c r="C132" t="s">
        <v>33</v>
      </c>
      <c r="D132" t="s">
        <v>34</v>
      </c>
      <c r="E132" t="s">
        <v>309</v>
      </c>
      <c r="F132" t="s">
        <v>310</v>
      </c>
      <c r="G132" s="20" t="s">
        <v>38</v>
      </c>
      <c r="H132" s="20" t="s">
        <v>39</v>
      </c>
      <c r="I132" t="str">
        <f t="shared" si="4"/>
        <v>Apis mellifera</v>
      </c>
      <c r="J132" t="s">
        <v>70</v>
      </c>
      <c r="K132" t="s">
        <v>332</v>
      </c>
      <c r="L132" s="3" t="s">
        <v>197</v>
      </c>
      <c r="N132">
        <v>825</v>
      </c>
      <c r="O132" t="s">
        <v>155</v>
      </c>
      <c r="P132" t="s">
        <v>154</v>
      </c>
      <c r="Q132" t="s">
        <v>209</v>
      </c>
      <c r="R132" s="3">
        <v>1</v>
      </c>
      <c r="S132" s="3" t="s">
        <v>166</v>
      </c>
      <c r="T132" t="s">
        <v>72</v>
      </c>
      <c r="U132" t="s">
        <v>271</v>
      </c>
      <c r="AD132">
        <v>1</v>
      </c>
      <c r="AE132" s="8"/>
      <c r="AF132" s="3">
        <v>1</v>
      </c>
      <c r="AI132">
        <v>26</v>
      </c>
    </row>
    <row r="133" spans="1:35" x14ac:dyDescent="0.35">
      <c r="A133" t="s">
        <v>193</v>
      </c>
      <c r="B133" t="s">
        <v>69</v>
      </c>
      <c r="C133" t="s">
        <v>33</v>
      </c>
      <c r="D133" t="s">
        <v>34</v>
      </c>
      <c r="E133" t="s">
        <v>309</v>
      </c>
      <c r="F133" t="s">
        <v>310</v>
      </c>
      <c r="G133" s="20" t="s">
        <v>38</v>
      </c>
      <c r="H133" s="20" t="s">
        <v>39</v>
      </c>
      <c r="I133" t="str">
        <f t="shared" si="4"/>
        <v>Apis mellifera</v>
      </c>
      <c r="J133" t="s">
        <v>70</v>
      </c>
      <c r="K133" t="s">
        <v>332</v>
      </c>
      <c r="L133" s="3" t="s">
        <v>197</v>
      </c>
      <c r="N133">
        <v>826</v>
      </c>
      <c r="O133" t="s">
        <v>155</v>
      </c>
      <c r="P133" t="s">
        <v>154</v>
      </c>
      <c r="Q133" s="3" t="s">
        <v>209</v>
      </c>
      <c r="R133" s="3">
        <v>1</v>
      </c>
      <c r="S133" s="3" t="s">
        <v>166</v>
      </c>
      <c r="T133" t="s">
        <v>72</v>
      </c>
      <c r="U133" t="s">
        <v>271</v>
      </c>
      <c r="AD133">
        <v>1</v>
      </c>
      <c r="AE133" s="8"/>
      <c r="AF133" s="3">
        <v>1</v>
      </c>
      <c r="AI133">
        <v>28</v>
      </c>
    </row>
    <row r="134" spans="1:35" x14ac:dyDescent="0.35">
      <c r="A134" t="s">
        <v>193</v>
      </c>
      <c r="B134" t="s">
        <v>69</v>
      </c>
      <c r="C134" t="s">
        <v>33</v>
      </c>
      <c r="D134" t="s">
        <v>34</v>
      </c>
      <c r="E134" t="s">
        <v>309</v>
      </c>
      <c r="F134" t="s">
        <v>310</v>
      </c>
      <c r="G134" s="20" t="s">
        <v>38</v>
      </c>
      <c r="H134" s="20" t="s">
        <v>39</v>
      </c>
      <c r="I134" t="str">
        <f t="shared" si="4"/>
        <v>Apis mellifera</v>
      </c>
      <c r="J134" t="s">
        <v>70</v>
      </c>
      <c r="K134" t="s">
        <v>332</v>
      </c>
      <c r="L134" s="3" t="s">
        <v>197</v>
      </c>
      <c r="N134">
        <v>827</v>
      </c>
      <c r="O134" t="s">
        <v>155</v>
      </c>
      <c r="P134" t="s">
        <v>154</v>
      </c>
      <c r="Q134" t="s">
        <v>209</v>
      </c>
      <c r="R134" s="3">
        <v>1</v>
      </c>
      <c r="S134" s="3" t="s">
        <v>166</v>
      </c>
      <c r="T134" t="s">
        <v>72</v>
      </c>
      <c r="U134" t="s">
        <v>271</v>
      </c>
      <c r="AD134">
        <v>1</v>
      </c>
      <c r="AE134" s="8"/>
      <c r="AF134" s="9">
        <v>1</v>
      </c>
      <c r="AI134">
        <v>29</v>
      </c>
    </row>
    <row r="135" spans="1:35" x14ac:dyDescent="0.35">
      <c r="A135" t="s">
        <v>193</v>
      </c>
      <c r="B135" t="s">
        <v>69</v>
      </c>
      <c r="C135" t="s">
        <v>33</v>
      </c>
      <c r="D135" t="s">
        <v>34</v>
      </c>
      <c r="E135" t="s">
        <v>309</v>
      </c>
      <c r="F135" t="s">
        <v>310</v>
      </c>
      <c r="G135" s="20" t="s">
        <v>38</v>
      </c>
      <c r="H135" s="20" t="s">
        <v>39</v>
      </c>
      <c r="I135" t="str">
        <f t="shared" si="4"/>
        <v>Apis mellifera</v>
      </c>
      <c r="J135" t="s">
        <v>70</v>
      </c>
      <c r="K135" t="s">
        <v>332</v>
      </c>
      <c r="L135" s="3" t="s">
        <v>197</v>
      </c>
      <c r="N135">
        <v>828</v>
      </c>
      <c r="O135" t="s">
        <v>155</v>
      </c>
      <c r="P135" t="s">
        <v>154</v>
      </c>
      <c r="Q135" t="s">
        <v>209</v>
      </c>
      <c r="R135" s="3">
        <v>1</v>
      </c>
      <c r="S135" s="3" t="s">
        <v>166</v>
      </c>
      <c r="T135" t="s">
        <v>72</v>
      </c>
      <c r="U135" t="s">
        <v>271</v>
      </c>
      <c r="AD135">
        <v>1</v>
      </c>
      <c r="AE135" s="8"/>
      <c r="AF135" s="3">
        <v>1</v>
      </c>
      <c r="AI135">
        <v>30</v>
      </c>
    </row>
    <row r="136" spans="1:35" x14ac:dyDescent="0.35">
      <c r="A136" t="s">
        <v>193</v>
      </c>
      <c r="B136" t="s">
        <v>69</v>
      </c>
      <c r="C136" t="s">
        <v>33</v>
      </c>
      <c r="D136" t="s">
        <v>34</v>
      </c>
      <c r="E136" t="s">
        <v>309</v>
      </c>
      <c r="F136" t="s">
        <v>310</v>
      </c>
      <c r="G136" s="20" t="s">
        <v>38</v>
      </c>
      <c r="H136" s="20" t="s">
        <v>39</v>
      </c>
      <c r="I136" t="str">
        <f t="shared" si="4"/>
        <v>Apis mellifera</v>
      </c>
      <c r="J136" t="s">
        <v>70</v>
      </c>
      <c r="K136" t="s">
        <v>332</v>
      </c>
      <c r="L136" s="3" t="s">
        <v>197</v>
      </c>
      <c r="N136">
        <v>829</v>
      </c>
      <c r="O136" t="s">
        <v>155</v>
      </c>
      <c r="P136" t="s">
        <v>154</v>
      </c>
      <c r="Q136" t="s">
        <v>209</v>
      </c>
      <c r="R136" s="9">
        <v>1</v>
      </c>
      <c r="S136" s="13" t="s">
        <v>166</v>
      </c>
      <c r="T136" t="s">
        <v>72</v>
      </c>
      <c r="U136" t="s">
        <v>271</v>
      </c>
      <c r="AD136">
        <v>1</v>
      </c>
      <c r="AE136" s="8"/>
      <c r="AF136" s="9">
        <v>1</v>
      </c>
      <c r="AI136">
        <v>32</v>
      </c>
    </row>
    <row r="137" spans="1:35" x14ac:dyDescent="0.35">
      <c r="A137" t="s">
        <v>193</v>
      </c>
      <c r="B137" t="s">
        <v>69</v>
      </c>
      <c r="C137" t="s">
        <v>33</v>
      </c>
      <c r="D137" t="s">
        <v>34</v>
      </c>
      <c r="E137" t="s">
        <v>309</v>
      </c>
      <c r="F137" t="s">
        <v>310</v>
      </c>
      <c r="G137" s="20" t="s">
        <v>38</v>
      </c>
      <c r="H137" s="20" t="s">
        <v>39</v>
      </c>
      <c r="I137" t="str">
        <f t="shared" si="4"/>
        <v>Apis mellifera</v>
      </c>
      <c r="J137" t="s">
        <v>70</v>
      </c>
      <c r="K137" t="s">
        <v>332</v>
      </c>
      <c r="L137" s="3" t="s">
        <v>197</v>
      </c>
      <c r="N137">
        <v>830</v>
      </c>
      <c r="O137" t="s">
        <v>155</v>
      </c>
      <c r="P137" t="s">
        <v>154</v>
      </c>
      <c r="Q137" t="s">
        <v>209</v>
      </c>
      <c r="R137" s="9">
        <v>1</v>
      </c>
      <c r="S137" s="3" t="s">
        <v>166</v>
      </c>
      <c r="T137" t="s">
        <v>72</v>
      </c>
      <c r="U137" t="s">
        <v>271</v>
      </c>
      <c r="AD137">
        <v>1</v>
      </c>
      <c r="AE137" s="8"/>
      <c r="AF137" s="9">
        <v>1</v>
      </c>
      <c r="AI137">
        <v>36</v>
      </c>
    </row>
    <row r="138" spans="1:35" x14ac:dyDescent="0.35">
      <c r="A138" t="s">
        <v>193</v>
      </c>
      <c r="B138" t="s">
        <v>69</v>
      </c>
      <c r="C138" t="s">
        <v>33</v>
      </c>
      <c r="D138" t="s">
        <v>34</v>
      </c>
      <c r="E138" t="s">
        <v>309</v>
      </c>
      <c r="F138" t="s">
        <v>310</v>
      </c>
      <c r="G138" s="20" t="s">
        <v>38</v>
      </c>
      <c r="H138" s="20" t="s">
        <v>39</v>
      </c>
      <c r="I138" t="str">
        <f t="shared" si="4"/>
        <v>Apis mellifera</v>
      </c>
      <c r="J138" t="s">
        <v>70</v>
      </c>
      <c r="K138" t="s">
        <v>332</v>
      </c>
      <c r="L138" s="3" t="s">
        <v>197</v>
      </c>
      <c r="N138">
        <v>831</v>
      </c>
      <c r="O138" t="s">
        <v>155</v>
      </c>
      <c r="P138" t="s">
        <v>222</v>
      </c>
      <c r="Q138" t="s">
        <v>210</v>
      </c>
      <c r="R138" s="9">
        <v>1</v>
      </c>
      <c r="S138" s="3" t="s">
        <v>166</v>
      </c>
      <c r="T138" t="s">
        <v>72</v>
      </c>
      <c r="U138" t="s">
        <v>271</v>
      </c>
      <c r="AD138">
        <v>1</v>
      </c>
      <c r="AE138" s="8"/>
      <c r="AF138" s="9">
        <v>1</v>
      </c>
      <c r="AI138">
        <v>37</v>
      </c>
    </row>
    <row r="139" spans="1:35" x14ac:dyDescent="0.35">
      <c r="A139" t="s">
        <v>193</v>
      </c>
      <c r="B139" t="s">
        <v>69</v>
      </c>
      <c r="C139" t="s">
        <v>33</v>
      </c>
      <c r="D139" t="s">
        <v>34</v>
      </c>
      <c r="E139" t="s">
        <v>309</v>
      </c>
      <c r="F139" t="s">
        <v>310</v>
      </c>
      <c r="G139" s="20" t="s">
        <v>38</v>
      </c>
      <c r="H139" s="20" t="s">
        <v>39</v>
      </c>
      <c r="I139" t="str">
        <f t="shared" si="4"/>
        <v>Apis mellifera</v>
      </c>
      <c r="J139" t="s">
        <v>70</v>
      </c>
      <c r="K139" t="s">
        <v>332</v>
      </c>
      <c r="L139" s="3" t="s">
        <v>197</v>
      </c>
      <c r="N139">
        <v>832</v>
      </c>
      <c r="O139" t="s">
        <v>155</v>
      </c>
      <c r="P139" t="s">
        <v>222</v>
      </c>
      <c r="Q139" t="s">
        <v>211</v>
      </c>
      <c r="R139" s="9">
        <v>1</v>
      </c>
      <c r="S139" t="s">
        <v>166</v>
      </c>
      <c r="T139" t="s">
        <v>72</v>
      </c>
      <c r="U139" t="s">
        <v>271</v>
      </c>
      <c r="AD139">
        <v>1</v>
      </c>
      <c r="AE139" s="8"/>
      <c r="AF139" s="9">
        <v>1</v>
      </c>
      <c r="AI139">
        <v>52</v>
      </c>
    </row>
    <row r="140" spans="1:35" x14ac:dyDescent="0.35">
      <c r="A140" t="s">
        <v>193</v>
      </c>
      <c r="B140" t="s">
        <v>69</v>
      </c>
      <c r="C140" t="s">
        <v>33</v>
      </c>
      <c r="D140" t="s">
        <v>34</v>
      </c>
      <c r="E140" t="s">
        <v>309</v>
      </c>
      <c r="F140" t="s">
        <v>310</v>
      </c>
      <c r="G140" s="20" t="s">
        <v>38</v>
      </c>
      <c r="H140" s="20" t="s">
        <v>39</v>
      </c>
      <c r="I140" t="str">
        <f t="shared" si="4"/>
        <v>Apis mellifera</v>
      </c>
      <c r="J140" t="s">
        <v>70</v>
      </c>
      <c r="K140" t="s">
        <v>332</v>
      </c>
      <c r="L140" t="s">
        <v>197</v>
      </c>
      <c r="N140">
        <v>833</v>
      </c>
      <c r="O140" t="s">
        <v>155</v>
      </c>
      <c r="P140" t="s">
        <v>223</v>
      </c>
      <c r="Q140" s="9" t="s">
        <v>213</v>
      </c>
      <c r="R140">
        <v>1</v>
      </c>
      <c r="S140" t="s">
        <v>166</v>
      </c>
      <c r="T140" t="s">
        <v>72</v>
      </c>
      <c r="U140" t="s">
        <v>271</v>
      </c>
      <c r="AD140">
        <v>1</v>
      </c>
      <c r="AE140" s="8"/>
      <c r="AF140" s="9">
        <v>1</v>
      </c>
      <c r="AI140">
        <v>68</v>
      </c>
    </row>
    <row r="141" spans="1:35" x14ac:dyDescent="0.35">
      <c r="A141" t="s">
        <v>193</v>
      </c>
      <c r="B141" t="s">
        <v>69</v>
      </c>
      <c r="C141" t="s">
        <v>33</v>
      </c>
      <c r="D141" t="s">
        <v>34</v>
      </c>
      <c r="E141" t="s">
        <v>309</v>
      </c>
      <c r="F141" t="s">
        <v>310</v>
      </c>
      <c r="G141" s="20" t="s">
        <v>38</v>
      </c>
      <c r="H141" s="20" t="s">
        <v>39</v>
      </c>
      <c r="I141" t="str">
        <f t="shared" si="4"/>
        <v>Apis mellifera</v>
      </c>
      <c r="J141" t="s">
        <v>70</v>
      </c>
      <c r="K141" t="s">
        <v>332</v>
      </c>
      <c r="L141" t="s">
        <v>197</v>
      </c>
      <c r="N141">
        <v>834</v>
      </c>
      <c r="O141" t="s">
        <v>155</v>
      </c>
      <c r="P141" t="s">
        <v>223</v>
      </c>
      <c r="Q141" s="9" t="s">
        <v>213</v>
      </c>
      <c r="R141">
        <v>1</v>
      </c>
      <c r="S141" t="s">
        <v>166</v>
      </c>
      <c r="T141" t="s">
        <v>72</v>
      </c>
      <c r="U141" t="s">
        <v>271</v>
      </c>
      <c r="AD141">
        <v>1</v>
      </c>
      <c r="AE141" s="8"/>
      <c r="AF141" s="9">
        <v>1</v>
      </c>
      <c r="AI141">
        <v>69</v>
      </c>
    </row>
    <row r="142" spans="1:35" x14ac:dyDescent="0.35">
      <c r="A142" t="s">
        <v>193</v>
      </c>
      <c r="B142" t="s">
        <v>69</v>
      </c>
      <c r="C142" t="s">
        <v>33</v>
      </c>
      <c r="D142" t="s">
        <v>34</v>
      </c>
      <c r="E142" t="s">
        <v>309</v>
      </c>
      <c r="F142" t="s">
        <v>310</v>
      </c>
      <c r="G142" s="20" t="s">
        <v>38</v>
      </c>
      <c r="H142" s="20" t="s">
        <v>39</v>
      </c>
      <c r="I142" t="str">
        <f t="shared" si="4"/>
        <v>Apis mellifera</v>
      </c>
      <c r="J142" t="s">
        <v>70</v>
      </c>
      <c r="K142" t="s">
        <v>332</v>
      </c>
      <c r="L142" t="s">
        <v>197</v>
      </c>
      <c r="N142">
        <v>835</v>
      </c>
      <c r="O142" t="s">
        <v>155</v>
      </c>
      <c r="P142" t="s">
        <v>223</v>
      </c>
      <c r="Q142" s="9" t="s">
        <v>213</v>
      </c>
      <c r="R142">
        <v>1</v>
      </c>
      <c r="S142" t="s">
        <v>166</v>
      </c>
      <c r="T142" t="s">
        <v>72</v>
      </c>
      <c r="U142" t="s">
        <v>271</v>
      </c>
      <c r="AD142">
        <v>1</v>
      </c>
      <c r="AE142" s="8"/>
      <c r="AF142" s="18">
        <v>3</v>
      </c>
      <c r="AI142">
        <v>75</v>
      </c>
    </row>
    <row r="143" spans="1:35" x14ac:dyDescent="0.35">
      <c r="A143" t="s">
        <v>193</v>
      </c>
      <c r="B143" t="s">
        <v>69</v>
      </c>
      <c r="C143" t="s">
        <v>33</v>
      </c>
      <c r="D143" t="s">
        <v>34</v>
      </c>
      <c r="E143" t="s">
        <v>309</v>
      </c>
      <c r="F143" t="s">
        <v>310</v>
      </c>
      <c r="G143" s="20" t="s">
        <v>38</v>
      </c>
      <c r="H143" s="20" t="s">
        <v>39</v>
      </c>
      <c r="I143" t="str">
        <f t="shared" si="4"/>
        <v>Apis mellifera</v>
      </c>
      <c r="J143" t="s">
        <v>70</v>
      </c>
      <c r="K143" t="s">
        <v>332</v>
      </c>
      <c r="L143" t="s">
        <v>197</v>
      </c>
      <c r="N143">
        <v>836</v>
      </c>
      <c r="O143" t="s">
        <v>155</v>
      </c>
      <c r="P143" t="s">
        <v>223</v>
      </c>
      <c r="Q143" s="9" t="s">
        <v>213</v>
      </c>
      <c r="R143">
        <v>1</v>
      </c>
      <c r="S143" t="s">
        <v>166</v>
      </c>
      <c r="T143" t="s">
        <v>72</v>
      </c>
      <c r="U143" t="s">
        <v>271</v>
      </c>
      <c r="AD143">
        <v>1</v>
      </c>
      <c r="AE143" s="8"/>
      <c r="AF143" s="18">
        <v>3</v>
      </c>
      <c r="AI143">
        <v>77</v>
      </c>
    </row>
    <row r="144" spans="1:35" x14ac:dyDescent="0.35">
      <c r="A144" t="s">
        <v>193</v>
      </c>
      <c r="B144" t="s">
        <v>69</v>
      </c>
      <c r="C144" t="s">
        <v>33</v>
      </c>
      <c r="D144" t="s">
        <v>34</v>
      </c>
      <c r="E144" t="s">
        <v>309</v>
      </c>
      <c r="F144" t="s">
        <v>310</v>
      </c>
      <c r="G144" s="20" t="s">
        <v>38</v>
      </c>
      <c r="H144" s="20" t="s">
        <v>39</v>
      </c>
      <c r="I144" t="str">
        <f t="shared" si="4"/>
        <v>Apis mellifera</v>
      </c>
      <c r="J144" t="s">
        <v>70</v>
      </c>
      <c r="K144" t="s">
        <v>332</v>
      </c>
      <c r="L144" t="s">
        <v>197</v>
      </c>
      <c r="N144">
        <v>837</v>
      </c>
      <c r="O144" t="s">
        <v>155</v>
      </c>
      <c r="P144" t="s">
        <v>154</v>
      </c>
      <c r="Q144" t="s">
        <v>214</v>
      </c>
      <c r="R144">
        <v>1</v>
      </c>
      <c r="S144" t="s">
        <v>166</v>
      </c>
      <c r="T144" t="s">
        <v>72</v>
      </c>
      <c r="U144" t="s">
        <v>271</v>
      </c>
      <c r="AD144">
        <v>1</v>
      </c>
      <c r="AE144" s="8"/>
      <c r="AF144" s="18">
        <v>1</v>
      </c>
      <c r="AI144">
        <v>80</v>
      </c>
    </row>
    <row r="145" spans="1:35" x14ac:dyDescent="0.35">
      <c r="A145" t="s">
        <v>193</v>
      </c>
      <c r="B145" t="s">
        <v>69</v>
      </c>
      <c r="C145" t="s">
        <v>33</v>
      </c>
      <c r="D145" t="s">
        <v>34</v>
      </c>
      <c r="E145" t="s">
        <v>309</v>
      </c>
      <c r="F145" t="s">
        <v>310</v>
      </c>
      <c r="G145" s="20" t="s">
        <v>38</v>
      </c>
      <c r="H145" s="20" t="s">
        <v>39</v>
      </c>
      <c r="I145" t="str">
        <f t="shared" si="4"/>
        <v>Apis mellifera</v>
      </c>
      <c r="J145" t="s">
        <v>70</v>
      </c>
      <c r="K145" t="s">
        <v>332</v>
      </c>
      <c r="L145" t="s">
        <v>197</v>
      </c>
      <c r="N145">
        <v>838</v>
      </c>
      <c r="O145" t="s">
        <v>155</v>
      </c>
      <c r="P145" t="s">
        <v>154</v>
      </c>
      <c r="Q145" t="s">
        <v>214</v>
      </c>
      <c r="R145">
        <v>1</v>
      </c>
      <c r="S145" t="s">
        <v>166</v>
      </c>
      <c r="T145" t="s">
        <v>72</v>
      </c>
      <c r="U145" t="s">
        <v>271</v>
      </c>
      <c r="AD145">
        <v>1</v>
      </c>
      <c r="AE145" s="8"/>
      <c r="AF145" s="18">
        <v>1</v>
      </c>
      <c r="AI145">
        <v>81</v>
      </c>
    </row>
    <row r="146" spans="1:35" x14ac:dyDescent="0.35">
      <c r="A146" t="s">
        <v>193</v>
      </c>
      <c r="B146" t="s">
        <v>69</v>
      </c>
      <c r="C146" t="s">
        <v>33</v>
      </c>
      <c r="D146" t="s">
        <v>34</v>
      </c>
      <c r="E146" t="s">
        <v>309</v>
      </c>
      <c r="F146" t="s">
        <v>310</v>
      </c>
      <c r="G146" s="20" t="s">
        <v>38</v>
      </c>
      <c r="H146" s="20" t="s">
        <v>39</v>
      </c>
      <c r="I146" t="str">
        <f t="shared" si="4"/>
        <v>Apis mellifera</v>
      </c>
      <c r="J146" t="s">
        <v>70</v>
      </c>
      <c r="K146" t="s">
        <v>332</v>
      </c>
      <c r="L146" t="s">
        <v>197</v>
      </c>
      <c r="N146">
        <v>839</v>
      </c>
      <c r="O146" t="s">
        <v>155</v>
      </c>
      <c r="P146" t="s">
        <v>154</v>
      </c>
      <c r="Q146" t="s">
        <v>214</v>
      </c>
      <c r="R146">
        <v>1</v>
      </c>
      <c r="S146" t="s">
        <v>166</v>
      </c>
      <c r="T146" t="s">
        <v>72</v>
      </c>
      <c r="U146" t="s">
        <v>271</v>
      </c>
      <c r="AD146">
        <v>1</v>
      </c>
      <c r="AE146" s="8"/>
      <c r="AF146" s="18">
        <v>1</v>
      </c>
      <c r="AI146">
        <v>85</v>
      </c>
    </row>
    <row r="147" spans="1:35" x14ac:dyDescent="0.35">
      <c r="A147" t="s">
        <v>193</v>
      </c>
      <c r="B147" t="s">
        <v>69</v>
      </c>
      <c r="C147" t="s">
        <v>33</v>
      </c>
      <c r="D147" t="s">
        <v>34</v>
      </c>
      <c r="E147" t="s">
        <v>309</v>
      </c>
      <c r="F147" t="s">
        <v>310</v>
      </c>
      <c r="G147" s="20" t="s">
        <v>38</v>
      </c>
      <c r="H147" s="20" t="s">
        <v>39</v>
      </c>
      <c r="I147" t="str">
        <f t="shared" si="4"/>
        <v>Apis mellifera</v>
      </c>
      <c r="J147" t="s">
        <v>70</v>
      </c>
      <c r="K147" t="s">
        <v>332</v>
      </c>
      <c r="L147" t="s">
        <v>197</v>
      </c>
      <c r="N147">
        <v>840</v>
      </c>
      <c r="O147" t="s">
        <v>155</v>
      </c>
      <c r="P147" t="s">
        <v>154</v>
      </c>
      <c r="Q147" t="s">
        <v>214</v>
      </c>
      <c r="R147">
        <v>1</v>
      </c>
      <c r="S147" t="s">
        <v>166</v>
      </c>
      <c r="T147" t="s">
        <v>72</v>
      </c>
      <c r="U147" t="s">
        <v>271</v>
      </c>
      <c r="AD147">
        <v>1</v>
      </c>
      <c r="AE147" s="8"/>
      <c r="AF147" s="18">
        <v>1</v>
      </c>
      <c r="AI147">
        <v>86</v>
      </c>
    </row>
    <row r="148" spans="1:35" x14ac:dyDescent="0.35">
      <c r="A148" t="s">
        <v>193</v>
      </c>
      <c r="B148" t="s">
        <v>69</v>
      </c>
      <c r="C148" t="s">
        <v>33</v>
      </c>
      <c r="D148" t="s">
        <v>34</v>
      </c>
      <c r="E148" t="s">
        <v>309</v>
      </c>
      <c r="F148" t="s">
        <v>310</v>
      </c>
      <c r="G148" s="20" t="s">
        <v>38</v>
      </c>
      <c r="H148" s="20" t="s">
        <v>39</v>
      </c>
      <c r="I148" t="str">
        <f t="shared" si="4"/>
        <v>Apis mellifera</v>
      </c>
      <c r="J148" t="s">
        <v>70</v>
      </c>
      <c r="K148" t="s">
        <v>332</v>
      </c>
      <c r="L148" t="s">
        <v>197</v>
      </c>
      <c r="N148">
        <v>841</v>
      </c>
      <c r="O148" t="s">
        <v>155</v>
      </c>
      <c r="P148" t="s">
        <v>154</v>
      </c>
      <c r="Q148" t="s">
        <v>214</v>
      </c>
      <c r="R148">
        <v>1</v>
      </c>
      <c r="S148" t="s">
        <v>166</v>
      </c>
      <c r="T148" t="s">
        <v>72</v>
      </c>
      <c r="U148" t="s">
        <v>271</v>
      </c>
      <c r="AD148">
        <v>1</v>
      </c>
      <c r="AE148" s="8"/>
      <c r="AF148" s="18">
        <v>1</v>
      </c>
      <c r="AI148">
        <v>87</v>
      </c>
    </row>
    <row r="149" spans="1:35" x14ac:dyDescent="0.35">
      <c r="A149" t="s">
        <v>193</v>
      </c>
      <c r="B149" t="s">
        <v>69</v>
      </c>
      <c r="C149" t="s">
        <v>33</v>
      </c>
      <c r="D149" t="s">
        <v>34</v>
      </c>
      <c r="E149" t="s">
        <v>309</v>
      </c>
      <c r="F149" t="s">
        <v>310</v>
      </c>
      <c r="G149" s="20" t="s">
        <v>38</v>
      </c>
      <c r="H149" s="20" t="s">
        <v>39</v>
      </c>
      <c r="I149" t="str">
        <f t="shared" si="4"/>
        <v>Apis mellifera</v>
      </c>
      <c r="J149" t="s">
        <v>70</v>
      </c>
      <c r="K149" t="s">
        <v>332</v>
      </c>
      <c r="L149" t="s">
        <v>197</v>
      </c>
      <c r="N149">
        <v>842</v>
      </c>
      <c r="O149" t="s">
        <v>155</v>
      </c>
      <c r="P149" t="s">
        <v>154</v>
      </c>
      <c r="Q149" t="s">
        <v>214</v>
      </c>
      <c r="R149">
        <v>1</v>
      </c>
      <c r="S149" t="s">
        <v>166</v>
      </c>
      <c r="T149" t="s">
        <v>72</v>
      </c>
      <c r="U149" t="s">
        <v>271</v>
      </c>
      <c r="AD149">
        <v>1</v>
      </c>
      <c r="AE149" s="8"/>
      <c r="AF149" s="18">
        <v>1</v>
      </c>
      <c r="AI149">
        <v>88</v>
      </c>
    </row>
    <row r="150" spans="1:35" x14ac:dyDescent="0.35">
      <c r="A150" t="s">
        <v>193</v>
      </c>
      <c r="B150" t="s">
        <v>69</v>
      </c>
      <c r="C150" t="s">
        <v>33</v>
      </c>
      <c r="D150" t="s">
        <v>34</v>
      </c>
      <c r="E150" t="s">
        <v>309</v>
      </c>
      <c r="F150" t="s">
        <v>310</v>
      </c>
      <c r="G150" s="20" t="s">
        <v>38</v>
      </c>
      <c r="H150" s="20" t="s">
        <v>39</v>
      </c>
      <c r="I150" t="str">
        <f t="shared" si="4"/>
        <v>Apis mellifera</v>
      </c>
      <c r="J150" t="s">
        <v>70</v>
      </c>
      <c r="K150" t="s">
        <v>332</v>
      </c>
      <c r="L150" t="s">
        <v>197</v>
      </c>
      <c r="N150">
        <v>843</v>
      </c>
      <c r="O150" t="s">
        <v>155</v>
      </c>
      <c r="P150" t="s">
        <v>154</v>
      </c>
      <c r="Q150" t="s">
        <v>214</v>
      </c>
      <c r="R150">
        <v>1</v>
      </c>
      <c r="S150" t="s">
        <v>166</v>
      </c>
      <c r="T150" t="s">
        <v>72</v>
      </c>
      <c r="U150" t="s">
        <v>271</v>
      </c>
      <c r="AD150">
        <v>1</v>
      </c>
      <c r="AE150" s="8"/>
      <c r="AF150" s="18">
        <v>1</v>
      </c>
      <c r="AI150">
        <v>91</v>
      </c>
    </row>
    <row r="151" spans="1:35" x14ac:dyDescent="0.35">
      <c r="A151" t="s">
        <v>193</v>
      </c>
      <c r="B151" t="s">
        <v>69</v>
      </c>
      <c r="C151" t="s">
        <v>33</v>
      </c>
      <c r="D151" t="s">
        <v>34</v>
      </c>
      <c r="E151" t="s">
        <v>309</v>
      </c>
      <c r="F151" t="s">
        <v>310</v>
      </c>
      <c r="G151" s="20" t="s">
        <v>38</v>
      </c>
      <c r="H151" s="20" t="s">
        <v>39</v>
      </c>
      <c r="I151" t="str">
        <f t="shared" ref="I151:I182" si="5">G151&amp;" "&amp;H151</f>
        <v>Apis mellifera</v>
      </c>
      <c r="J151" t="s">
        <v>70</v>
      </c>
      <c r="K151" t="s">
        <v>332</v>
      </c>
      <c r="L151" t="s">
        <v>197</v>
      </c>
      <c r="N151">
        <v>844</v>
      </c>
      <c r="O151" t="s">
        <v>155</v>
      </c>
      <c r="P151" t="s">
        <v>154</v>
      </c>
      <c r="Q151" t="s">
        <v>214</v>
      </c>
      <c r="R151">
        <v>1</v>
      </c>
      <c r="S151" t="s">
        <v>166</v>
      </c>
      <c r="T151" t="s">
        <v>72</v>
      </c>
      <c r="U151" t="s">
        <v>271</v>
      </c>
      <c r="AD151">
        <v>1</v>
      </c>
      <c r="AE151" s="8"/>
      <c r="AF151" s="18">
        <v>1</v>
      </c>
      <c r="AI151">
        <v>94</v>
      </c>
    </row>
    <row r="152" spans="1:35" x14ac:dyDescent="0.35">
      <c r="A152" t="s">
        <v>193</v>
      </c>
      <c r="B152" t="s">
        <v>69</v>
      </c>
      <c r="C152" t="s">
        <v>33</v>
      </c>
      <c r="D152" t="s">
        <v>34</v>
      </c>
      <c r="E152" t="s">
        <v>309</v>
      </c>
      <c r="F152" t="s">
        <v>310</v>
      </c>
      <c r="G152" s="20" t="s">
        <v>38</v>
      </c>
      <c r="H152" s="20" t="s">
        <v>39</v>
      </c>
      <c r="I152" t="str">
        <f t="shared" si="5"/>
        <v>Apis mellifera</v>
      </c>
      <c r="J152" t="s">
        <v>70</v>
      </c>
      <c r="K152" t="s">
        <v>332</v>
      </c>
      <c r="L152" t="s">
        <v>197</v>
      </c>
      <c r="N152">
        <v>845</v>
      </c>
      <c r="O152" t="s">
        <v>155</v>
      </c>
      <c r="P152" t="s">
        <v>154</v>
      </c>
      <c r="Q152" t="s">
        <v>214</v>
      </c>
      <c r="R152">
        <v>1</v>
      </c>
      <c r="S152" t="s">
        <v>166</v>
      </c>
      <c r="T152" t="s">
        <v>72</v>
      </c>
      <c r="U152" t="s">
        <v>271</v>
      </c>
      <c r="AD152">
        <v>1</v>
      </c>
      <c r="AE152" s="8"/>
      <c r="AF152" s="18">
        <v>1</v>
      </c>
      <c r="AI152">
        <v>95</v>
      </c>
    </row>
    <row r="153" spans="1:35" x14ac:dyDescent="0.35">
      <c r="A153" t="s">
        <v>193</v>
      </c>
      <c r="B153" t="s">
        <v>69</v>
      </c>
      <c r="C153" t="s">
        <v>33</v>
      </c>
      <c r="D153" t="s">
        <v>34</v>
      </c>
      <c r="E153" t="s">
        <v>309</v>
      </c>
      <c r="F153" t="s">
        <v>310</v>
      </c>
      <c r="G153" s="20" t="s">
        <v>38</v>
      </c>
      <c r="H153" s="20" t="s">
        <v>39</v>
      </c>
      <c r="I153" t="str">
        <f t="shared" si="5"/>
        <v>Apis mellifera</v>
      </c>
      <c r="J153" t="s">
        <v>70</v>
      </c>
      <c r="K153" t="s">
        <v>332</v>
      </c>
      <c r="L153" t="s">
        <v>197</v>
      </c>
      <c r="N153">
        <v>846</v>
      </c>
      <c r="O153" t="s">
        <v>155</v>
      </c>
      <c r="P153" t="s">
        <v>154</v>
      </c>
      <c r="Q153" t="s">
        <v>214</v>
      </c>
      <c r="R153">
        <v>1</v>
      </c>
      <c r="S153" t="s">
        <v>166</v>
      </c>
      <c r="T153" t="s">
        <v>72</v>
      </c>
      <c r="U153" t="s">
        <v>271</v>
      </c>
      <c r="AD153">
        <v>1</v>
      </c>
      <c r="AE153" s="8"/>
      <c r="AF153" s="18">
        <v>1</v>
      </c>
      <c r="AI153">
        <v>96</v>
      </c>
    </row>
    <row r="154" spans="1:35" x14ac:dyDescent="0.35">
      <c r="A154" t="s">
        <v>193</v>
      </c>
      <c r="B154" t="s">
        <v>69</v>
      </c>
      <c r="C154" t="s">
        <v>33</v>
      </c>
      <c r="D154" t="s">
        <v>34</v>
      </c>
      <c r="E154" t="s">
        <v>309</v>
      </c>
      <c r="F154" t="s">
        <v>310</v>
      </c>
      <c r="G154" s="20" t="s">
        <v>38</v>
      </c>
      <c r="H154" s="20" t="s">
        <v>39</v>
      </c>
      <c r="I154" t="str">
        <f t="shared" si="5"/>
        <v>Apis mellifera</v>
      </c>
      <c r="J154" t="s">
        <v>70</v>
      </c>
      <c r="K154" t="s">
        <v>332</v>
      </c>
      <c r="L154" t="s">
        <v>197</v>
      </c>
      <c r="N154">
        <v>847</v>
      </c>
      <c r="O154" t="s">
        <v>155</v>
      </c>
      <c r="P154" t="s">
        <v>154</v>
      </c>
      <c r="Q154" t="s">
        <v>214</v>
      </c>
      <c r="R154">
        <v>1</v>
      </c>
      <c r="S154" t="s">
        <v>166</v>
      </c>
      <c r="T154" t="s">
        <v>72</v>
      </c>
      <c r="U154" t="s">
        <v>271</v>
      </c>
      <c r="AD154">
        <v>1</v>
      </c>
      <c r="AE154" s="8"/>
      <c r="AF154" s="18">
        <v>1</v>
      </c>
      <c r="AI154">
        <v>98</v>
      </c>
    </row>
    <row r="155" spans="1:35" x14ac:dyDescent="0.35">
      <c r="A155" t="s">
        <v>193</v>
      </c>
      <c r="B155" t="s">
        <v>69</v>
      </c>
      <c r="C155" t="s">
        <v>33</v>
      </c>
      <c r="D155" t="s">
        <v>34</v>
      </c>
      <c r="E155" t="s">
        <v>309</v>
      </c>
      <c r="F155" t="s">
        <v>310</v>
      </c>
      <c r="G155" s="20" t="s">
        <v>38</v>
      </c>
      <c r="H155" s="20" t="s">
        <v>39</v>
      </c>
      <c r="I155" t="str">
        <f t="shared" si="5"/>
        <v>Apis mellifera</v>
      </c>
      <c r="J155" t="s">
        <v>70</v>
      </c>
      <c r="K155" t="s">
        <v>332</v>
      </c>
      <c r="L155" t="s">
        <v>197</v>
      </c>
      <c r="N155">
        <v>848</v>
      </c>
      <c r="O155" t="s">
        <v>155</v>
      </c>
      <c r="P155" t="s">
        <v>154</v>
      </c>
      <c r="Q155" t="s">
        <v>214</v>
      </c>
      <c r="R155">
        <v>1</v>
      </c>
      <c r="S155" t="s">
        <v>166</v>
      </c>
      <c r="T155" t="s">
        <v>72</v>
      </c>
      <c r="U155" t="s">
        <v>271</v>
      </c>
      <c r="AD155">
        <v>1</v>
      </c>
      <c r="AE155" s="8"/>
      <c r="AF155" s="18">
        <v>1</v>
      </c>
      <c r="AI155">
        <v>99</v>
      </c>
    </row>
    <row r="156" spans="1:35" x14ac:dyDescent="0.35">
      <c r="A156" t="s">
        <v>193</v>
      </c>
      <c r="B156" t="s">
        <v>69</v>
      </c>
      <c r="C156" t="s">
        <v>33</v>
      </c>
      <c r="D156" t="s">
        <v>34</v>
      </c>
      <c r="E156" t="s">
        <v>309</v>
      </c>
      <c r="F156" t="s">
        <v>310</v>
      </c>
      <c r="G156" s="20" t="s">
        <v>38</v>
      </c>
      <c r="H156" s="20" t="s">
        <v>39</v>
      </c>
      <c r="I156" t="str">
        <f t="shared" si="5"/>
        <v>Apis mellifera</v>
      </c>
      <c r="J156" t="s">
        <v>70</v>
      </c>
      <c r="K156" t="s">
        <v>332</v>
      </c>
      <c r="L156" t="s">
        <v>197</v>
      </c>
      <c r="N156">
        <v>849</v>
      </c>
      <c r="O156" t="s">
        <v>155</v>
      </c>
      <c r="P156" t="s">
        <v>154</v>
      </c>
      <c r="Q156" t="s">
        <v>214</v>
      </c>
      <c r="R156">
        <v>1</v>
      </c>
      <c r="S156" t="s">
        <v>166</v>
      </c>
      <c r="T156" t="s">
        <v>72</v>
      </c>
      <c r="U156" t="s">
        <v>271</v>
      </c>
      <c r="AD156">
        <v>1</v>
      </c>
      <c r="AE156" s="8"/>
      <c r="AF156" s="18">
        <v>1</v>
      </c>
      <c r="AI156">
        <v>100</v>
      </c>
    </row>
    <row r="157" spans="1:35" x14ac:dyDescent="0.35">
      <c r="A157" t="s">
        <v>193</v>
      </c>
      <c r="B157" t="s">
        <v>69</v>
      </c>
      <c r="C157" t="s">
        <v>33</v>
      </c>
      <c r="D157" t="s">
        <v>34</v>
      </c>
      <c r="E157" t="s">
        <v>309</v>
      </c>
      <c r="F157" t="s">
        <v>310</v>
      </c>
      <c r="G157" s="20" t="s">
        <v>38</v>
      </c>
      <c r="H157" s="20" t="s">
        <v>39</v>
      </c>
      <c r="I157" t="str">
        <f t="shared" si="5"/>
        <v>Apis mellifera</v>
      </c>
      <c r="J157" t="s">
        <v>70</v>
      </c>
      <c r="K157" t="s">
        <v>332</v>
      </c>
      <c r="L157" t="s">
        <v>197</v>
      </c>
      <c r="N157">
        <v>850</v>
      </c>
      <c r="O157" t="s">
        <v>155</v>
      </c>
      <c r="P157" t="s">
        <v>154</v>
      </c>
      <c r="Q157" t="s">
        <v>214</v>
      </c>
      <c r="R157">
        <v>1</v>
      </c>
      <c r="S157" t="s">
        <v>166</v>
      </c>
      <c r="T157" t="s">
        <v>72</v>
      </c>
      <c r="U157" t="s">
        <v>271</v>
      </c>
      <c r="AD157">
        <v>1</v>
      </c>
      <c r="AE157" s="8"/>
      <c r="AF157" s="18">
        <v>1</v>
      </c>
      <c r="AI157">
        <v>102</v>
      </c>
    </row>
    <row r="158" spans="1:35" x14ac:dyDescent="0.35">
      <c r="A158" t="s">
        <v>193</v>
      </c>
      <c r="B158" t="s">
        <v>69</v>
      </c>
      <c r="C158" t="s">
        <v>33</v>
      </c>
      <c r="D158" t="s">
        <v>34</v>
      </c>
      <c r="E158" t="s">
        <v>309</v>
      </c>
      <c r="F158" t="s">
        <v>310</v>
      </c>
      <c r="G158" s="20" t="s">
        <v>38</v>
      </c>
      <c r="H158" s="20" t="s">
        <v>39</v>
      </c>
      <c r="I158" t="str">
        <f t="shared" si="5"/>
        <v>Apis mellifera</v>
      </c>
      <c r="J158" t="s">
        <v>70</v>
      </c>
      <c r="K158" t="s">
        <v>332</v>
      </c>
      <c r="L158" t="s">
        <v>197</v>
      </c>
      <c r="N158">
        <v>851</v>
      </c>
      <c r="O158" t="s">
        <v>155</v>
      </c>
      <c r="P158" t="s">
        <v>154</v>
      </c>
      <c r="Q158" t="s">
        <v>214</v>
      </c>
      <c r="R158">
        <v>1</v>
      </c>
      <c r="S158" t="s">
        <v>166</v>
      </c>
      <c r="T158" t="s">
        <v>72</v>
      </c>
      <c r="U158" t="s">
        <v>271</v>
      </c>
      <c r="AD158">
        <v>1</v>
      </c>
      <c r="AE158" s="8"/>
      <c r="AF158" s="18">
        <v>1</v>
      </c>
      <c r="AI158">
        <v>103</v>
      </c>
    </row>
    <row r="159" spans="1:35" x14ac:dyDescent="0.35">
      <c r="A159" t="s">
        <v>193</v>
      </c>
      <c r="B159" t="s">
        <v>69</v>
      </c>
      <c r="C159" t="s">
        <v>33</v>
      </c>
      <c r="D159" t="s">
        <v>34</v>
      </c>
      <c r="E159" t="s">
        <v>309</v>
      </c>
      <c r="F159" t="s">
        <v>310</v>
      </c>
      <c r="G159" s="20" t="s">
        <v>38</v>
      </c>
      <c r="H159" s="20" t="s">
        <v>39</v>
      </c>
      <c r="I159" t="str">
        <f t="shared" si="5"/>
        <v>Apis mellifera</v>
      </c>
      <c r="J159" t="s">
        <v>70</v>
      </c>
      <c r="K159" t="s">
        <v>332</v>
      </c>
      <c r="L159" t="s">
        <v>197</v>
      </c>
      <c r="N159">
        <v>852</v>
      </c>
      <c r="O159" t="s">
        <v>155</v>
      </c>
      <c r="P159" t="s">
        <v>154</v>
      </c>
      <c r="Q159" t="s">
        <v>214</v>
      </c>
      <c r="R159">
        <v>1</v>
      </c>
      <c r="S159" t="s">
        <v>166</v>
      </c>
      <c r="T159" t="s">
        <v>72</v>
      </c>
      <c r="U159" t="s">
        <v>271</v>
      </c>
      <c r="AD159">
        <v>1</v>
      </c>
      <c r="AE159" s="8"/>
      <c r="AF159" s="18">
        <v>1</v>
      </c>
      <c r="AI159">
        <v>104</v>
      </c>
    </row>
    <row r="160" spans="1:35" x14ac:dyDescent="0.35">
      <c r="A160" t="s">
        <v>193</v>
      </c>
      <c r="B160" t="s">
        <v>69</v>
      </c>
      <c r="C160" t="s">
        <v>33</v>
      </c>
      <c r="D160" t="s">
        <v>34</v>
      </c>
      <c r="E160" t="s">
        <v>309</v>
      </c>
      <c r="F160" t="s">
        <v>310</v>
      </c>
      <c r="G160" s="20" t="s">
        <v>38</v>
      </c>
      <c r="H160" s="20" t="s">
        <v>39</v>
      </c>
      <c r="I160" t="str">
        <f t="shared" si="5"/>
        <v>Apis mellifera</v>
      </c>
      <c r="J160" t="s">
        <v>70</v>
      </c>
      <c r="K160" t="s">
        <v>332</v>
      </c>
      <c r="L160" t="s">
        <v>197</v>
      </c>
      <c r="N160">
        <v>853</v>
      </c>
      <c r="O160" t="s">
        <v>155</v>
      </c>
      <c r="P160" t="s">
        <v>154</v>
      </c>
      <c r="Q160" t="s">
        <v>214</v>
      </c>
      <c r="R160">
        <v>1</v>
      </c>
      <c r="S160" t="s">
        <v>166</v>
      </c>
      <c r="T160" t="s">
        <v>72</v>
      </c>
      <c r="U160" t="s">
        <v>271</v>
      </c>
      <c r="AD160">
        <v>1</v>
      </c>
      <c r="AE160" s="8"/>
      <c r="AF160" s="18">
        <v>1</v>
      </c>
      <c r="AI160">
        <v>108</v>
      </c>
    </row>
    <row r="161" spans="1:35" x14ac:dyDescent="0.35">
      <c r="A161" t="s">
        <v>193</v>
      </c>
      <c r="B161" t="s">
        <v>69</v>
      </c>
      <c r="C161" t="s">
        <v>33</v>
      </c>
      <c r="D161" t="s">
        <v>34</v>
      </c>
      <c r="E161" t="s">
        <v>309</v>
      </c>
      <c r="F161" t="s">
        <v>310</v>
      </c>
      <c r="G161" s="20" t="s">
        <v>38</v>
      </c>
      <c r="H161" s="20" t="s">
        <v>39</v>
      </c>
      <c r="I161" t="str">
        <f t="shared" si="5"/>
        <v>Apis mellifera</v>
      </c>
      <c r="J161" t="s">
        <v>70</v>
      </c>
      <c r="K161" t="s">
        <v>332</v>
      </c>
      <c r="L161" t="s">
        <v>197</v>
      </c>
      <c r="N161">
        <v>854</v>
      </c>
      <c r="O161" t="s">
        <v>155</v>
      </c>
      <c r="P161" t="s">
        <v>154</v>
      </c>
      <c r="Q161" t="s">
        <v>214</v>
      </c>
      <c r="R161">
        <v>0</v>
      </c>
      <c r="S161" t="s">
        <v>166</v>
      </c>
      <c r="T161" t="s">
        <v>72</v>
      </c>
      <c r="U161" t="s">
        <v>271</v>
      </c>
      <c r="AF161" s="18">
        <v>1</v>
      </c>
      <c r="AI161">
        <v>110</v>
      </c>
    </row>
    <row r="162" spans="1:35" x14ac:dyDescent="0.35">
      <c r="A162" t="s">
        <v>193</v>
      </c>
      <c r="B162" t="s">
        <v>69</v>
      </c>
      <c r="C162" t="s">
        <v>33</v>
      </c>
      <c r="D162" t="s">
        <v>34</v>
      </c>
      <c r="E162" t="s">
        <v>309</v>
      </c>
      <c r="F162" t="s">
        <v>310</v>
      </c>
      <c r="G162" s="20" t="s">
        <v>38</v>
      </c>
      <c r="H162" s="20" t="s">
        <v>39</v>
      </c>
      <c r="I162" t="str">
        <f t="shared" si="5"/>
        <v>Apis mellifera</v>
      </c>
      <c r="J162" t="s">
        <v>70</v>
      </c>
      <c r="K162" t="s">
        <v>332</v>
      </c>
      <c r="L162" t="s">
        <v>197</v>
      </c>
      <c r="N162">
        <v>855</v>
      </c>
      <c r="O162" t="s">
        <v>155</v>
      </c>
      <c r="P162" t="s">
        <v>154</v>
      </c>
      <c r="Q162" t="s">
        <v>214</v>
      </c>
      <c r="R162">
        <v>1</v>
      </c>
      <c r="S162" t="s">
        <v>166</v>
      </c>
      <c r="T162" t="s">
        <v>72</v>
      </c>
      <c r="U162" t="s">
        <v>271</v>
      </c>
      <c r="AD162">
        <v>1</v>
      </c>
      <c r="AI162">
        <v>112</v>
      </c>
    </row>
    <row r="163" spans="1:35" x14ac:dyDescent="0.35">
      <c r="A163" t="s">
        <v>193</v>
      </c>
      <c r="B163" t="s">
        <v>69</v>
      </c>
      <c r="C163" t="s">
        <v>33</v>
      </c>
      <c r="D163" t="s">
        <v>34</v>
      </c>
      <c r="E163" t="s">
        <v>309</v>
      </c>
      <c r="F163" t="s">
        <v>310</v>
      </c>
      <c r="G163" s="20" t="s">
        <v>38</v>
      </c>
      <c r="H163" s="20" t="s">
        <v>39</v>
      </c>
      <c r="I163" t="str">
        <f t="shared" si="5"/>
        <v>Apis mellifera</v>
      </c>
      <c r="J163" t="s">
        <v>70</v>
      </c>
      <c r="K163" t="s">
        <v>332</v>
      </c>
      <c r="L163" t="s">
        <v>197</v>
      </c>
      <c r="N163">
        <v>856</v>
      </c>
      <c r="O163" t="s">
        <v>155</v>
      </c>
      <c r="P163" t="s">
        <v>154</v>
      </c>
      <c r="Q163" t="s">
        <v>214</v>
      </c>
      <c r="R163">
        <v>1</v>
      </c>
      <c r="S163" t="s">
        <v>166</v>
      </c>
      <c r="T163" t="s">
        <v>72</v>
      </c>
      <c r="U163" t="s">
        <v>271</v>
      </c>
      <c r="AD163">
        <v>1</v>
      </c>
      <c r="AI163">
        <v>113</v>
      </c>
    </row>
    <row r="164" spans="1:35" x14ac:dyDescent="0.35">
      <c r="A164" t="s">
        <v>193</v>
      </c>
      <c r="B164" t="s">
        <v>69</v>
      </c>
      <c r="C164" t="s">
        <v>33</v>
      </c>
      <c r="D164" t="s">
        <v>34</v>
      </c>
      <c r="E164" t="s">
        <v>309</v>
      </c>
      <c r="F164" t="s">
        <v>310</v>
      </c>
      <c r="G164" s="20" t="s">
        <v>38</v>
      </c>
      <c r="H164" s="20" t="s">
        <v>39</v>
      </c>
      <c r="I164" t="str">
        <f t="shared" si="5"/>
        <v>Apis mellifera</v>
      </c>
      <c r="J164" t="s">
        <v>70</v>
      </c>
      <c r="K164" t="s">
        <v>332</v>
      </c>
      <c r="L164" t="s">
        <v>197</v>
      </c>
      <c r="N164">
        <v>857</v>
      </c>
      <c r="O164" t="s">
        <v>155</v>
      </c>
      <c r="P164" t="s">
        <v>154</v>
      </c>
      <c r="Q164" t="s">
        <v>214</v>
      </c>
      <c r="R164">
        <v>1</v>
      </c>
      <c r="S164" t="s">
        <v>166</v>
      </c>
      <c r="T164" t="s">
        <v>72</v>
      </c>
      <c r="U164" t="s">
        <v>271</v>
      </c>
      <c r="AD164">
        <v>1</v>
      </c>
      <c r="AI164">
        <v>114</v>
      </c>
    </row>
    <row r="165" spans="1:35" x14ac:dyDescent="0.35">
      <c r="A165" t="s">
        <v>193</v>
      </c>
      <c r="B165" t="s">
        <v>69</v>
      </c>
      <c r="C165" t="s">
        <v>33</v>
      </c>
      <c r="D165" t="s">
        <v>34</v>
      </c>
      <c r="E165" t="s">
        <v>309</v>
      </c>
      <c r="F165" t="s">
        <v>310</v>
      </c>
      <c r="G165" s="20" t="s">
        <v>38</v>
      </c>
      <c r="H165" s="20" t="s">
        <v>39</v>
      </c>
      <c r="I165" t="str">
        <f t="shared" si="5"/>
        <v>Apis mellifera</v>
      </c>
      <c r="J165" t="s">
        <v>70</v>
      </c>
      <c r="K165" t="s">
        <v>332</v>
      </c>
      <c r="L165" t="s">
        <v>197</v>
      </c>
      <c r="N165">
        <v>863</v>
      </c>
      <c r="O165" t="s">
        <v>155</v>
      </c>
      <c r="P165" t="s">
        <v>154</v>
      </c>
      <c r="Q165" t="s">
        <v>214</v>
      </c>
      <c r="R165">
        <v>1</v>
      </c>
      <c r="S165" t="s">
        <v>166</v>
      </c>
      <c r="T165" t="s">
        <v>72</v>
      </c>
      <c r="U165" t="s">
        <v>271</v>
      </c>
      <c r="AD165">
        <v>1</v>
      </c>
      <c r="AI165">
        <v>115</v>
      </c>
    </row>
    <row r="166" spans="1:35" x14ac:dyDescent="0.35">
      <c r="A166" t="s">
        <v>193</v>
      </c>
      <c r="B166" t="s">
        <v>69</v>
      </c>
      <c r="C166" t="s">
        <v>33</v>
      </c>
      <c r="D166" t="s">
        <v>34</v>
      </c>
      <c r="E166" t="s">
        <v>309</v>
      </c>
      <c r="F166" t="s">
        <v>310</v>
      </c>
      <c r="G166" s="20" t="s">
        <v>38</v>
      </c>
      <c r="H166" s="20" t="s">
        <v>39</v>
      </c>
      <c r="I166" t="str">
        <f t="shared" si="5"/>
        <v>Apis mellifera</v>
      </c>
      <c r="J166" t="s">
        <v>70</v>
      </c>
      <c r="K166" t="s">
        <v>332</v>
      </c>
      <c r="L166" t="s">
        <v>197</v>
      </c>
      <c r="N166">
        <v>864</v>
      </c>
      <c r="O166" t="s">
        <v>155</v>
      </c>
      <c r="P166" t="s">
        <v>154</v>
      </c>
      <c r="Q166" t="s">
        <v>214</v>
      </c>
      <c r="R166">
        <v>1</v>
      </c>
      <c r="S166" t="s">
        <v>166</v>
      </c>
      <c r="T166" t="s">
        <v>72</v>
      </c>
      <c r="U166" t="s">
        <v>271</v>
      </c>
      <c r="AD166">
        <v>1</v>
      </c>
      <c r="AI166">
        <v>116</v>
      </c>
    </row>
    <row r="167" spans="1:35" x14ac:dyDescent="0.35">
      <c r="A167" t="s">
        <v>193</v>
      </c>
      <c r="B167" t="s">
        <v>69</v>
      </c>
      <c r="C167" t="s">
        <v>33</v>
      </c>
      <c r="D167" t="s">
        <v>34</v>
      </c>
      <c r="E167" t="s">
        <v>309</v>
      </c>
      <c r="F167" t="s">
        <v>310</v>
      </c>
      <c r="G167" s="20" t="s">
        <v>38</v>
      </c>
      <c r="H167" s="20" t="s">
        <v>39</v>
      </c>
      <c r="I167" t="str">
        <f t="shared" si="5"/>
        <v>Apis mellifera</v>
      </c>
      <c r="J167" t="s">
        <v>70</v>
      </c>
      <c r="K167" t="s">
        <v>332</v>
      </c>
      <c r="L167" t="s">
        <v>197</v>
      </c>
      <c r="N167">
        <v>865</v>
      </c>
      <c r="O167" t="s">
        <v>155</v>
      </c>
      <c r="P167" t="s">
        <v>154</v>
      </c>
      <c r="Q167" t="s">
        <v>214</v>
      </c>
      <c r="R167">
        <v>1</v>
      </c>
      <c r="S167" t="s">
        <v>166</v>
      </c>
      <c r="T167" t="s">
        <v>72</v>
      </c>
      <c r="U167" t="s">
        <v>271</v>
      </c>
      <c r="AD167">
        <v>1</v>
      </c>
      <c r="AI167">
        <v>118</v>
      </c>
    </row>
    <row r="168" spans="1:35" x14ac:dyDescent="0.35">
      <c r="A168" t="s">
        <v>193</v>
      </c>
      <c r="B168" t="s">
        <v>69</v>
      </c>
      <c r="C168" t="s">
        <v>33</v>
      </c>
      <c r="D168" t="s">
        <v>34</v>
      </c>
      <c r="E168" t="s">
        <v>309</v>
      </c>
      <c r="F168" t="s">
        <v>310</v>
      </c>
      <c r="G168" s="20" t="s">
        <v>38</v>
      </c>
      <c r="H168" s="20" t="s">
        <v>39</v>
      </c>
      <c r="I168" t="str">
        <f t="shared" si="5"/>
        <v>Apis mellifera</v>
      </c>
      <c r="J168" t="s">
        <v>70</v>
      </c>
      <c r="K168" t="s">
        <v>332</v>
      </c>
      <c r="L168" t="s">
        <v>197</v>
      </c>
      <c r="N168">
        <v>883</v>
      </c>
      <c r="O168" t="s">
        <v>155</v>
      </c>
      <c r="P168" t="s">
        <v>223</v>
      </c>
      <c r="Q168" t="s">
        <v>215</v>
      </c>
      <c r="R168">
        <v>1</v>
      </c>
      <c r="S168" t="s">
        <v>166</v>
      </c>
      <c r="T168" t="s">
        <v>72</v>
      </c>
      <c r="U168" t="s">
        <v>271</v>
      </c>
      <c r="AD168">
        <v>1</v>
      </c>
      <c r="AI168">
        <v>124</v>
      </c>
    </row>
    <row r="169" spans="1:35" x14ac:dyDescent="0.35">
      <c r="A169" t="s">
        <v>193</v>
      </c>
      <c r="B169" t="s">
        <v>69</v>
      </c>
      <c r="C169" t="s">
        <v>33</v>
      </c>
      <c r="D169" t="s">
        <v>34</v>
      </c>
      <c r="E169" t="s">
        <v>309</v>
      </c>
      <c r="F169" t="s">
        <v>310</v>
      </c>
      <c r="G169" s="20" t="s">
        <v>38</v>
      </c>
      <c r="H169" s="20" t="s">
        <v>39</v>
      </c>
      <c r="I169" t="str">
        <f t="shared" si="5"/>
        <v>Apis mellifera</v>
      </c>
      <c r="J169" t="s">
        <v>70</v>
      </c>
      <c r="K169" t="s">
        <v>332</v>
      </c>
      <c r="L169" t="s">
        <v>197</v>
      </c>
      <c r="N169">
        <v>884</v>
      </c>
      <c r="O169" t="s">
        <v>155</v>
      </c>
      <c r="P169" t="s">
        <v>223</v>
      </c>
      <c r="Q169" t="s">
        <v>215</v>
      </c>
      <c r="R169">
        <v>1</v>
      </c>
      <c r="S169" t="s">
        <v>166</v>
      </c>
      <c r="T169" t="s">
        <v>72</v>
      </c>
      <c r="U169" t="s">
        <v>271</v>
      </c>
      <c r="AD169">
        <v>1</v>
      </c>
      <c r="AI169">
        <v>129</v>
      </c>
    </row>
    <row r="170" spans="1:35" x14ac:dyDescent="0.35">
      <c r="A170" t="s">
        <v>193</v>
      </c>
      <c r="B170" t="s">
        <v>69</v>
      </c>
      <c r="C170" t="s">
        <v>33</v>
      </c>
      <c r="D170" t="s">
        <v>34</v>
      </c>
      <c r="E170" t="s">
        <v>309</v>
      </c>
      <c r="F170" t="s">
        <v>310</v>
      </c>
      <c r="G170" s="20" t="s">
        <v>38</v>
      </c>
      <c r="H170" s="20" t="s">
        <v>39</v>
      </c>
      <c r="I170" t="str">
        <f t="shared" si="5"/>
        <v>Apis mellifera</v>
      </c>
      <c r="J170" t="s">
        <v>70</v>
      </c>
      <c r="K170" t="s">
        <v>332</v>
      </c>
      <c r="L170" t="s">
        <v>197</v>
      </c>
      <c r="N170">
        <v>885</v>
      </c>
      <c r="O170" t="s">
        <v>155</v>
      </c>
      <c r="P170" t="s">
        <v>223</v>
      </c>
      <c r="Q170" t="s">
        <v>215</v>
      </c>
      <c r="R170">
        <v>1</v>
      </c>
      <c r="S170" t="s">
        <v>166</v>
      </c>
      <c r="T170" t="s">
        <v>72</v>
      </c>
      <c r="U170" t="s">
        <v>271</v>
      </c>
      <c r="AD170">
        <v>1</v>
      </c>
      <c r="AI170">
        <v>130</v>
      </c>
    </row>
    <row r="171" spans="1:35" x14ac:dyDescent="0.35">
      <c r="A171" t="s">
        <v>193</v>
      </c>
      <c r="B171" t="s">
        <v>69</v>
      </c>
      <c r="C171" t="s">
        <v>33</v>
      </c>
      <c r="D171" t="s">
        <v>34</v>
      </c>
      <c r="E171" t="s">
        <v>309</v>
      </c>
      <c r="F171" t="s">
        <v>310</v>
      </c>
      <c r="G171" s="20" t="s">
        <v>38</v>
      </c>
      <c r="H171" s="20" t="s">
        <v>39</v>
      </c>
      <c r="I171" t="str">
        <f t="shared" si="5"/>
        <v>Apis mellifera</v>
      </c>
      <c r="J171" t="s">
        <v>70</v>
      </c>
      <c r="K171" t="s">
        <v>332</v>
      </c>
      <c r="L171" s="3" t="s">
        <v>197</v>
      </c>
      <c r="N171">
        <v>886</v>
      </c>
      <c r="O171" t="s">
        <v>155</v>
      </c>
      <c r="P171" t="s">
        <v>154</v>
      </c>
      <c r="Q171" t="s">
        <v>209</v>
      </c>
      <c r="R171" s="3">
        <v>1</v>
      </c>
      <c r="S171" s="14" t="s">
        <v>169</v>
      </c>
      <c r="T171" t="s">
        <v>78</v>
      </c>
      <c r="U171" t="s">
        <v>271</v>
      </c>
      <c r="AD171">
        <v>1</v>
      </c>
      <c r="AE171" s="8"/>
      <c r="AF171" s="9">
        <v>3</v>
      </c>
      <c r="AI171">
        <v>23</v>
      </c>
    </row>
    <row r="172" spans="1:35" x14ac:dyDescent="0.35">
      <c r="A172" t="s">
        <v>193</v>
      </c>
      <c r="B172" t="s">
        <v>69</v>
      </c>
      <c r="C172" t="s">
        <v>33</v>
      </c>
      <c r="D172" t="s">
        <v>34</v>
      </c>
      <c r="E172" t="s">
        <v>309</v>
      </c>
      <c r="F172" t="s">
        <v>310</v>
      </c>
      <c r="G172" s="20" t="s">
        <v>38</v>
      </c>
      <c r="H172" s="20" t="s">
        <v>39</v>
      </c>
      <c r="I172" t="str">
        <f t="shared" si="5"/>
        <v>Apis mellifera</v>
      </c>
      <c r="J172" t="s">
        <v>70</v>
      </c>
      <c r="K172" t="s">
        <v>332</v>
      </c>
      <c r="L172" s="3" t="s">
        <v>197</v>
      </c>
      <c r="N172">
        <v>887</v>
      </c>
      <c r="O172" t="s">
        <v>155</v>
      </c>
      <c r="P172" t="s">
        <v>154</v>
      </c>
      <c r="Q172" s="3" t="s">
        <v>209</v>
      </c>
      <c r="R172" s="3">
        <v>1</v>
      </c>
      <c r="S172" s="14" t="s">
        <v>169</v>
      </c>
      <c r="T172" t="s">
        <v>78</v>
      </c>
      <c r="U172" t="s">
        <v>271</v>
      </c>
      <c r="AD172">
        <v>1</v>
      </c>
      <c r="AE172" s="8"/>
      <c r="AF172" s="3">
        <v>1</v>
      </c>
      <c r="AI172">
        <v>27</v>
      </c>
    </row>
    <row r="173" spans="1:35" x14ac:dyDescent="0.35">
      <c r="A173" t="s">
        <v>193</v>
      </c>
      <c r="B173" t="s">
        <v>69</v>
      </c>
      <c r="C173" t="s">
        <v>33</v>
      </c>
      <c r="D173" t="s">
        <v>34</v>
      </c>
      <c r="E173" t="s">
        <v>309</v>
      </c>
      <c r="F173" t="s">
        <v>310</v>
      </c>
      <c r="G173" s="20" t="s">
        <v>38</v>
      </c>
      <c r="H173" s="20" t="s">
        <v>39</v>
      </c>
      <c r="I173" t="str">
        <f t="shared" si="5"/>
        <v>Apis mellifera</v>
      </c>
      <c r="J173" t="s">
        <v>70</v>
      </c>
      <c r="K173" t="s">
        <v>332</v>
      </c>
      <c r="L173" s="9" t="s">
        <v>197</v>
      </c>
      <c r="M173" s="9" t="s">
        <v>197</v>
      </c>
      <c r="N173">
        <v>890</v>
      </c>
      <c r="O173" t="s">
        <v>155</v>
      </c>
      <c r="P173" t="s">
        <v>154</v>
      </c>
      <c r="Q173" t="s">
        <v>208</v>
      </c>
      <c r="R173" s="3">
        <v>1</v>
      </c>
      <c r="S173" s="14" t="s">
        <v>168</v>
      </c>
      <c r="T173" t="s">
        <v>78</v>
      </c>
      <c r="U173" t="s">
        <v>271</v>
      </c>
      <c r="AD173">
        <v>1</v>
      </c>
      <c r="AE173" s="8"/>
      <c r="AF173" s="9">
        <v>3</v>
      </c>
      <c r="AI173">
        <v>20</v>
      </c>
    </row>
    <row r="174" spans="1:35" x14ac:dyDescent="0.35">
      <c r="A174" t="s">
        <v>193</v>
      </c>
      <c r="B174" t="s">
        <v>69</v>
      </c>
      <c r="C174" t="s">
        <v>33</v>
      </c>
      <c r="D174" t="s">
        <v>34</v>
      </c>
      <c r="E174" t="s">
        <v>309</v>
      </c>
      <c r="F174" t="s">
        <v>310</v>
      </c>
      <c r="G174" s="20" t="s">
        <v>38</v>
      </c>
      <c r="H174" s="20" t="s">
        <v>39</v>
      </c>
      <c r="I174" t="str">
        <f t="shared" si="5"/>
        <v>Apis mellifera</v>
      </c>
      <c r="J174" t="s">
        <v>70</v>
      </c>
      <c r="K174" t="s">
        <v>332</v>
      </c>
      <c r="L174" s="9" t="s">
        <v>197</v>
      </c>
      <c r="N174">
        <v>891</v>
      </c>
      <c r="O174" t="s">
        <v>155</v>
      </c>
      <c r="P174" t="s">
        <v>154</v>
      </c>
      <c r="Q174" t="s">
        <v>208</v>
      </c>
      <c r="R174" s="3">
        <v>1</v>
      </c>
      <c r="S174" s="14" t="s">
        <v>168</v>
      </c>
      <c r="T174" t="s">
        <v>78</v>
      </c>
      <c r="U174" t="s">
        <v>271</v>
      </c>
      <c r="AD174">
        <v>1</v>
      </c>
      <c r="AE174" s="8"/>
      <c r="AF174" s="9">
        <v>3</v>
      </c>
      <c r="AI174">
        <v>21</v>
      </c>
    </row>
    <row r="175" spans="1:35" x14ac:dyDescent="0.35">
      <c r="A175" t="s">
        <v>193</v>
      </c>
      <c r="B175" t="s">
        <v>69</v>
      </c>
      <c r="C175" t="s">
        <v>33</v>
      </c>
      <c r="D175" t="s">
        <v>34</v>
      </c>
      <c r="E175" t="s">
        <v>309</v>
      </c>
      <c r="F175" t="s">
        <v>310</v>
      </c>
      <c r="G175" s="20" t="s">
        <v>38</v>
      </c>
      <c r="H175" s="20" t="s">
        <v>39</v>
      </c>
      <c r="I175" t="str">
        <f t="shared" si="5"/>
        <v>Apis mellifera</v>
      </c>
      <c r="J175" t="s">
        <v>70</v>
      </c>
      <c r="K175" t="s">
        <v>332</v>
      </c>
      <c r="L175" s="9" t="s">
        <v>197</v>
      </c>
      <c r="N175">
        <v>893</v>
      </c>
      <c r="O175" t="s">
        <v>155</v>
      </c>
      <c r="P175" t="s">
        <v>154</v>
      </c>
      <c r="Q175" s="3" t="s">
        <v>208</v>
      </c>
      <c r="R175" s="3">
        <v>1</v>
      </c>
      <c r="S175" s="14" t="s">
        <v>168</v>
      </c>
      <c r="T175" t="s">
        <v>78</v>
      </c>
      <c r="U175" t="s">
        <v>271</v>
      </c>
      <c r="AD175">
        <v>1</v>
      </c>
      <c r="AE175" s="8"/>
      <c r="AF175" s="9">
        <v>3</v>
      </c>
      <c r="AI175">
        <v>22</v>
      </c>
    </row>
    <row r="176" spans="1:35" x14ac:dyDescent="0.35">
      <c r="A176" t="s">
        <v>193</v>
      </c>
      <c r="B176" t="s">
        <v>69</v>
      </c>
      <c r="C176" t="s">
        <v>33</v>
      </c>
      <c r="D176" t="s">
        <v>34</v>
      </c>
      <c r="E176" t="s">
        <v>309</v>
      </c>
      <c r="F176" t="s">
        <v>310</v>
      </c>
      <c r="G176" s="20" t="s">
        <v>38</v>
      </c>
      <c r="H176" s="20" t="s">
        <v>39</v>
      </c>
      <c r="I176" t="str">
        <f t="shared" si="5"/>
        <v>Apis mellifera</v>
      </c>
      <c r="J176" t="s">
        <v>70</v>
      </c>
      <c r="K176" t="s">
        <v>332</v>
      </c>
      <c r="L176" s="3" t="s">
        <v>197</v>
      </c>
      <c r="N176">
        <v>894</v>
      </c>
      <c r="O176" t="s">
        <v>155</v>
      </c>
      <c r="P176" t="s">
        <v>222</v>
      </c>
      <c r="Q176" t="s">
        <v>211</v>
      </c>
      <c r="R176" s="9">
        <v>1</v>
      </c>
      <c r="S176" t="s">
        <v>168</v>
      </c>
      <c r="T176" t="s">
        <v>78</v>
      </c>
      <c r="U176" t="s">
        <v>271</v>
      </c>
      <c r="AD176">
        <v>1</v>
      </c>
      <c r="AE176" s="8"/>
      <c r="AF176" s="9">
        <v>1</v>
      </c>
      <c r="AI176">
        <v>51</v>
      </c>
    </row>
    <row r="177" spans="1:35" x14ac:dyDescent="0.35">
      <c r="A177" t="s">
        <v>193</v>
      </c>
      <c r="B177" t="s">
        <v>69</v>
      </c>
      <c r="C177" t="s">
        <v>33</v>
      </c>
      <c r="D177" t="s">
        <v>34</v>
      </c>
      <c r="E177" t="s">
        <v>309</v>
      </c>
      <c r="F177" t="s">
        <v>310</v>
      </c>
      <c r="G177" s="20" t="s">
        <v>38</v>
      </c>
      <c r="H177" s="20" t="s">
        <v>39</v>
      </c>
      <c r="I177" t="str">
        <f t="shared" si="5"/>
        <v>Apis mellifera</v>
      </c>
      <c r="J177" t="s">
        <v>70</v>
      </c>
      <c r="K177" t="s">
        <v>332</v>
      </c>
      <c r="L177" t="s">
        <v>197</v>
      </c>
      <c r="N177">
        <v>896</v>
      </c>
      <c r="O177" t="s">
        <v>155</v>
      </c>
      <c r="P177" t="s">
        <v>154</v>
      </c>
      <c r="Q177" t="s">
        <v>214</v>
      </c>
      <c r="R177">
        <v>1</v>
      </c>
      <c r="S177" t="s">
        <v>168</v>
      </c>
      <c r="T177" t="s">
        <v>78</v>
      </c>
      <c r="U177" t="s">
        <v>271</v>
      </c>
      <c r="AD177">
        <v>1</v>
      </c>
      <c r="AE177" s="8"/>
      <c r="AF177" s="18">
        <v>1</v>
      </c>
      <c r="AI177">
        <v>83</v>
      </c>
    </row>
    <row r="178" spans="1:35" x14ac:dyDescent="0.35">
      <c r="A178" t="s">
        <v>193</v>
      </c>
      <c r="B178" t="s">
        <v>69</v>
      </c>
      <c r="C178" t="s">
        <v>33</v>
      </c>
      <c r="D178" t="s">
        <v>34</v>
      </c>
      <c r="E178" t="s">
        <v>309</v>
      </c>
      <c r="F178" t="s">
        <v>310</v>
      </c>
      <c r="G178" s="20" t="s">
        <v>38</v>
      </c>
      <c r="H178" s="20" t="s">
        <v>39</v>
      </c>
      <c r="I178" t="str">
        <f t="shared" si="5"/>
        <v>Apis mellifera</v>
      </c>
      <c r="J178" t="s">
        <v>70</v>
      </c>
      <c r="K178" t="s">
        <v>332</v>
      </c>
      <c r="L178" t="s">
        <v>197</v>
      </c>
      <c r="N178">
        <v>897</v>
      </c>
      <c r="O178" t="s">
        <v>155</v>
      </c>
      <c r="P178" t="s">
        <v>154</v>
      </c>
      <c r="Q178" t="s">
        <v>214</v>
      </c>
      <c r="R178">
        <v>1</v>
      </c>
      <c r="S178" t="s">
        <v>168</v>
      </c>
      <c r="T178" t="s">
        <v>78</v>
      </c>
      <c r="U178" t="s">
        <v>271</v>
      </c>
      <c r="AD178">
        <v>1</v>
      </c>
      <c r="AE178" s="8"/>
      <c r="AF178" s="18">
        <v>1</v>
      </c>
      <c r="AI178">
        <v>84</v>
      </c>
    </row>
    <row r="179" spans="1:35" x14ac:dyDescent="0.35">
      <c r="A179" t="s">
        <v>193</v>
      </c>
      <c r="B179" t="s">
        <v>69</v>
      </c>
      <c r="C179" t="s">
        <v>33</v>
      </c>
      <c r="D179" t="s">
        <v>34</v>
      </c>
      <c r="E179" t="s">
        <v>309</v>
      </c>
      <c r="F179" t="s">
        <v>310</v>
      </c>
      <c r="G179" s="20" t="s">
        <v>38</v>
      </c>
      <c r="H179" s="20" t="s">
        <v>39</v>
      </c>
      <c r="I179" t="str">
        <f t="shared" si="5"/>
        <v>Apis mellifera</v>
      </c>
      <c r="J179" t="s">
        <v>70</v>
      </c>
      <c r="K179" t="s">
        <v>332</v>
      </c>
      <c r="L179" t="s">
        <v>197</v>
      </c>
      <c r="N179">
        <v>898</v>
      </c>
      <c r="O179" t="s">
        <v>155</v>
      </c>
      <c r="P179" t="s">
        <v>154</v>
      </c>
      <c r="Q179" t="s">
        <v>214</v>
      </c>
      <c r="R179">
        <v>1</v>
      </c>
      <c r="S179" t="s">
        <v>168</v>
      </c>
      <c r="T179" t="s">
        <v>78</v>
      </c>
      <c r="U179" t="s">
        <v>271</v>
      </c>
      <c r="AD179">
        <v>1</v>
      </c>
      <c r="AE179" s="8"/>
      <c r="AF179" s="18">
        <v>1</v>
      </c>
      <c r="AI179">
        <v>89</v>
      </c>
    </row>
    <row r="180" spans="1:35" x14ac:dyDescent="0.35">
      <c r="A180" t="s">
        <v>193</v>
      </c>
      <c r="B180" t="s">
        <v>69</v>
      </c>
      <c r="C180" t="s">
        <v>33</v>
      </c>
      <c r="D180" t="s">
        <v>34</v>
      </c>
      <c r="E180" t="s">
        <v>309</v>
      </c>
      <c r="F180" t="s">
        <v>310</v>
      </c>
      <c r="G180" s="20" t="s">
        <v>38</v>
      </c>
      <c r="H180" s="20" t="s">
        <v>39</v>
      </c>
      <c r="I180" t="str">
        <f t="shared" si="5"/>
        <v>Apis mellifera</v>
      </c>
      <c r="J180" t="s">
        <v>70</v>
      </c>
      <c r="K180" t="s">
        <v>332</v>
      </c>
      <c r="L180" t="s">
        <v>197</v>
      </c>
      <c r="N180">
        <v>899</v>
      </c>
      <c r="O180" t="s">
        <v>155</v>
      </c>
      <c r="P180" t="s">
        <v>154</v>
      </c>
      <c r="Q180" t="s">
        <v>214</v>
      </c>
      <c r="R180">
        <v>1</v>
      </c>
      <c r="S180" t="s">
        <v>168</v>
      </c>
      <c r="T180" t="s">
        <v>78</v>
      </c>
      <c r="U180" t="s">
        <v>271</v>
      </c>
      <c r="AD180">
        <v>1</v>
      </c>
      <c r="AE180" s="8"/>
      <c r="AF180" s="18">
        <v>1</v>
      </c>
      <c r="AI180">
        <v>90</v>
      </c>
    </row>
    <row r="181" spans="1:35" x14ac:dyDescent="0.35">
      <c r="A181" t="s">
        <v>193</v>
      </c>
      <c r="B181" t="s">
        <v>69</v>
      </c>
      <c r="C181" t="s">
        <v>33</v>
      </c>
      <c r="D181" t="s">
        <v>34</v>
      </c>
      <c r="E181" t="s">
        <v>309</v>
      </c>
      <c r="F181" t="s">
        <v>310</v>
      </c>
      <c r="G181" s="20" t="s">
        <v>38</v>
      </c>
      <c r="H181" s="20" t="s">
        <v>39</v>
      </c>
      <c r="I181" t="str">
        <f t="shared" si="5"/>
        <v>Apis mellifera</v>
      </c>
      <c r="J181" t="s">
        <v>70</v>
      </c>
      <c r="K181" t="s">
        <v>332</v>
      </c>
      <c r="L181" t="s">
        <v>197</v>
      </c>
      <c r="N181">
        <v>900</v>
      </c>
      <c r="O181" t="s">
        <v>155</v>
      </c>
      <c r="P181" t="s">
        <v>154</v>
      </c>
      <c r="Q181" t="s">
        <v>214</v>
      </c>
      <c r="R181">
        <v>1</v>
      </c>
      <c r="S181" t="s">
        <v>168</v>
      </c>
      <c r="T181" t="s">
        <v>78</v>
      </c>
      <c r="U181" t="s">
        <v>271</v>
      </c>
      <c r="AD181">
        <v>1</v>
      </c>
      <c r="AE181" s="8"/>
      <c r="AF181" s="18">
        <v>1</v>
      </c>
      <c r="AI181">
        <v>101</v>
      </c>
    </row>
    <row r="182" spans="1:35" x14ac:dyDescent="0.35">
      <c r="A182" t="s">
        <v>193</v>
      </c>
      <c r="B182" t="s">
        <v>69</v>
      </c>
      <c r="C182" t="s">
        <v>33</v>
      </c>
      <c r="D182" t="s">
        <v>34</v>
      </c>
      <c r="E182" t="s">
        <v>309</v>
      </c>
      <c r="F182" t="s">
        <v>310</v>
      </c>
      <c r="G182" s="20" t="s">
        <v>38</v>
      </c>
      <c r="H182" s="20" t="s">
        <v>39</v>
      </c>
      <c r="I182" t="str">
        <f t="shared" si="5"/>
        <v>Apis mellifera</v>
      </c>
      <c r="J182" t="s">
        <v>70</v>
      </c>
      <c r="K182" t="s">
        <v>332</v>
      </c>
      <c r="L182" t="s">
        <v>197</v>
      </c>
      <c r="N182">
        <v>901</v>
      </c>
      <c r="O182" t="s">
        <v>155</v>
      </c>
      <c r="P182" t="s">
        <v>154</v>
      </c>
      <c r="Q182" t="s">
        <v>214</v>
      </c>
      <c r="R182">
        <v>1</v>
      </c>
      <c r="S182" t="s">
        <v>168</v>
      </c>
      <c r="T182" t="s">
        <v>78</v>
      </c>
      <c r="U182" t="s">
        <v>271</v>
      </c>
      <c r="AD182">
        <v>1</v>
      </c>
      <c r="AE182" s="8"/>
      <c r="AF182" s="18">
        <v>1</v>
      </c>
      <c r="AI182">
        <v>107</v>
      </c>
    </row>
    <row r="183" spans="1:35" x14ac:dyDescent="0.35">
      <c r="A183" t="s">
        <v>193</v>
      </c>
      <c r="B183" t="s">
        <v>69</v>
      </c>
      <c r="C183" t="s">
        <v>33</v>
      </c>
      <c r="D183" t="s">
        <v>34</v>
      </c>
      <c r="E183" t="s">
        <v>309</v>
      </c>
      <c r="F183" t="s">
        <v>310</v>
      </c>
      <c r="G183" s="20" t="s">
        <v>38</v>
      </c>
      <c r="H183" s="20" t="s">
        <v>39</v>
      </c>
      <c r="I183" t="str">
        <f t="shared" ref="I183:I193" si="6">G183&amp;" "&amp;H183</f>
        <v>Apis mellifera</v>
      </c>
      <c r="J183" t="s">
        <v>70</v>
      </c>
      <c r="K183" t="s">
        <v>332</v>
      </c>
      <c r="L183" t="s">
        <v>197</v>
      </c>
      <c r="N183">
        <v>902</v>
      </c>
      <c r="O183" t="s">
        <v>155</v>
      </c>
      <c r="P183" t="s">
        <v>154</v>
      </c>
      <c r="Q183" t="s">
        <v>214</v>
      </c>
      <c r="R183">
        <v>1</v>
      </c>
      <c r="S183" t="s">
        <v>168</v>
      </c>
      <c r="T183" t="s">
        <v>78</v>
      </c>
      <c r="U183" t="s">
        <v>271</v>
      </c>
      <c r="AD183">
        <v>1</v>
      </c>
      <c r="AI183">
        <v>117</v>
      </c>
    </row>
    <row r="184" spans="1:35" x14ac:dyDescent="0.35">
      <c r="A184" t="s">
        <v>193</v>
      </c>
      <c r="B184" t="s">
        <v>69</v>
      </c>
      <c r="C184" t="s">
        <v>33</v>
      </c>
      <c r="D184" t="s">
        <v>34</v>
      </c>
      <c r="E184" t="s">
        <v>309</v>
      </c>
      <c r="F184" t="s">
        <v>310</v>
      </c>
      <c r="G184" s="20" t="s">
        <v>38</v>
      </c>
      <c r="H184" s="20" t="s">
        <v>39</v>
      </c>
      <c r="I184" t="str">
        <f t="shared" si="6"/>
        <v>Apis mellifera</v>
      </c>
      <c r="J184" t="s">
        <v>70</v>
      </c>
      <c r="K184" t="s">
        <v>332</v>
      </c>
      <c r="L184" t="s">
        <v>197</v>
      </c>
      <c r="N184">
        <v>903</v>
      </c>
      <c r="O184" t="s">
        <v>155</v>
      </c>
      <c r="P184" t="s">
        <v>223</v>
      </c>
      <c r="Q184" t="s">
        <v>215</v>
      </c>
      <c r="R184">
        <v>1</v>
      </c>
      <c r="S184" t="s">
        <v>168</v>
      </c>
      <c r="T184" t="s">
        <v>78</v>
      </c>
      <c r="U184" t="s">
        <v>271</v>
      </c>
      <c r="AD184">
        <v>1</v>
      </c>
      <c r="AI184">
        <v>120</v>
      </c>
    </row>
    <row r="185" spans="1:35" x14ac:dyDescent="0.35">
      <c r="A185" t="s">
        <v>193</v>
      </c>
      <c r="B185" t="s">
        <v>69</v>
      </c>
      <c r="C185" t="s">
        <v>33</v>
      </c>
      <c r="D185" t="s">
        <v>34</v>
      </c>
      <c r="E185" t="s">
        <v>309</v>
      </c>
      <c r="F185" t="s">
        <v>310</v>
      </c>
      <c r="G185" s="20" t="s">
        <v>38</v>
      </c>
      <c r="H185" s="20" t="s">
        <v>39</v>
      </c>
      <c r="I185" t="str">
        <f t="shared" si="6"/>
        <v>Apis mellifera</v>
      </c>
      <c r="J185" t="s">
        <v>70</v>
      </c>
      <c r="K185" t="s">
        <v>332</v>
      </c>
      <c r="L185" t="s">
        <v>197</v>
      </c>
      <c r="N185">
        <v>904</v>
      </c>
      <c r="O185" t="s">
        <v>155</v>
      </c>
      <c r="P185" t="s">
        <v>223</v>
      </c>
      <c r="Q185" t="s">
        <v>215</v>
      </c>
      <c r="R185">
        <v>1</v>
      </c>
      <c r="S185" t="s">
        <v>168</v>
      </c>
      <c r="T185" t="s">
        <v>78</v>
      </c>
      <c r="U185" t="s">
        <v>271</v>
      </c>
      <c r="AD185">
        <v>1</v>
      </c>
      <c r="AI185">
        <v>121</v>
      </c>
    </row>
    <row r="186" spans="1:35" x14ac:dyDescent="0.35">
      <c r="A186" t="s">
        <v>193</v>
      </c>
      <c r="B186" t="s">
        <v>69</v>
      </c>
      <c r="C186" t="s">
        <v>33</v>
      </c>
      <c r="D186" t="s">
        <v>34</v>
      </c>
      <c r="E186" t="s">
        <v>309</v>
      </c>
      <c r="F186" t="s">
        <v>310</v>
      </c>
      <c r="G186" s="20" t="s">
        <v>38</v>
      </c>
      <c r="H186" s="20" t="s">
        <v>39</v>
      </c>
      <c r="I186" t="str">
        <f t="shared" si="6"/>
        <v>Apis mellifera</v>
      </c>
      <c r="J186" t="s">
        <v>70</v>
      </c>
      <c r="K186" t="s">
        <v>332</v>
      </c>
      <c r="L186" t="s">
        <v>197</v>
      </c>
      <c r="N186">
        <v>905</v>
      </c>
      <c r="O186" t="s">
        <v>155</v>
      </c>
      <c r="P186" t="s">
        <v>223</v>
      </c>
      <c r="Q186" t="s">
        <v>215</v>
      </c>
      <c r="R186">
        <v>1</v>
      </c>
      <c r="S186" t="s">
        <v>168</v>
      </c>
      <c r="T186" t="s">
        <v>78</v>
      </c>
      <c r="U186" t="s">
        <v>271</v>
      </c>
      <c r="AD186">
        <v>1</v>
      </c>
      <c r="AI186">
        <v>127</v>
      </c>
    </row>
    <row r="187" spans="1:35" x14ac:dyDescent="0.35">
      <c r="A187" t="s">
        <v>193</v>
      </c>
      <c r="B187" t="s">
        <v>69</v>
      </c>
      <c r="C187" t="s">
        <v>33</v>
      </c>
      <c r="D187" t="s">
        <v>34</v>
      </c>
      <c r="E187" t="s">
        <v>309</v>
      </c>
      <c r="F187" t="s">
        <v>310</v>
      </c>
      <c r="G187" s="20" t="s">
        <v>38</v>
      </c>
      <c r="H187" s="20" t="s">
        <v>39</v>
      </c>
      <c r="I187" t="str">
        <f t="shared" si="6"/>
        <v>Apis mellifera</v>
      </c>
      <c r="J187" t="s">
        <v>70</v>
      </c>
      <c r="K187" t="s">
        <v>332</v>
      </c>
      <c r="L187" t="s">
        <v>197</v>
      </c>
      <c r="N187">
        <v>906</v>
      </c>
      <c r="O187" t="s">
        <v>155</v>
      </c>
      <c r="P187" t="s">
        <v>223</v>
      </c>
      <c r="Q187" t="s">
        <v>215</v>
      </c>
      <c r="R187">
        <v>1</v>
      </c>
      <c r="S187" t="s">
        <v>168</v>
      </c>
      <c r="T187" t="s">
        <v>78</v>
      </c>
      <c r="U187" t="s">
        <v>271</v>
      </c>
      <c r="AD187">
        <v>1</v>
      </c>
      <c r="AI187">
        <v>128</v>
      </c>
    </row>
    <row r="188" spans="1:35" x14ac:dyDescent="0.35">
      <c r="A188" t="s">
        <v>193</v>
      </c>
      <c r="B188" t="s">
        <v>69</v>
      </c>
      <c r="C188" t="s">
        <v>33</v>
      </c>
      <c r="D188" t="s">
        <v>34</v>
      </c>
      <c r="E188" t="s">
        <v>309</v>
      </c>
      <c r="F188" t="s">
        <v>310</v>
      </c>
      <c r="G188" s="20" t="s">
        <v>38</v>
      </c>
      <c r="H188" s="20" t="s">
        <v>39</v>
      </c>
      <c r="I188" t="str">
        <f t="shared" si="6"/>
        <v>Apis mellifera</v>
      </c>
      <c r="J188" t="s">
        <v>70</v>
      </c>
      <c r="K188" t="s">
        <v>332</v>
      </c>
      <c r="L188" t="s">
        <v>197</v>
      </c>
      <c r="N188">
        <v>907</v>
      </c>
      <c r="O188" t="s">
        <v>155</v>
      </c>
      <c r="P188" t="s">
        <v>154</v>
      </c>
      <c r="Q188" t="s">
        <v>214</v>
      </c>
      <c r="S188" t="s">
        <v>165</v>
      </c>
      <c r="T188" t="s">
        <v>72</v>
      </c>
      <c r="U188" t="s">
        <v>271</v>
      </c>
      <c r="AD188">
        <v>1</v>
      </c>
      <c r="AE188" s="8"/>
      <c r="AF188" s="18">
        <v>1</v>
      </c>
      <c r="AI188">
        <v>106</v>
      </c>
    </row>
    <row r="189" spans="1:35" x14ac:dyDescent="0.35">
      <c r="A189" t="s">
        <v>193</v>
      </c>
      <c r="B189" t="s">
        <v>69</v>
      </c>
      <c r="C189" t="s">
        <v>33</v>
      </c>
      <c r="D189" t="s">
        <v>34</v>
      </c>
      <c r="E189" t="s">
        <v>309</v>
      </c>
      <c r="F189" t="s">
        <v>310</v>
      </c>
      <c r="G189" s="20" t="s">
        <v>38</v>
      </c>
      <c r="H189" s="20" t="s">
        <v>39</v>
      </c>
      <c r="I189" t="str">
        <f t="shared" si="6"/>
        <v>Apis mellifera</v>
      </c>
      <c r="J189" t="s">
        <v>70</v>
      </c>
      <c r="K189" t="s">
        <v>332</v>
      </c>
      <c r="L189" s="3" t="s">
        <v>197</v>
      </c>
      <c r="N189">
        <v>939</v>
      </c>
      <c r="O189" t="s">
        <v>155</v>
      </c>
      <c r="P189" t="s">
        <v>154</v>
      </c>
      <c r="Q189" t="s">
        <v>209</v>
      </c>
      <c r="R189" s="3">
        <v>0</v>
      </c>
      <c r="S189" t="s">
        <v>201</v>
      </c>
      <c r="U189" t="s">
        <v>225</v>
      </c>
      <c r="AD189">
        <v>1</v>
      </c>
      <c r="AE189" s="8"/>
      <c r="AF189" s="3">
        <v>1</v>
      </c>
      <c r="AI189">
        <v>31</v>
      </c>
    </row>
    <row r="190" spans="1:35" x14ac:dyDescent="0.35">
      <c r="A190" t="s">
        <v>193</v>
      </c>
      <c r="B190" t="s">
        <v>69</v>
      </c>
      <c r="C190" t="s">
        <v>33</v>
      </c>
      <c r="D190" t="s">
        <v>34</v>
      </c>
      <c r="E190" t="s">
        <v>309</v>
      </c>
      <c r="F190" t="s">
        <v>310</v>
      </c>
      <c r="G190" s="20" t="s">
        <v>38</v>
      </c>
      <c r="H190" s="20" t="s">
        <v>39</v>
      </c>
      <c r="I190" t="str">
        <f t="shared" si="6"/>
        <v>Apis mellifera</v>
      </c>
      <c r="J190" t="s">
        <v>70</v>
      </c>
      <c r="K190" t="s">
        <v>332</v>
      </c>
      <c r="L190" s="3" t="s">
        <v>197</v>
      </c>
      <c r="N190">
        <v>940</v>
      </c>
      <c r="O190" t="s">
        <v>155</v>
      </c>
      <c r="P190" t="s">
        <v>154</v>
      </c>
      <c r="Q190" t="s">
        <v>209</v>
      </c>
      <c r="R190" s="9">
        <v>1</v>
      </c>
      <c r="S190" t="s">
        <v>201</v>
      </c>
      <c r="U190" t="s">
        <v>225</v>
      </c>
      <c r="AD190">
        <v>1</v>
      </c>
      <c r="AE190" s="8"/>
      <c r="AF190" s="9">
        <v>1</v>
      </c>
      <c r="AI190">
        <v>33</v>
      </c>
    </row>
    <row r="191" spans="1:35" x14ac:dyDescent="0.35">
      <c r="A191" t="s">
        <v>193</v>
      </c>
      <c r="B191" t="s">
        <v>69</v>
      </c>
      <c r="C191" t="s">
        <v>33</v>
      </c>
      <c r="D191" t="s">
        <v>34</v>
      </c>
      <c r="E191" t="s">
        <v>309</v>
      </c>
      <c r="F191" t="s">
        <v>310</v>
      </c>
      <c r="G191" s="20" t="s">
        <v>38</v>
      </c>
      <c r="H191" s="20" t="s">
        <v>39</v>
      </c>
      <c r="I191" t="str">
        <f t="shared" si="6"/>
        <v>Apis mellifera</v>
      </c>
      <c r="J191" t="s">
        <v>70</v>
      </c>
      <c r="K191" t="s">
        <v>332</v>
      </c>
      <c r="L191" s="3" t="s">
        <v>197</v>
      </c>
      <c r="N191">
        <v>941</v>
      </c>
      <c r="O191" t="s">
        <v>155</v>
      </c>
      <c r="P191" t="s">
        <v>154</v>
      </c>
      <c r="Q191" t="s">
        <v>209</v>
      </c>
      <c r="R191" s="9">
        <v>1</v>
      </c>
      <c r="S191" t="s">
        <v>201</v>
      </c>
      <c r="U191" t="s">
        <v>225</v>
      </c>
      <c r="AD191">
        <v>1</v>
      </c>
      <c r="AE191" s="8"/>
      <c r="AF191" s="9">
        <v>1</v>
      </c>
      <c r="AI191">
        <v>34</v>
      </c>
    </row>
    <row r="192" spans="1:35" x14ac:dyDescent="0.35">
      <c r="A192" t="s">
        <v>193</v>
      </c>
      <c r="B192" t="s">
        <v>69</v>
      </c>
      <c r="C192" t="s">
        <v>33</v>
      </c>
      <c r="D192" t="s">
        <v>34</v>
      </c>
      <c r="E192" t="s">
        <v>309</v>
      </c>
      <c r="F192" t="s">
        <v>310</v>
      </c>
      <c r="G192" s="20" t="s">
        <v>38</v>
      </c>
      <c r="H192" s="20" t="s">
        <v>39</v>
      </c>
      <c r="I192" t="str">
        <f t="shared" si="6"/>
        <v>Apis mellifera</v>
      </c>
      <c r="J192" t="s">
        <v>70</v>
      </c>
      <c r="K192" t="s">
        <v>332</v>
      </c>
      <c r="L192" t="s">
        <v>197</v>
      </c>
      <c r="N192">
        <v>942</v>
      </c>
      <c r="O192" t="s">
        <v>155</v>
      </c>
      <c r="P192" t="s">
        <v>223</v>
      </c>
      <c r="Q192" s="9" t="s">
        <v>213</v>
      </c>
      <c r="R192">
        <v>1</v>
      </c>
      <c r="S192" t="s">
        <v>201</v>
      </c>
      <c r="U192" t="s">
        <v>225</v>
      </c>
      <c r="AD192">
        <v>1</v>
      </c>
      <c r="AE192" s="8"/>
      <c r="AF192" s="18">
        <v>3</v>
      </c>
      <c r="AI192">
        <v>70</v>
      </c>
    </row>
    <row r="193" spans="1:35" x14ac:dyDescent="0.35">
      <c r="A193" t="s">
        <v>193</v>
      </c>
      <c r="B193" t="s">
        <v>69</v>
      </c>
      <c r="C193" t="s">
        <v>33</v>
      </c>
      <c r="D193" s="8" t="s">
        <v>65</v>
      </c>
      <c r="F193" t="s">
        <v>194</v>
      </c>
      <c r="G193" t="s">
        <v>195</v>
      </c>
      <c r="H193" t="s">
        <v>7</v>
      </c>
      <c r="I193" t="str">
        <f t="shared" si="6"/>
        <v>Augochlora species</v>
      </c>
      <c r="J193" t="s">
        <v>65</v>
      </c>
      <c r="K193" t="s">
        <v>333</v>
      </c>
      <c r="L193" s="8" t="s">
        <v>196</v>
      </c>
      <c r="N193">
        <v>355</v>
      </c>
      <c r="O193" t="s">
        <v>155</v>
      </c>
      <c r="P193" t="s">
        <v>222</v>
      </c>
      <c r="Q193" t="s">
        <v>210</v>
      </c>
      <c r="R193" s="9"/>
      <c r="S193" s="3" t="s">
        <v>170</v>
      </c>
      <c r="T193" t="s">
        <v>229</v>
      </c>
      <c r="U193" t="s">
        <v>229</v>
      </c>
      <c r="V193">
        <v>0</v>
      </c>
      <c r="AD193">
        <v>1</v>
      </c>
      <c r="AE193" s="8"/>
      <c r="AF193" s="9">
        <v>1</v>
      </c>
      <c r="AI193">
        <v>43</v>
      </c>
    </row>
    <row r="194" spans="1:35" x14ac:dyDescent="0.35">
      <c r="A194" t="s">
        <v>193</v>
      </c>
      <c r="B194" t="s">
        <v>69</v>
      </c>
      <c r="C194" t="s">
        <v>33</v>
      </c>
      <c r="D194" t="s">
        <v>111</v>
      </c>
      <c r="I194" t="str">
        <f t="shared" ref="I194:I207" si="7">D194</f>
        <v>Formicidae</v>
      </c>
      <c r="J194" t="s">
        <v>326</v>
      </c>
      <c r="K194" t="s">
        <v>330</v>
      </c>
      <c r="L194" s="12" t="s">
        <v>112</v>
      </c>
      <c r="N194">
        <v>924</v>
      </c>
      <c r="O194" t="s">
        <v>155</v>
      </c>
      <c r="P194" t="s">
        <v>222</v>
      </c>
      <c r="Q194" t="s">
        <v>207</v>
      </c>
      <c r="R194" s="9">
        <v>0</v>
      </c>
      <c r="S194" s="3" t="s">
        <v>199</v>
      </c>
      <c r="U194" t="s">
        <v>225</v>
      </c>
      <c r="AD194">
        <v>1</v>
      </c>
      <c r="AE194" s="8"/>
      <c r="AF194" s="17">
        <v>2</v>
      </c>
      <c r="AI194">
        <v>10</v>
      </c>
    </row>
    <row r="195" spans="1:35" x14ac:dyDescent="0.35">
      <c r="A195" t="s">
        <v>193</v>
      </c>
      <c r="B195" t="s">
        <v>69</v>
      </c>
      <c r="C195" t="s">
        <v>33</v>
      </c>
      <c r="D195" t="s">
        <v>111</v>
      </c>
      <c r="I195" t="str">
        <f t="shared" si="7"/>
        <v>Formicidae</v>
      </c>
      <c r="J195" t="s">
        <v>326</v>
      </c>
      <c r="K195" t="s">
        <v>330</v>
      </c>
      <c r="L195" s="12" t="s">
        <v>112</v>
      </c>
      <c r="N195">
        <v>925</v>
      </c>
      <c r="O195" t="s">
        <v>155</v>
      </c>
      <c r="P195" t="s">
        <v>222</v>
      </c>
      <c r="Q195" t="s">
        <v>207</v>
      </c>
      <c r="R195" s="9">
        <v>0</v>
      </c>
      <c r="S195" s="3" t="s">
        <v>199</v>
      </c>
      <c r="U195" t="s">
        <v>225</v>
      </c>
      <c r="AD195">
        <v>1</v>
      </c>
      <c r="AE195" s="8"/>
      <c r="AF195" s="18">
        <v>2</v>
      </c>
      <c r="AI195">
        <v>11</v>
      </c>
    </row>
    <row r="196" spans="1:35" x14ac:dyDescent="0.35">
      <c r="A196" t="s">
        <v>193</v>
      </c>
      <c r="B196" t="s">
        <v>69</v>
      </c>
      <c r="C196" t="s">
        <v>33</v>
      </c>
      <c r="D196" t="s">
        <v>111</v>
      </c>
      <c r="I196" t="str">
        <f t="shared" si="7"/>
        <v>Formicidae</v>
      </c>
      <c r="J196" t="s">
        <v>326</v>
      </c>
      <c r="K196" t="s">
        <v>330</v>
      </c>
      <c r="L196" s="12" t="s">
        <v>112</v>
      </c>
      <c r="N196">
        <v>926</v>
      </c>
      <c r="O196" t="s">
        <v>155</v>
      </c>
      <c r="P196" t="s">
        <v>222</v>
      </c>
      <c r="Q196" t="s">
        <v>207</v>
      </c>
      <c r="R196" s="9">
        <v>0</v>
      </c>
      <c r="S196" s="3" t="s">
        <v>199</v>
      </c>
      <c r="U196" t="s">
        <v>225</v>
      </c>
      <c r="AD196">
        <v>1</v>
      </c>
      <c r="AE196" s="8"/>
      <c r="AF196" s="17">
        <v>2</v>
      </c>
      <c r="AI196">
        <v>12</v>
      </c>
    </row>
    <row r="197" spans="1:35" x14ac:dyDescent="0.35">
      <c r="A197" t="s">
        <v>193</v>
      </c>
      <c r="B197" t="s">
        <v>69</v>
      </c>
      <c r="C197" t="s">
        <v>33</v>
      </c>
      <c r="D197" t="s">
        <v>111</v>
      </c>
      <c r="I197" t="str">
        <f t="shared" si="7"/>
        <v>Formicidae</v>
      </c>
      <c r="J197" t="s">
        <v>326</v>
      </c>
      <c r="K197" t="s">
        <v>330</v>
      </c>
      <c r="L197" s="12" t="s">
        <v>112</v>
      </c>
      <c r="N197">
        <v>927</v>
      </c>
      <c r="O197" t="s">
        <v>155</v>
      </c>
      <c r="P197" t="s">
        <v>222</v>
      </c>
      <c r="Q197" t="s">
        <v>207</v>
      </c>
      <c r="R197" s="9">
        <v>0</v>
      </c>
      <c r="S197" s="3" t="s">
        <v>199</v>
      </c>
      <c r="U197" t="s">
        <v>225</v>
      </c>
      <c r="AD197">
        <v>1</v>
      </c>
      <c r="AE197" s="8"/>
      <c r="AF197" s="17">
        <v>2</v>
      </c>
      <c r="AI197">
        <v>13</v>
      </c>
    </row>
    <row r="198" spans="1:35" x14ac:dyDescent="0.35">
      <c r="A198" t="s">
        <v>193</v>
      </c>
      <c r="B198" t="s">
        <v>69</v>
      </c>
      <c r="C198" t="s">
        <v>33</v>
      </c>
      <c r="D198" t="s">
        <v>111</v>
      </c>
      <c r="I198" t="str">
        <f t="shared" si="7"/>
        <v>Formicidae</v>
      </c>
      <c r="J198" t="s">
        <v>326</v>
      </c>
      <c r="K198" t="s">
        <v>330</v>
      </c>
      <c r="L198" s="12" t="s">
        <v>112</v>
      </c>
      <c r="N198">
        <v>928</v>
      </c>
      <c r="O198" t="s">
        <v>155</v>
      </c>
      <c r="P198" t="s">
        <v>222</v>
      </c>
      <c r="Q198" t="s">
        <v>207</v>
      </c>
      <c r="R198" s="9">
        <v>0</v>
      </c>
      <c r="S198" s="3" t="s">
        <v>199</v>
      </c>
      <c r="U198" t="s">
        <v>225</v>
      </c>
      <c r="AD198">
        <v>1</v>
      </c>
      <c r="AE198" s="8"/>
      <c r="AF198" s="17">
        <v>2</v>
      </c>
      <c r="AI198">
        <v>14</v>
      </c>
    </row>
    <row r="199" spans="1:35" x14ac:dyDescent="0.35">
      <c r="A199" t="s">
        <v>193</v>
      </c>
      <c r="B199" t="s">
        <v>69</v>
      </c>
      <c r="C199" t="s">
        <v>33</v>
      </c>
      <c r="D199" t="s">
        <v>111</v>
      </c>
      <c r="I199" t="str">
        <f t="shared" si="7"/>
        <v>Formicidae</v>
      </c>
      <c r="J199" t="s">
        <v>326</v>
      </c>
      <c r="K199" t="s">
        <v>330</v>
      </c>
      <c r="L199" s="12" t="s">
        <v>112</v>
      </c>
      <c r="N199">
        <v>929</v>
      </c>
      <c r="O199" t="s">
        <v>155</v>
      </c>
      <c r="P199" t="s">
        <v>222</v>
      </c>
      <c r="Q199" t="s">
        <v>207</v>
      </c>
      <c r="R199" s="9">
        <v>0</v>
      </c>
      <c r="S199" s="3" t="s">
        <v>199</v>
      </c>
      <c r="U199" t="s">
        <v>225</v>
      </c>
      <c r="AD199">
        <v>1</v>
      </c>
      <c r="AE199" s="8"/>
      <c r="AF199" s="17">
        <v>2</v>
      </c>
      <c r="AI199">
        <v>15</v>
      </c>
    </row>
    <row r="200" spans="1:35" x14ac:dyDescent="0.35">
      <c r="A200" t="s">
        <v>193</v>
      </c>
      <c r="B200" t="s">
        <v>69</v>
      </c>
      <c r="C200" t="s">
        <v>33</v>
      </c>
      <c r="D200" t="s">
        <v>111</v>
      </c>
      <c r="I200" t="str">
        <f t="shared" si="7"/>
        <v>Formicidae</v>
      </c>
      <c r="J200" t="s">
        <v>326</v>
      </c>
      <c r="K200" t="s">
        <v>330</v>
      </c>
      <c r="L200" s="12" t="s">
        <v>112</v>
      </c>
      <c r="N200">
        <v>930</v>
      </c>
      <c r="O200" t="s">
        <v>155</v>
      </c>
      <c r="P200" t="s">
        <v>222</v>
      </c>
      <c r="Q200" t="s">
        <v>207</v>
      </c>
      <c r="R200" s="9">
        <v>0</v>
      </c>
      <c r="S200" s="3" t="s">
        <v>199</v>
      </c>
      <c r="U200" t="s">
        <v>225</v>
      </c>
      <c r="AD200">
        <v>1</v>
      </c>
      <c r="AE200" s="8"/>
      <c r="AF200" s="17">
        <v>2</v>
      </c>
      <c r="AI200">
        <v>16</v>
      </c>
    </row>
    <row r="201" spans="1:35" x14ac:dyDescent="0.35">
      <c r="A201" t="s">
        <v>193</v>
      </c>
      <c r="B201" t="s">
        <v>69</v>
      </c>
      <c r="C201" s="3" t="s">
        <v>33</v>
      </c>
      <c r="D201" s="10" t="s">
        <v>111</v>
      </c>
      <c r="I201" t="str">
        <f t="shared" si="7"/>
        <v>Formicidae</v>
      </c>
      <c r="J201" t="s">
        <v>326</v>
      </c>
      <c r="K201" t="s">
        <v>330</v>
      </c>
      <c r="L201" s="9" t="s">
        <v>112</v>
      </c>
      <c r="N201">
        <v>931</v>
      </c>
      <c r="O201" t="s">
        <v>155</v>
      </c>
      <c r="P201" t="s">
        <v>154</v>
      </c>
      <c r="Q201" t="s">
        <v>209</v>
      </c>
      <c r="R201" s="9">
        <v>0</v>
      </c>
      <c r="S201" s="3" t="s">
        <v>199</v>
      </c>
      <c r="U201" t="s">
        <v>225</v>
      </c>
      <c r="AD201">
        <v>1</v>
      </c>
      <c r="AE201" s="8"/>
      <c r="AF201" s="9">
        <v>1</v>
      </c>
      <c r="AI201">
        <v>35</v>
      </c>
    </row>
    <row r="202" spans="1:35" x14ac:dyDescent="0.35">
      <c r="A202" t="s">
        <v>193</v>
      </c>
      <c r="B202" t="s">
        <v>69</v>
      </c>
      <c r="C202" s="3" t="s">
        <v>33</v>
      </c>
      <c r="D202" s="10" t="s">
        <v>111</v>
      </c>
      <c r="I202" t="str">
        <f t="shared" si="7"/>
        <v>Formicidae</v>
      </c>
      <c r="J202" t="s">
        <v>326</v>
      </c>
      <c r="K202" t="s">
        <v>330</v>
      </c>
      <c r="L202" s="9" t="s">
        <v>112</v>
      </c>
      <c r="N202">
        <v>932</v>
      </c>
      <c r="O202" t="s">
        <v>155</v>
      </c>
      <c r="P202" t="s">
        <v>222</v>
      </c>
      <c r="Q202" t="s">
        <v>210</v>
      </c>
      <c r="R202" s="9">
        <v>0</v>
      </c>
      <c r="S202" s="3" t="s">
        <v>199</v>
      </c>
      <c r="U202" t="s">
        <v>225</v>
      </c>
      <c r="AD202">
        <v>1</v>
      </c>
      <c r="AE202" s="8"/>
      <c r="AF202" s="9">
        <v>1</v>
      </c>
      <c r="AI202">
        <v>38</v>
      </c>
    </row>
    <row r="203" spans="1:35" x14ac:dyDescent="0.35">
      <c r="A203" t="s">
        <v>193</v>
      </c>
      <c r="B203" t="s">
        <v>69</v>
      </c>
      <c r="C203" s="3" t="s">
        <v>33</v>
      </c>
      <c r="D203" s="10" t="s">
        <v>111</v>
      </c>
      <c r="I203" t="str">
        <f t="shared" si="7"/>
        <v>Formicidae</v>
      </c>
      <c r="J203" t="s">
        <v>326</v>
      </c>
      <c r="K203" t="s">
        <v>330</v>
      </c>
      <c r="L203" s="9" t="s">
        <v>112</v>
      </c>
      <c r="N203">
        <v>934</v>
      </c>
      <c r="O203" t="s">
        <v>155</v>
      </c>
      <c r="P203" t="s">
        <v>222</v>
      </c>
      <c r="Q203" t="s">
        <v>210</v>
      </c>
      <c r="R203" s="9">
        <v>0</v>
      </c>
      <c r="S203" s="3" t="s">
        <v>199</v>
      </c>
      <c r="U203" t="s">
        <v>225</v>
      </c>
      <c r="AD203">
        <v>1</v>
      </c>
      <c r="AE203" s="8"/>
      <c r="AF203" s="9">
        <v>1</v>
      </c>
      <c r="AI203">
        <v>40</v>
      </c>
    </row>
    <row r="204" spans="1:35" x14ac:dyDescent="0.35">
      <c r="A204" t="s">
        <v>193</v>
      </c>
      <c r="B204" t="s">
        <v>69</v>
      </c>
      <c r="C204" s="3" t="s">
        <v>33</v>
      </c>
      <c r="D204" s="10" t="s">
        <v>111</v>
      </c>
      <c r="I204" t="str">
        <f t="shared" si="7"/>
        <v>Formicidae</v>
      </c>
      <c r="J204" t="s">
        <v>326</v>
      </c>
      <c r="K204" t="s">
        <v>330</v>
      </c>
      <c r="L204" s="9" t="s">
        <v>112</v>
      </c>
      <c r="N204">
        <v>935</v>
      </c>
      <c r="O204" t="s">
        <v>155</v>
      </c>
      <c r="P204" t="s">
        <v>222</v>
      </c>
      <c r="Q204" t="s">
        <v>210</v>
      </c>
      <c r="R204" s="9">
        <v>0</v>
      </c>
      <c r="S204" s="3" t="s">
        <v>199</v>
      </c>
      <c r="U204" t="s">
        <v>225</v>
      </c>
      <c r="AD204">
        <v>1</v>
      </c>
      <c r="AE204" s="8"/>
      <c r="AF204" s="9">
        <v>1</v>
      </c>
      <c r="AI204">
        <v>41</v>
      </c>
    </row>
    <row r="205" spans="1:35" x14ac:dyDescent="0.35">
      <c r="A205" t="s">
        <v>193</v>
      </c>
      <c r="B205" t="s">
        <v>69</v>
      </c>
      <c r="C205" s="3" t="s">
        <v>33</v>
      </c>
      <c r="D205" s="10" t="s">
        <v>111</v>
      </c>
      <c r="I205" t="str">
        <f t="shared" si="7"/>
        <v>Formicidae</v>
      </c>
      <c r="J205" t="s">
        <v>326</v>
      </c>
      <c r="K205" t="s">
        <v>330</v>
      </c>
      <c r="L205" s="9" t="s">
        <v>112</v>
      </c>
      <c r="N205">
        <v>936</v>
      </c>
      <c r="O205" t="s">
        <v>155</v>
      </c>
      <c r="P205" t="s">
        <v>222</v>
      </c>
      <c r="Q205" t="s">
        <v>210</v>
      </c>
      <c r="R205" s="9">
        <v>0</v>
      </c>
      <c r="S205" s="3" t="s">
        <v>199</v>
      </c>
      <c r="U205" t="s">
        <v>225</v>
      </c>
      <c r="AD205">
        <v>1</v>
      </c>
      <c r="AE205" s="8"/>
      <c r="AF205" s="9">
        <v>1</v>
      </c>
      <c r="AI205">
        <v>42</v>
      </c>
    </row>
    <row r="206" spans="1:35" x14ac:dyDescent="0.35">
      <c r="A206" t="s">
        <v>193</v>
      </c>
      <c r="B206" t="s">
        <v>69</v>
      </c>
      <c r="C206" s="3" t="s">
        <v>33</v>
      </c>
      <c r="D206" s="10" t="s">
        <v>111</v>
      </c>
      <c r="I206" t="str">
        <f t="shared" si="7"/>
        <v>Formicidae</v>
      </c>
      <c r="J206" t="s">
        <v>326</v>
      </c>
      <c r="K206" t="s">
        <v>330</v>
      </c>
      <c r="L206" s="9" t="s">
        <v>112</v>
      </c>
      <c r="N206">
        <v>937</v>
      </c>
      <c r="O206" t="s">
        <v>155</v>
      </c>
      <c r="P206" t="s">
        <v>222</v>
      </c>
      <c r="Q206" t="s">
        <v>210</v>
      </c>
      <c r="R206" s="9"/>
      <c r="S206" s="3" t="s">
        <v>199</v>
      </c>
      <c r="U206" t="s">
        <v>225</v>
      </c>
      <c r="AD206">
        <v>1</v>
      </c>
      <c r="AE206" s="8"/>
      <c r="AF206" s="9">
        <v>1</v>
      </c>
      <c r="AI206">
        <v>44</v>
      </c>
    </row>
    <row r="207" spans="1:35" x14ac:dyDescent="0.35">
      <c r="A207" t="s">
        <v>193</v>
      </c>
      <c r="B207" t="s">
        <v>69</v>
      </c>
      <c r="C207" s="3" t="s">
        <v>33</v>
      </c>
      <c r="D207" s="10" t="s">
        <v>111</v>
      </c>
      <c r="I207" s="11" t="str">
        <f t="shared" si="7"/>
        <v>Formicidae</v>
      </c>
      <c r="J207" t="s">
        <v>326</v>
      </c>
      <c r="K207" t="s">
        <v>330</v>
      </c>
      <c r="L207" s="9" t="s">
        <v>112</v>
      </c>
      <c r="N207">
        <v>938</v>
      </c>
      <c r="O207" t="s">
        <v>155</v>
      </c>
      <c r="P207" t="s">
        <v>222</v>
      </c>
      <c r="Q207" t="s">
        <v>211</v>
      </c>
      <c r="R207" s="9"/>
      <c r="S207" s="3" t="s">
        <v>199</v>
      </c>
      <c r="U207" t="s">
        <v>225</v>
      </c>
      <c r="AD207">
        <v>1</v>
      </c>
      <c r="AE207" s="8"/>
      <c r="AF207" s="9">
        <v>1</v>
      </c>
      <c r="AI207">
        <v>50</v>
      </c>
    </row>
    <row r="208" spans="1:35" x14ac:dyDescent="0.35">
      <c r="A208" t="s">
        <v>193</v>
      </c>
      <c r="B208" t="s">
        <v>69</v>
      </c>
      <c r="C208" t="s">
        <v>33</v>
      </c>
      <c r="D208" s="8" t="s">
        <v>65</v>
      </c>
      <c r="H208" s="22" t="s">
        <v>322</v>
      </c>
      <c r="I208" t="s">
        <v>258</v>
      </c>
      <c r="J208" t="s">
        <v>65</v>
      </c>
      <c r="K208" t="s">
        <v>333</v>
      </c>
      <c r="L208" s="8" t="s">
        <v>196</v>
      </c>
      <c r="N208">
        <v>888</v>
      </c>
      <c r="O208" t="s">
        <v>155</v>
      </c>
      <c r="P208" t="s">
        <v>222</v>
      </c>
      <c r="Q208" t="s">
        <v>207</v>
      </c>
      <c r="R208">
        <v>1</v>
      </c>
      <c r="S208" t="s">
        <v>168</v>
      </c>
      <c r="T208" t="s">
        <v>78</v>
      </c>
      <c r="U208" t="s">
        <v>271</v>
      </c>
      <c r="AD208">
        <v>1</v>
      </c>
      <c r="AE208" s="8"/>
      <c r="AF208" s="17">
        <v>2</v>
      </c>
      <c r="AI208">
        <v>1</v>
      </c>
    </row>
    <row r="209" spans="1:35" x14ac:dyDescent="0.35">
      <c r="A209" t="s">
        <v>193</v>
      </c>
      <c r="B209" t="s">
        <v>69</v>
      </c>
      <c r="C209" t="s">
        <v>33</v>
      </c>
      <c r="D209" s="8" t="s">
        <v>65</v>
      </c>
      <c r="H209" s="22" t="s">
        <v>322</v>
      </c>
      <c r="I209" t="s">
        <v>258</v>
      </c>
      <c r="J209" t="s">
        <v>65</v>
      </c>
      <c r="K209" t="s">
        <v>333</v>
      </c>
      <c r="L209" s="8" t="s">
        <v>196</v>
      </c>
      <c r="N209">
        <v>889</v>
      </c>
      <c r="O209" t="s">
        <v>155</v>
      </c>
      <c r="P209" t="s">
        <v>222</v>
      </c>
      <c r="Q209" t="s">
        <v>207</v>
      </c>
      <c r="R209" s="9">
        <v>1</v>
      </c>
      <c r="S209" t="s">
        <v>168</v>
      </c>
      <c r="T209" t="s">
        <v>78</v>
      </c>
      <c r="U209" t="s">
        <v>271</v>
      </c>
      <c r="AD209">
        <v>1</v>
      </c>
      <c r="AE209" s="8"/>
      <c r="AF209" s="17">
        <v>2</v>
      </c>
      <c r="AI209">
        <v>5</v>
      </c>
    </row>
    <row r="210" spans="1:35" x14ac:dyDescent="0.35">
      <c r="A210" t="s">
        <v>193</v>
      </c>
      <c r="B210" t="s">
        <v>69</v>
      </c>
      <c r="C210" t="s">
        <v>33</v>
      </c>
      <c r="D210" s="8" t="s">
        <v>65</v>
      </c>
      <c r="H210" s="22" t="s">
        <v>322</v>
      </c>
      <c r="I210" t="s">
        <v>258</v>
      </c>
      <c r="J210" t="s">
        <v>65</v>
      </c>
      <c r="K210" t="s">
        <v>333</v>
      </c>
      <c r="L210" s="8" t="s">
        <v>196</v>
      </c>
      <c r="N210">
        <v>923</v>
      </c>
      <c r="O210" t="s">
        <v>155</v>
      </c>
      <c r="P210" t="s">
        <v>222</v>
      </c>
      <c r="Q210" t="s">
        <v>207</v>
      </c>
      <c r="R210" s="9">
        <v>0</v>
      </c>
      <c r="S210" s="3" t="s">
        <v>199</v>
      </c>
      <c r="U210" t="s">
        <v>225</v>
      </c>
      <c r="AD210">
        <v>1</v>
      </c>
      <c r="AE210" s="8"/>
      <c r="AF210" s="17">
        <v>2</v>
      </c>
      <c r="AI210">
        <v>3</v>
      </c>
    </row>
    <row r="211" spans="1:35" x14ac:dyDescent="0.35">
      <c r="A211" t="s">
        <v>193</v>
      </c>
      <c r="B211" t="s">
        <v>69</v>
      </c>
      <c r="C211" t="s">
        <v>33</v>
      </c>
      <c r="D211" s="8" t="s">
        <v>65</v>
      </c>
      <c r="H211" t="s">
        <v>257</v>
      </c>
      <c r="I211" t="str">
        <f>D211&amp;" "&amp;H211</f>
        <v>Halictidae species 2</v>
      </c>
      <c r="J211" t="s">
        <v>65</v>
      </c>
      <c r="K211" t="s">
        <v>333</v>
      </c>
      <c r="L211" s="8" t="s">
        <v>196</v>
      </c>
      <c r="N211">
        <v>862</v>
      </c>
      <c r="O211" t="s">
        <v>155</v>
      </c>
      <c r="P211" t="s">
        <v>222</v>
      </c>
      <c r="Q211" t="s">
        <v>211</v>
      </c>
      <c r="R211" s="9">
        <v>1</v>
      </c>
      <c r="U211" t="s">
        <v>225</v>
      </c>
      <c r="AD211">
        <v>1</v>
      </c>
      <c r="AE211" s="8"/>
      <c r="AF211" s="9">
        <v>1</v>
      </c>
      <c r="AI211">
        <v>49</v>
      </c>
    </row>
    <row r="212" spans="1:35" x14ac:dyDescent="0.35">
      <c r="A212" t="s">
        <v>193</v>
      </c>
      <c r="B212" t="s">
        <v>69</v>
      </c>
      <c r="C212" t="s">
        <v>33</v>
      </c>
      <c r="D212" t="s">
        <v>34</v>
      </c>
      <c r="E212" t="s">
        <v>309</v>
      </c>
      <c r="F212" t="s">
        <v>42</v>
      </c>
      <c r="G212" s="20" t="s">
        <v>151</v>
      </c>
      <c r="H212" s="21" t="s">
        <v>152</v>
      </c>
      <c r="I212" t="str">
        <f t="shared" ref="I212:I234" si="8">G212&amp;" "&amp;H212</f>
        <v>Trigona fulviventris</v>
      </c>
      <c r="J212" t="s">
        <v>42</v>
      </c>
      <c r="K212" t="s">
        <v>334</v>
      </c>
      <c r="L212" s="9" t="s">
        <v>198</v>
      </c>
      <c r="N212">
        <v>869</v>
      </c>
      <c r="O212" t="s">
        <v>155</v>
      </c>
      <c r="P212" t="s">
        <v>223</v>
      </c>
      <c r="Q212" s="9" t="s">
        <v>212</v>
      </c>
      <c r="R212" s="9"/>
      <c r="U212" t="s">
        <v>225</v>
      </c>
      <c r="AD212">
        <v>1</v>
      </c>
      <c r="AE212" s="8"/>
      <c r="AF212" s="9">
        <v>1</v>
      </c>
      <c r="AI212">
        <v>56</v>
      </c>
    </row>
    <row r="213" spans="1:35" x14ac:dyDescent="0.35">
      <c r="A213" t="s">
        <v>193</v>
      </c>
      <c r="B213" t="s">
        <v>69</v>
      </c>
      <c r="C213" t="s">
        <v>33</v>
      </c>
      <c r="D213" t="s">
        <v>34</v>
      </c>
      <c r="E213" t="s">
        <v>309</v>
      </c>
      <c r="F213" t="s">
        <v>42</v>
      </c>
      <c r="G213" s="20" t="s">
        <v>151</v>
      </c>
      <c r="H213" s="21" t="s">
        <v>152</v>
      </c>
      <c r="I213" t="str">
        <f t="shared" si="8"/>
        <v>Trigona fulviventris</v>
      </c>
      <c r="J213" t="s">
        <v>42</v>
      </c>
      <c r="K213" t="s">
        <v>334</v>
      </c>
      <c r="L213" s="9" t="s">
        <v>198</v>
      </c>
      <c r="N213">
        <v>870</v>
      </c>
      <c r="O213" t="s">
        <v>155</v>
      </c>
      <c r="P213" t="s">
        <v>223</v>
      </c>
      <c r="Q213" s="9" t="s">
        <v>212</v>
      </c>
      <c r="R213" s="9"/>
      <c r="U213" t="s">
        <v>225</v>
      </c>
      <c r="AD213">
        <v>1</v>
      </c>
      <c r="AE213" s="8"/>
      <c r="AF213" s="9">
        <v>1</v>
      </c>
      <c r="AI213">
        <v>57</v>
      </c>
    </row>
    <row r="214" spans="1:35" x14ac:dyDescent="0.35">
      <c r="A214" t="s">
        <v>193</v>
      </c>
      <c r="B214" t="s">
        <v>69</v>
      </c>
      <c r="C214" t="s">
        <v>33</v>
      </c>
      <c r="D214" t="s">
        <v>34</v>
      </c>
      <c r="E214" t="s">
        <v>309</v>
      </c>
      <c r="F214" t="s">
        <v>42</v>
      </c>
      <c r="G214" s="20" t="s">
        <v>151</v>
      </c>
      <c r="H214" s="21" t="s">
        <v>152</v>
      </c>
      <c r="I214" t="str">
        <f t="shared" si="8"/>
        <v>Trigona fulviventris</v>
      </c>
      <c r="J214" t="s">
        <v>42</v>
      </c>
      <c r="K214" t="s">
        <v>334</v>
      </c>
      <c r="L214" s="9" t="s">
        <v>198</v>
      </c>
      <c r="N214">
        <v>871</v>
      </c>
      <c r="O214" t="s">
        <v>155</v>
      </c>
      <c r="P214" t="s">
        <v>223</v>
      </c>
      <c r="Q214" s="9" t="s">
        <v>212</v>
      </c>
      <c r="R214" s="9"/>
      <c r="U214" t="s">
        <v>225</v>
      </c>
      <c r="AD214">
        <v>1</v>
      </c>
      <c r="AE214" s="8"/>
      <c r="AF214" s="9">
        <v>1</v>
      </c>
      <c r="AI214">
        <v>58</v>
      </c>
    </row>
    <row r="215" spans="1:35" x14ac:dyDescent="0.35">
      <c r="A215" t="s">
        <v>193</v>
      </c>
      <c r="B215" t="s">
        <v>69</v>
      </c>
      <c r="C215" t="s">
        <v>33</v>
      </c>
      <c r="D215" t="s">
        <v>34</v>
      </c>
      <c r="E215" t="s">
        <v>309</v>
      </c>
      <c r="F215" t="s">
        <v>42</v>
      </c>
      <c r="G215" s="20" t="s">
        <v>151</v>
      </c>
      <c r="H215" s="21" t="s">
        <v>152</v>
      </c>
      <c r="I215" t="str">
        <f t="shared" si="8"/>
        <v>Trigona fulviventris</v>
      </c>
      <c r="J215" t="s">
        <v>42</v>
      </c>
      <c r="K215" t="s">
        <v>334</v>
      </c>
      <c r="L215" s="9" t="s">
        <v>198</v>
      </c>
      <c r="N215">
        <v>872</v>
      </c>
      <c r="O215" t="s">
        <v>155</v>
      </c>
      <c r="P215" t="s">
        <v>223</v>
      </c>
      <c r="Q215" s="9" t="s">
        <v>212</v>
      </c>
      <c r="R215" s="9"/>
      <c r="U215" t="s">
        <v>225</v>
      </c>
      <c r="AD215">
        <v>1</v>
      </c>
      <c r="AE215" s="8"/>
      <c r="AF215" s="9">
        <v>1</v>
      </c>
      <c r="AI215">
        <v>59</v>
      </c>
    </row>
    <row r="216" spans="1:35" x14ac:dyDescent="0.35">
      <c r="A216" t="s">
        <v>193</v>
      </c>
      <c r="B216" t="s">
        <v>69</v>
      </c>
      <c r="C216" t="s">
        <v>33</v>
      </c>
      <c r="D216" t="s">
        <v>34</v>
      </c>
      <c r="E216" t="s">
        <v>309</v>
      </c>
      <c r="F216" t="s">
        <v>42</v>
      </c>
      <c r="G216" s="20" t="s">
        <v>151</v>
      </c>
      <c r="H216" s="21" t="s">
        <v>152</v>
      </c>
      <c r="I216" t="str">
        <f t="shared" si="8"/>
        <v>Trigona fulviventris</v>
      </c>
      <c r="J216" t="s">
        <v>42</v>
      </c>
      <c r="K216" t="s">
        <v>334</v>
      </c>
      <c r="L216" s="9" t="s">
        <v>198</v>
      </c>
      <c r="N216">
        <v>873</v>
      </c>
      <c r="O216" t="s">
        <v>155</v>
      </c>
      <c r="P216" t="s">
        <v>223</v>
      </c>
      <c r="Q216" s="9" t="s">
        <v>212</v>
      </c>
      <c r="R216" s="9"/>
      <c r="U216" t="s">
        <v>225</v>
      </c>
      <c r="AD216">
        <v>1</v>
      </c>
      <c r="AE216" s="8"/>
      <c r="AF216" s="9">
        <v>1</v>
      </c>
      <c r="AI216">
        <v>60</v>
      </c>
    </row>
    <row r="217" spans="1:35" x14ac:dyDescent="0.35">
      <c r="A217" t="s">
        <v>193</v>
      </c>
      <c r="B217" t="s">
        <v>69</v>
      </c>
      <c r="C217" t="s">
        <v>33</v>
      </c>
      <c r="D217" t="s">
        <v>34</v>
      </c>
      <c r="E217" t="s">
        <v>309</v>
      </c>
      <c r="F217" t="s">
        <v>42</v>
      </c>
      <c r="G217" s="20" t="s">
        <v>151</v>
      </c>
      <c r="H217" s="21" t="s">
        <v>152</v>
      </c>
      <c r="I217" t="str">
        <f t="shared" si="8"/>
        <v>Trigona fulviventris</v>
      </c>
      <c r="J217" t="s">
        <v>42</v>
      </c>
      <c r="K217" t="s">
        <v>334</v>
      </c>
      <c r="L217" s="9" t="s">
        <v>198</v>
      </c>
      <c r="N217">
        <v>881</v>
      </c>
      <c r="O217" t="s">
        <v>155</v>
      </c>
      <c r="P217" t="s">
        <v>223</v>
      </c>
      <c r="Q217" t="s">
        <v>215</v>
      </c>
      <c r="R217">
        <v>0</v>
      </c>
      <c r="S217" t="s">
        <v>166</v>
      </c>
      <c r="T217" t="s">
        <v>72</v>
      </c>
      <c r="U217" t="s">
        <v>271</v>
      </c>
      <c r="AD217">
        <v>1</v>
      </c>
      <c r="AI217">
        <v>119</v>
      </c>
    </row>
    <row r="218" spans="1:35" x14ac:dyDescent="0.35">
      <c r="A218" t="s">
        <v>193</v>
      </c>
      <c r="B218" t="s">
        <v>69</v>
      </c>
      <c r="C218" t="s">
        <v>33</v>
      </c>
      <c r="D218" t="s">
        <v>34</v>
      </c>
      <c r="E218" t="s">
        <v>309</v>
      </c>
      <c r="F218" t="s">
        <v>42</v>
      </c>
      <c r="G218" s="20" t="s">
        <v>151</v>
      </c>
      <c r="H218" s="21" t="s">
        <v>152</v>
      </c>
      <c r="I218" t="str">
        <f t="shared" si="8"/>
        <v>Trigona fulviventris</v>
      </c>
      <c r="J218" t="s">
        <v>42</v>
      </c>
      <c r="K218" t="s">
        <v>334</v>
      </c>
      <c r="L218" s="9" t="s">
        <v>198</v>
      </c>
      <c r="N218">
        <v>882</v>
      </c>
      <c r="O218" t="s">
        <v>155</v>
      </c>
      <c r="P218" t="s">
        <v>223</v>
      </c>
      <c r="Q218" t="s">
        <v>215</v>
      </c>
      <c r="R218">
        <v>0</v>
      </c>
      <c r="S218" t="s">
        <v>166</v>
      </c>
      <c r="T218" t="s">
        <v>72</v>
      </c>
      <c r="U218" t="s">
        <v>271</v>
      </c>
      <c r="AD218">
        <v>1</v>
      </c>
      <c r="AI218">
        <v>123</v>
      </c>
    </row>
    <row r="219" spans="1:35" x14ac:dyDescent="0.35">
      <c r="A219" t="s">
        <v>193</v>
      </c>
      <c r="B219" t="s">
        <v>69</v>
      </c>
      <c r="C219" t="s">
        <v>33</v>
      </c>
      <c r="D219" t="s">
        <v>34</v>
      </c>
      <c r="E219" t="s">
        <v>309</v>
      </c>
      <c r="F219" t="s">
        <v>42</v>
      </c>
      <c r="G219" s="20" t="s">
        <v>151</v>
      </c>
      <c r="H219" s="21" t="s">
        <v>152</v>
      </c>
      <c r="I219" t="str">
        <f t="shared" si="8"/>
        <v>Trigona fulviventris</v>
      </c>
      <c r="J219" t="s">
        <v>42</v>
      </c>
      <c r="K219" t="s">
        <v>334</v>
      </c>
      <c r="L219" s="9" t="s">
        <v>198</v>
      </c>
      <c r="N219">
        <v>908</v>
      </c>
      <c r="O219" t="s">
        <v>155</v>
      </c>
      <c r="P219" t="s">
        <v>223</v>
      </c>
      <c r="Q219" t="s">
        <v>215</v>
      </c>
      <c r="R219">
        <v>0</v>
      </c>
      <c r="S219" t="s">
        <v>165</v>
      </c>
      <c r="T219" t="s">
        <v>72</v>
      </c>
      <c r="U219" t="s">
        <v>271</v>
      </c>
      <c r="AD219">
        <v>1</v>
      </c>
      <c r="AI219">
        <v>125</v>
      </c>
    </row>
    <row r="220" spans="1:35" x14ac:dyDescent="0.35">
      <c r="A220" t="s">
        <v>193</v>
      </c>
      <c r="B220" t="s">
        <v>69</v>
      </c>
      <c r="C220" t="s">
        <v>33</v>
      </c>
      <c r="D220" t="s">
        <v>34</v>
      </c>
      <c r="E220" t="s">
        <v>309</v>
      </c>
      <c r="F220" t="s">
        <v>42</v>
      </c>
      <c r="G220" s="20" t="s">
        <v>151</v>
      </c>
      <c r="H220" s="21" t="s">
        <v>152</v>
      </c>
      <c r="I220" t="str">
        <f t="shared" si="8"/>
        <v>Trigona fulviventris</v>
      </c>
      <c r="J220" t="s">
        <v>42</v>
      </c>
      <c r="K220" t="s">
        <v>334</v>
      </c>
      <c r="L220" s="9" t="s">
        <v>198</v>
      </c>
      <c r="N220">
        <v>909</v>
      </c>
      <c r="O220" t="s">
        <v>155</v>
      </c>
      <c r="P220" t="s">
        <v>154</v>
      </c>
      <c r="Q220" t="s">
        <v>214</v>
      </c>
      <c r="R220">
        <v>1</v>
      </c>
      <c r="S220" t="s">
        <v>204</v>
      </c>
      <c r="T220" t="s">
        <v>230</v>
      </c>
      <c r="U220" t="s">
        <v>271</v>
      </c>
      <c r="AD220">
        <v>1</v>
      </c>
      <c r="AE220" s="8"/>
      <c r="AF220" s="18">
        <v>1</v>
      </c>
      <c r="AI220">
        <v>92</v>
      </c>
    </row>
    <row r="221" spans="1:35" x14ac:dyDescent="0.35">
      <c r="A221" t="s">
        <v>193</v>
      </c>
      <c r="B221" t="s">
        <v>69</v>
      </c>
      <c r="C221" t="s">
        <v>33</v>
      </c>
      <c r="D221" t="s">
        <v>34</v>
      </c>
      <c r="E221" t="s">
        <v>309</v>
      </c>
      <c r="F221" t="s">
        <v>42</v>
      </c>
      <c r="G221" s="20" t="s">
        <v>151</v>
      </c>
      <c r="H221" s="21" t="s">
        <v>152</v>
      </c>
      <c r="I221" t="str">
        <f t="shared" si="8"/>
        <v>Trigona fulviventris</v>
      </c>
      <c r="J221" t="s">
        <v>42</v>
      </c>
      <c r="K221" t="s">
        <v>334</v>
      </c>
      <c r="L221" s="9" t="s">
        <v>198</v>
      </c>
      <c r="N221">
        <v>910</v>
      </c>
      <c r="O221" t="s">
        <v>155</v>
      </c>
      <c r="P221" t="s">
        <v>154</v>
      </c>
      <c r="Q221" t="s">
        <v>214</v>
      </c>
      <c r="R221">
        <v>1</v>
      </c>
      <c r="S221" t="s">
        <v>204</v>
      </c>
      <c r="T221" t="s">
        <v>230</v>
      </c>
      <c r="U221" t="s">
        <v>271</v>
      </c>
      <c r="AD221">
        <v>1</v>
      </c>
      <c r="AE221" s="8"/>
      <c r="AF221" s="18">
        <v>1</v>
      </c>
      <c r="AI221">
        <v>93</v>
      </c>
    </row>
    <row r="222" spans="1:35" x14ac:dyDescent="0.35">
      <c r="A222" t="s">
        <v>193</v>
      </c>
      <c r="B222" t="s">
        <v>69</v>
      </c>
      <c r="C222" t="s">
        <v>33</v>
      </c>
      <c r="D222" t="s">
        <v>34</v>
      </c>
      <c r="E222" t="s">
        <v>309</v>
      </c>
      <c r="F222" t="s">
        <v>42</v>
      </c>
      <c r="G222" s="20" t="s">
        <v>151</v>
      </c>
      <c r="H222" s="21" t="s">
        <v>152</v>
      </c>
      <c r="I222" t="str">
        <f t="shared" si="8"/>
        <v>Trigona fulviventris</v>
      </c>
      <c r="J222" t="s">
        <v>42</v>
      </c>
      <c r="K222" t="s">
        <v>334</v>
      </c>
      <c r="L222" s="9" t="s">
        <v>198</v>
      </c>
      <c r="N222">
        <v>911</v>
      </c>
      <c r="O222" t="s">
        <v>155</v>
      </c>
      <c r="P222" t="s">
        <v>154</v>
      </c>
      <c r="Q222" t="s">
        <v>214</v>
      </c>
      <c r="R222">
        <v>0</v>
      </c>
      <c r="S222" t="s">
        <v>204</v>
      </c>
      <c r="T222" t="s">
        <v>230</v>
      </c>
      <c r="U222" t="s">
        <v>271</v>
      </c>
      <c r="AD222">
        <v>1</v>
      </c>
      <c r="AE222" s="8"/>
      <c r="AF222" s="18">
        <v>1</v>
      </c>
      <c r="AI222">
        <v>105</v>
      </c>
    </row>
    <row r="223" spans="1:35" x14ac:dyDescent="0.35">
      <c r="A223" t="s">
        <v>193</v>
      </c>
      <c r="B223" t="s">
        <v>69</v>
      </c>
      <c r="C223" t="s">
        <v>33</v>
      </c>
      <c r="D223" t="s">
        <v>34</v>
      </c>
      <c r="E223" t="s">
        <v>309</v>
      </c>
      <c r="F223" t="s">
        <v>42</v>
      </c>
      <c r="G223" s="20" t="s">
        <v>151</v>
      </c>
      <c r="H223" s="21" t="s">
        <v>152</v>
      </c>
      <c r="I223" t="str">
        <f t="shared" si="8"/>
        <v>Trigona fulviventris</v>
      </c>
      <c r="J223" t="s">
        <v>42</v>
      </c>
      <c r="K223" t="s">
        <v>334</v>
      </c>
      <c r="L223" s="9" t="s">
        <v>198</v>
      </c>
      <c r="N223">
        <v>912</v>
      </c>
      <c r="O223" t="s">
        <v>155</v>
      </c>
      <c r="P223" t="s">
        <v>154</v>
      </c>
      <c r="Q223" t="s">
        <v>214</v>
      </c>
      <c r="R223">
        <v>1</v>
      </c>
      <c r="S223" t="s">
        <v>204</v>
      </c>
      <c r="T223" t="s">
        <v>230</v>
      </c>
      <c r="U223" t="s">
        <v>271</v>
      </c>
      <c r="AD223">
        <v>1</v>
      </c>
      <c r="AE223" s="8"/>
      <c r="AF223" s="18">
        <v>1</v>
      </c>
      <c r="AI223">
        <v>109</v>
      </c>
    </row>
    <row r="224" spans="1:35" x14ac:dyDescent="0.35">
      <c r="A224" t="s">
        <v>193</v>
      </c>
      <c r="B224" t="s">
        <v>69</v>
      </c>
      <c r="C224" t="s">
        <v>33</v>
      </c>
      <c r="D224" t="s">
        <v>34</v>
      </c>
      <c r="E224" t="s">
        <v>309</v>
      </c>
      <c r="F224" t="s">
        <v>42</v>
      </c>
      <c r="G224" s="20" t="s">
        <v>151</v>
      </c>
      <c r="H224" s="21" t="s">
        <v>152</v>
      </c>
      <c r="I224" t="str">
        <f t="shared" si="8"/>
        <v>Trigona fulviventris</v>
      </c>
      <c r="J224" t="s">
        <v>42</v>
      </c>
      <c r="K224" t="s">
        <v>334</v>
      </c>
      <c r="L224" s="9" t="s">
        <v>198</v>
      </c>
      <c r="N224">
        <v>913</v>
      </c>
      <c r="O224" t="s">
        <v>155</v>
      </c>
      <c r="P224" t="s">
        <v>223</v>
      </c>
      <c r="Q224" t="s">
        <v>215</v>
      </c>
      <c r="R224">
        <v>0</v>
      </c>
      <c r="S224" t="s">
        <v>204</v>
      </c>
      <c r="T224" t="s">
        <v>230</v>
      </c>
      <c r="U224" t="s">
        <v>271</v>
      </c>
      <c r="AD224">
        <v>1</v>
      </c>
      <c r="AI224">
        <v>126</v>
      </c>
    </row>
    <row r="225" spans="1:35" x14ac:dyDescent="0.35">
      <c r="A225" t="s">
        <v>193</v>
      </c>
      <c r="B225" t="s">
        <v>69</v>
      </c>
      <c r="C225" t="s">
        <v>33</v>
      </c>
      <c r="D225" t="s">
        <v>34</v>
      </c>
      <c r="E225" t="s">
        <v>309</v>
      </c>
      <c r="F225" t="s">
        <v>42</v>
      </c>
      <c r="G225" s="20" t="s">
        <v>151</v>
      </c>
      <c r="H225" s="21" t="s">
        <v>152</v>
      </c>
      <c r="I225" t="str">
        <f t="shared" si="8"/>
        <v>Trigona fulviventris</v>
      </c>
      <c r="J225" t="s">
        <v>42</v>
      </c>
      <c r="K225" t="s">
        <v>334</v>
      </c>
      <c r="L225" s="9" t="s">
        <v>198</v>
      </c>
      <c r="N225">
        <v>914</v>
      </c>
      <c r="O225" t="s">
        <v>155</v>
      </c>
      <c r="P225" t="s">
        <v>223</v>
      </c>
      <c r="Q225" s="9" t="s">
        <v>213</v>
      </c>
      <c r="R225">
        <v>1</v>
      </c>
      <c r="S225" t="s">
        <v>202</v>
      </c>
      <c r="T225" t="s">
        <v>232</v>
      </c>
      <c r="U225" t="s">
        <v>271</v>
      </c>
      <c r="AD225">
        <v>1</v>
      </c>
      <c r="AE225" s="8"/>
      <c r="AF225" s="18">
        <v>3</v>
      </c>
      <c r="AI225">
        <v>71</v>
      </c>
    </row>
    <row r="226" spans="1:35" x14ac:dyDescent="0.35">
      <c r="A226" t="s">
        <v>193</v>
      </c>
      <c r="B226" t="s">
        <v>69</v>
      </c>
      <c r="C226" t="s">
        <v>33</v>
      </c>
      <c r="D226" t="s">
        <v>34</v>
      </c>
      <c r="E226" t="s">
        <v>309</v>
      </c>
      <c r="F226" t="s">
        <v>42</v>
      </c>
      <c r="G226" s="20" t="s">
        <v>151</v>
      </c>
      <c r="H226" s="21" t="s">
        <v>152</v>
      </c>
      <c r="I226" t="str">
        <f t="shared" si="8"/>
        <v>Trigona fulviventris</v>
      </c>
      <c r="J226" t="s">
        <v>42</v>
      </c>
      <c r="K226" t="s">
        <v>334</v>
      </c>
      <c r="L226" s="9" t="s">
        <v>198</v>
      </c>
      <c r="N226">
        <v>915</v>
      </c>
      <c r="O226" t="s">
        <v>155</v>
      </c>
      <c r="P226" t="s">
        <v>223</v>
      </c>
      <c r="Q226" s="9" t="s">
        <v>213</v>
      </c>
      <c r="R226">
        <v>0</v>
      </c>
      <c r="S226" t="s">
        <v>202</v>
      </c>
      <c r="T226" t="s">
        <v>232</v>
      </c>
      <c r="U226" t="s">
        <v>271</v>
      </c>
      <c r="AD226">
        <v>1</v>
      </c>
      <c r="AE226" s="8"/>
      <c r="AF226" s="18">
        <v>3</v>
      </c>
      <c r="AI226">
        <v>72</v>
      </c>
    </row>
    <row r="227" spans="1:35" x14ac:dyDescent="0.35">
      <c r="A227" t="s">
        <v>193</v>
      </c>
      <c r="B227" t="s">
        <v>69</v>
      </c>
      <c r="C227" t="s">
        <v>33</v>
      </c>
      <c r="D227" t="s">
        <v>34</v>
      </c>
      <c r="E227" t="s">
        <v>309</v>
      </c>
      <c r="F227" t="s">
        <v>42</v>
      </c>
      <c r="G227" s="20" t="s">
        <v>151</v>
      </c>
      <c r="H227" s="21" t="s">
        <v>152</v>
      </c>
      <c r="I227" t="str">
        <f t="shared" si="8"/>
        <v>Trigona fulviventris</v>
      </c>
      <c r="J227" t="s">
        <v>42</v>
      </c>
      <c r="K227" t="s">
        <v>334</v>
      </c>
      <c r="L227" s="9" t="s">
        <v>198</v>
      </c>
      <c r="N227">
        <v>916</v>
      </c>
      <c r="O227" t="s">
        <v>155</v>
      </c>
      <c r="P227" t="s">
        <v>223</v>
      </c>
      <c r="Q227" s="9" t="s">
        <v>213</v>
      </c>
      <c r="R227">
        <v>0</v>
      </c>
      <c r="S227" t="s">
        <v>202</v>
      </c>
      <c r="T227" t="s">
        <v>232</v>
      </c>
      <c r="U227" t="s">
        <v>271</v>
      </c>
      <c r="AD227">
        <v>1</v>
      </c>
      <c r="AE227" s="8"/>
      <c r="AF227" s="18">
        <v>3</v>
      </c>
      <c r="AI227">
        <v>73</v>
      </c>
    </row>
    <row r="228" spans="1:35" x14ac:dyDescent="0.35">
      <c r="A228" t="s">
        <v>193</v>
      </c>
      <c r="B228" t="s">
        <v>69</v>
      </c>
      <c r="C228" t="s">
        <v>33</v>
      </c>
      <c r="D228" t="s">
        <v>34</v>
      </c>
      <c r="E228" t="s">
        <v>309</v>
      </c>
      <c r="F228" t="s">
        <v>42</v>
      </c>
      <c r="G228" s="20" t="s">
        <v>151</v>
      </c>
      <c r="H228" s="21" t="s">
        <v>152</v>
      </c>
      <c r="I228" t="str">
        <f t="shared" si="8"/>
        <v>Trigona fulviventris</v>
      </c>
      <c r="J228" t="s">
        <v>42</v>
      </c>
      <c r="K228" t="s">
        <v>334</v>
      </c>
      <c r="L228" s="9" t="s">
        <v>198</v>
      </c>
      <c r="N228">
        <v>917</v>
      </c>
      <c r="O228" t="s">
        <v>155</v>
      </c>
      <c r="P228" t="s">
        <v>223</v>
      </c>
      <c r="Q228" s="9" t="s">
        <v>213</v>
      </c>
      <c r="R228">
        <v>0</v>
      </c>
      <c r="S228" t="s">
        <v>202</v>
      </c>
      <c r="T228" t="s">
        <v>232</v>
      </c>
      <c r="U228" t="s">
        <v>271</v>
      </c>
      <c r="AD228">
        <v>1</v>
      </c>
      <c r="AE228" s="8"/>
      <c r="AF228" s="18">
        <v>3</v>
      </c>
      <c r="AI228">
        <v>74</v>
      </c>
    </row>
    <row r="229" spans="1:35" x14ac:dyDescent="0.35">
      <c r="A229" t="s">
        <v>193</v>
      </c>
      <c r="B229" t="s">
        <v>69</v>
      </c>
      <c r="C229" t="s">
        <v>33</v>
      </c>
      <c r="D229" t="s">
        <v>34</v>
      </c>
      <c r="E229" t="s">
        <v>309</v>
      </c>
      <c r="F229" t="s">
        <v>42</v>
      </c>
      <c r="G229" s="20" t="s">
        <v>151</v>
      </c>
      <c r="H229" s="21" t="s">
        <v>152</v>
      </c>
      <c r="I229" t="str">
        <f t="shared" si="8"/>
        <v>Trigona fulviventris</v>
      </c>
      <c r="J229" t="s">
        <v>42</v>
      </c>
      <c r="K229" t="s">
        <v>334</v>
      </c>
      <c r="L229" s="9" t="s">
        <v>198</v>
      </c>
      <c r="N229">
        <v>918</v>
      </c>
      <c r="O229" t="s">
        <v>155</v>
      </c>
      <c r="P229" t="s">
        <v>223</v>
      </c>
      <c r="Q229" s="9" t="s">
        <v>213</v>
      </c>
      <c r="S229" t="s">
        <v>202</v>
      </c>
      <c r="T229" t="s">
        <v>232</v>
      </c>
      <c r="U229" t="s">
        <v>271</v>
      </c>
      <c r="AD229">
        <v>1</v>
      </c>
      <c r="AE229" s="8"/>
      <c r="AF229" s="18">
        <v>1</v>
      </c>
      <c r="AI229">
        <v>78</v>
      </c>
    </row>
    <row r="230" spans="1:35" x14ac:dyDescent="0.35">
      <c r="A230" t="s">
        <v>193</v>
      </c>
      <c r="B230" t="s">
        <v>69</v>
      </c>
      <c r="C230" t="s">
        <v>33</v>
      </c>
      <c r="D230" t="s">
        <v>34</v>
      </c>
      <c r="E230" t="s">
        <v>309</v>
      </c>
      <c r="F230" t="s">
        <v>42</v>
      </c>
      <c r="G230" s="20" t="s">
        <v>151</v>
      </c>
      <c r="H230" s="21" t="s">
        <v>152</v>
      </c>
      <c r="I230" t="str">
        <f t="shared" si="8"/>
        <v>Trigona fulviventris</v>
      </c>
      <c r="J230" t="s">
        <v>42</v>
      </c>
      <c r="K230" t="s">
        <v>334</v>
      </c>
      <c r="L230" s="9" t="s">
        <v>198</v>
      </c>
      <c r="N230">
        <v>919</v>
      </c>
      <c r="O230" t="s">
        <v>155</v>
      </c>
      <c r="P230" t="s">
        <v>154</v>
      </c>
      <c r="Q230" t="s">
        <v>214</v>
      </c>
      <c r="R230">
        <v>1</v>
      </c>
      <c r="S230" t="s">
        <v>205</v>
      </c>
      <c r="T230" t="s">
        <v>233</v>
      </c>
      <c r="U230" t="s">
        <v>271</v>
      </c>
      <c r="AD230">
        <v>1</v>
      </c>
      <c r="AE230" s="8"/>
      <c r="AF230" s="18">
        <v>1</v>
      </c>
      <c r="AI230">
        <v>97</v>
      </c>
    </row>
    <row r="231" spans="1:35" x14ac:dyDescent="0.35">
      <c r="A231" t="s">
        <v>193</v>
      </c>
      <c r="B231" t="s">
        <v>69</v>
      </c>
      <c r="C231" t="s">
        <v>33</v>
      </c>
      <c r="D231" t="s">
        <v>34</v>
      </c>
      <c r="E231" t="s">
        <v>309</v>
      </c>
      <c r="F231" t="s">
        <v>42</v>
      </c>
      <c r="G231" s="20" t="s">
        <v>151</v>
      </c>
      <c r="H231" s="21" t="s">
        <v>152</v>
      </c>
      <c r="I231" t="str">
        <f t="shared" si="8"/>
        <v>Trigona fulviventris</v>
      </c>
      <c r="J231" t="s">
        <v>42</v>
      </c>
      <c r="K231" t="s">
        <v>334</v>
      </c>
      <c r="L231" s="9" t="s">
        <v>198</v>
      </c>
      <c r="N231">
        <v>920</v>
      </c>
      <c r="O231" t="s">
        <v>155</v>
      </c>
      <c r="P231" t="s">
        <v>223</v>
      </c>
      <c r="Q231" s="9" t="s">
        <v>213</v>
      </c>
      <c r="R231">
        <v>1</v>
      </c>
      <c r="S231" t="s">
        <v>203</v>
      </c>
      <c r="T231" t="s">
        <v>234</v>
      </c>
      <c r="U231" t="s">
        <v>271</v>
      </c>
      <c r="AD231">
        <v>1</v>
      </c>
      <c r="AE231" s="8"/>
      <c r="AF231" s="18">
        <v>3</v>
      </c>
      <c r="AI231">
        <v>76</v>
      </c>
    </row>
    <row r="232" spans="1:35" x14ac:dyDescent="0.35">
      <c r="A232" t="s">
        <v>193</v>
      </c>
      <c r="B232" t="s">
        <v>69</v>
      </c>
      <c r="C232" t="s">
        <v>33</v>
      </c>
      <c r="D232" t="s">
        <v>34</v>
      </c>
      <c r="E232" t="s">
        <v>309</v>
      </c>
      <c r="F232" t="s">
        <v>42</v>
      </c>
      <c r="G232" s="20" t="s">
        <v>151</v>
      </c>
      <c r="H232" s="21" t="s">
        <v>152</v>
      </c>
      <c r="I232" t="str">
        <f t="shared" si="8"/>
        <v>Trigona fulviventris</v>
      </c>
      <c r="J232" t="s">
        <v>42</v>
      </c>
      <c r="K232" t="s">
        <v>334</v>
      </c>
      <c r="L232" s="9" t="s">
        <v>198</v>
      </c>
      <c r="N232">
        <v>921</v>
      </c>
      <c r="O232" t="s">
        <v>155</v>
      </c>
      <c r="P232" t="s">
        <v>154</v>
      </c>
      <c r="Q232" t="s">
        <v>214</v>
      </c>
      <c r="R232">
        <v>1</v>
      </c>
      <c r="S232" t="s">
        <v>206</v>
      </c>
      <c r="T232" t="s">
        <v>233</v>
      </c>
      <c r="U232" t="s">
        <v>271</v>
      </c>
      <c r="AD232">
        <v>1</v>
      </c>
      <c r="AF232" s="18">
        <v>1</v>
      </c>
      <c r="AI232">
        <v>111</v>
      </c>
    </row>
    <row r="233" spans="1:35" x14ac:dyDescent="0.35">
      <c r="A233" t="s">
        <v>193</v>
      </c>
      <c r="B233" t="s">
        <v>69</v>
      </c>
      <c r="C233" t="s">
        <v>33</v>
      </c>
      <c r="D233" t="s">
        <v>34</v>
      </c>
      <c r="E233" t="s">
        <v>309</v>
      </c>
      <c r="F233" t="s">
        <v>42</v>
      </c>
      <c r="G233" s="20" t="s">
        <v>151</v>
      </c>
      <c r="H233" s="21" t="s">
        <v>152</v>
      </c>
      <c r="I233" t="str">
        <f t="shared" si="8"/>
        <v>Trigona fulviventris</v>
      </c>
      <c r="J233" t="s">
        <v>42</v>
      </c>
      <c r="K233" t="s">
        <v>334</v>
      </c>
      <c r="L233" s="9" t="s">
        <v>198</v>
      </c>
      <c r="N233">
        <v>922</v>
      </c>
      <c r="O233" t="s">
        <v>155</v>
      </c>
      <c r="P233" t="s">
        <v>154</v>
      </c>
      <c r="Q233" t="s">
        <v>208</v>
      </c>
      <c r="R233" s="9">
        <v>1</v>
      </c>
      <c r="S233" s="9" t="s">
        <v>200</v>
      </c>
      <c r="T233" t="s">
        <v>230</v>
      </c>
      <c r="U233" t="s">
        <v>271</v>
      </c>
      <c r="AD233">
        <v>1</v>
      </c>
      <c r="AE233" s="8"/>
      <c r="AF233" s="17">
        <v>2</v>
      </c>
      <c r="AI233">
        <v>17</v>
      </c>
    </row>
    <row r="234" spans="1:35" x14ac:dyDescent="0.35">
      <c r="A234" t="s">
        <v>193</v>
      </c>
      <c r="B234" t="s">
        <v>69</v>
      </c>
      <c r="C234" t="s">
        <v>33</v>
      </c>
      <c r="D234" t="s">
        <v>34</v>
      </c>
      <c r="E234" t="s">
        <v>309</v>
      </c>
      <c r="F234" t="s">
        <v>42</v>
      </c>
      <c r="G234" s="20" t="s">
        <v>151</v>
      </c>
      <c r="H234" s="21" t="s">
        <v>152</v>
      </c>
      <c r="I234" t="str">
        <f t="shared" si="8"/>
        <v>Trigona fulviventris</v>
      </c>
      <c r="J234" t="s">
        <v>42</v>
      </c>
      <c r="K234" t="s">
        <v>334</v>
      </c>
      <c r="L234" s="9" t="s">
        <v>198</v>
      </c>
      <c r="N234">
        <v>943</v>
      </c>
      <c r="O234" t="s">
        <v>155</v>
      </c>
      <c r="P234" t="s">
        <v>223</v>
      </c>
      <c r="Q234" t="s">
        <v>215</v>
      </c>
      <c r="R234">
        <v>0</v>
      </c>
      <c r="S234" t="s">
        <v>201</v>
      </c>
      <c r="U234" t="s">
        <v>225</v>
      </c>
      <c r="AD234">
        <v>1</v>
      </c>
      <c r="AI234">
        <v>122</v>
      </c>
    </row>
    <row r="235" spans="1:35" x14ac:dyDescent="0.35">
      <c r="A235" t="s">
        <v>91</v>
      </c>
      <c r="B235" t="s">
        <v>24</v>
      </c>
      <c r="C235" t="s">
        <v>92</v>
      </c>
      <c r="I235" t="s">
        <v>92</v>
      </c>
      <c r="J235" t="s">
        <v>326</v>
      </c>
      <c r="K235" t="s">
        <v>330</v>
      </c>
      <c r="L235" t="s">
        <v>93</v>
      </c>
      <c r="M235" t="s">
        <v>93</v>
      </c>
      <c r="N235">
        <v>124</v>
      </c>
      <c r="O235" t="s">
        <v>119</v>
      </c>
      <c r="P235" t="s">
        <v>30</v>
      </c>
      <c r="Q235" s="4">
        <v>44714</v>
      </c>
      <c r="R235">
        <v>1</v>
      </c>
      <c r="S235" t="s">
        <v>107</v>
      </c>
      <c r="T235" t="s">
        <v>107</v>
      </c>
      <c r="U235" t="s">
        <v>271</v>
      </c>
      <c r="V235">
        <v>0</v>
      </c>
      <c r="AD235">
        <v>1</v>
      </c>
      <c r="AF235" s="18">
        <v>1</v>
      </c>
      <c r="AI235">
        <v>1</v>
      </c>
    </row>
    <row r="236" spans="1:35" x14ac:dyDescent="0.35">
      <c r="A236" t="s">
        <v>91</v>
      </c>
      <c r="B236" t="s">
        <v>24</v>
      </c>
      <c r="C236" t="s">
        <v>25</v>
      </c>
      <c r="D236" t="s">
        <v>94</v>
      </c>
      <c r="I236" t="s">
        <v>94</v>
      </c>
      <c r="J236" t="s">
        <v>326</v>
      </c>
      <c r="K236" t="s">
        <v>330</v>
      </c>
      <c r="L236" t="s">
        <v>95</v>
      </c>
      <c r="M236" t="s">
        <v>95</v>
      </c>
      <c r="N236">
        <v>125</v>
      </c>
      <c r="O236" t="s">
        <v>119</v>
      </c>
      <c r="P236" t="s">
        <v>37</v>
      </c>
      <c r="Q236" s="4">
        <v>44728</v>
      </c>
      <c r="R236">
        <v>0</v>
      </c>
      <c r="U236" t="s">
        <v>225</v>
      </c>
      <c r="V236">
        <v>0</v>
      </c>
      <c r="AD236">
        <v>1</v>
      </c>
      <c r="AF236" s="18">
        <v>1</v>
      </c>
      <c r="AI236">
        <v>2</v>
      </c>
    </row>
    <row r="237" spans="1:35" x14ac:dyDescent="0.35">
      <c r="A237" t="s">
        <v>91</v>
      </c>
      <c r="B237" t="s">
        <v>24</v>
      </c>
      <c r="C237" t="s">
        <v>25</v>
      </c>
      <c r="D237" t="s">
        <v>26</v>
      </c>
      <c r="E237" t="s">
        <v>312</v>
      </c>
      <c r="F237" t="s">
        <v>313</v>
      </c>
      <c r="G237" t="s">
        <v>96</v>
      </c>
      <c r="H237" t="s">
        <v>28</v>
      </c>
      <c r="I237" t="s">
        <v>97</v>
      </c>
      <c r="J237" t="s">
        <v>326</v>
      </c>
      <c r="K237" t="s">
        <v>330</v>
      </c>
      <c r="L237" t="s">
        <v>29</v>
      </c>
      <c r="M237" t="s">
        <v>29</v>
      </c>
      <c r="N237">
        <v>126</v>
      </c>
      <c r="O237" t="s">
        <v>119</v>
      </c>
      <c r="P237" t="s">
        <v>30</v>
      </c>
      <c r="Q237" s="4">
        <v>44714</v>
      </c>
      <c r="R237">
        <v>0</v>
      </c>
      <c r="S237" t="s">
        <v>107</v>
      </c>
      <c r="T237" t="s">
        <v>107</v>
      </c>
      <c r="U237" t="s">
        <v>271</v>
      </c>
      <c r="V237">
        <v>0</v>
      </c>
      <c r="AD237">
        <v>1</v>
      </c>
      <c r="AF237" s="18">
        <v>1</v>
      </c>
      <c r="AI237">
        <v>3</v>
      </c>
    </row>
    <row r="238" spans="1:35" x14ac:dyDescent="0.35">
      <c r="A238" t="s">
        <v>91</v>
      </c>
      <c r="B238" t="s">
        <v>24</v>
      </c>
      <c r="C238" t="s">
        <v>99</v>
      </c>
      <c r="D238" t="s">
        <v>100</v>
      </c>
      <c r="I238" t="s">
        <v>100</v>
      </c>
      <c r="J238" t="s">
        <v>326</v>
      </c>
      <c r="K238" t="s">
        <v>330</v>
      </c>
      <c r="L238" t="s">
        <v>101</v>
      </c>
      <c r="M238" t="s">
        <v>101</v>
      </c>
      <c r="N238">
        <v>127</v>
      </c>
      <c r="O238" t="s">
        <v>119</v>
      </c>
      <c r="P238" t="s">
        <v>30</v>
      </c>
      <c r="Q238" s="4">
        <v>44714</v>
      </c>
      <c r="R238">
        <v>0</v>
      </c>
      <c r="S238" t="s">
        <v>107</v>
      </c>
      <c r="T238" t="s">
        <v>107</v>
      </c>
      <c r="U238" t="s">
        <v>271</v>
      </c>
      <c r="V238">
        <v>0</v>
      </c>
      <c r="AD238">
        <v>1</v>
      </c>
      <c r="AF238" s="18">
        <v>1</v>
      </c>
      <c r="AI238">
        <v>4</v>
      </c>
    </row>
    <row r="239" spans="1:35" x14ac:dyDescent="0.35">
      <c r="A239" t="s">
        <v>91</v>
      </c>
      <c r="B239" t="s">
        <v>24</v>
      </c>
      <c r="C239" t="s">
        <v>33</v>
      </c>
      <c r="D239" t="s">
        <v>34</v>
      </c>
      <c r="E239" t="s">
        <v>309</v>
      </c>
      <c r="F239" t="s">
        <v>308</v>
      </c>
      <c r="G239" s="20" t="s">
        <v>35</v>
      </c>
      <c r="H239" t="s">
        <v>7</v>
      </c>
      <c r="I239" t="str">
        <f>G239&amp;" "&amp;H239</f>
        <v>Amegilla species</v>
      </c>
      <c r="J239" t="s">
        <v>237</v>
      </c>
      <c r="K239" t="s">
        <v>331</v>
      </c>
      <c r="L239" t="s">
        <v>36</v>
      </c>
      <c r="M239" t="s">
        <v>36</v>
      </c>
      <c r="N239">
        <v>129</v>
      </c>
      <c r="O239" t="s">
        <v>119</v>
      </c>
      <c r="P239" t="s">
        <v>37</v>
      </c>
      <c r="Q239" s="4">
        <v>44727</v>
      </c>
      <c r="R239">
        <v>0</v>
      </c>
      <c r="U239" t="s">
        <v>225</v>
      </c>
      <c r="V239">
        <v>0</v>
      </c>
      <c r="AD239">
        <v>1</v>
      </c>
      <c r="AF239" s="18">
        <v>1</v>
      </c>
      <c r="AI239">
        <v>6</v>
      </c>
    </row>
    <row r="240" spans="1:35" x14ac:dyDescent="0.35">
      <c r="A240" t="s">
        <v>91</v>
      </c>
      <c r="B240" t="s">
        <v>24</v>
      </c>
      <c r="C240" t="s">
        <v>33</v>
      </c>
      <c r="D240" t="s">
        <v>34</v>
      </c>
      <c r="E240" t="s">
        <v>309</v>
      </c>
      <c r="F240" t="s">
        <v>308</v>
      </c>
      <c r="G240" s="20" t="s">
        <v>35</v>
      </c>
      <c r="H240" t="s">
        <v>7</v>
      </c>
      <c r="I240" t="str">
        <f>G240&amp;" "&amp;H240</f>
        <v>Amegilla species</v>
      </c>
      <c r="J240" t="s">
        <v>237</v>
      </c>
      <c r="K240" t="s">
        <v>331</v>
      </c>
      <c r="L240" t="s">
        <v>36</v>
      </c>
      <c r="M240" t="s">
        <v>36</v>
      </c>
      <c r="N240">
        <v>130</v>
      </c>
      <c r="O240" t="s">
        <v>119</v>
      </c>
      <c r="P240" t="s">
        <v>37</v>
      </c>
      <c r="Q240" s="4">
        <v>44728</v>
      </c>
      <c r="R240">
        <v>0</v>
      </c>
      <c r="U240" t="s">
        <v>225</v>
      </c>
      <c r="V240">
        <v>0</v>
      </c>
      <c r="AD240">
        <v>1</v>
      </c>
      <c r="AF240" s="18">
        <v>1</v>
      </c>
      <c r="AI240">
        <v>7</v>
      </c>
    </row>
    <row r="241" spans="1:35" x14ac:dyDescent="0.35">
      <c r="A241" t="s">
        <v>91</v>
      </c>
      <c r="B241" t="s">
        <v>24</v>
      </c>
      <c r="C241" t="s">
        <v>33</v>
      </c>
      <c r="D241" t="s">
        <v>34</v>
      </c>
      <c r="E241" t="s">
        <v>309</v>
      </c>
      <c r="F241" t="s">
        <v>308</v>
      </c>
      <c r="G241" s="20" t="s">
        <v>35</v>
      </c>
      <c r="H241" t="s">
        <v>7</v>
      </c>
      <c r="I241" t="str">
        <f>G241&amp;" "&amp;H241</f>
        <v>Amegilla species</v>
      </c>
      <c r="J241" t="s">
        <v>237</v>
      </c>
      <c r="K241" t="s">
        <v>331</v>
      </c>
      <c r="L241" t="s">
        <v>36</v>
      </c>
      <c r="M241" t="s">
        <v>36</v>
      </c>
      <c r="N241">
        <v>131</v>
      </c>
      <c r="O241" t="s">
        <v>119</v>
      </c>
      <c r="P241" t="s">
        <v>37</v>
      </c>
      <c r="Q241" s="4">
        <v>44728</v>
      </c>
      <c r="R241">
        <v>1</v>
      </c>
      <c r="S241" t="s">
        <v>107</v>
      </c>
      <c r="T241" t="s">
        <v>107</v>
      </c>
      <c r="U241" t="s">
        <v>271</v>
      </c>
      <c r="V241">
        <v>0</v>
      </c>
      <c r="AD241">
        <v>1</v>
      </c>
      <c r="AF241" s="18">
        <v>1</v>
      </c>
      <c r="AI241">
        <v>8</v>
      </c>
    </row>
    <row r="242" spans="1:35" x14ac:dyDescent="0.35">
      <c r="A242" t="s">
        <v>91</v>
      </c>
      <c r="B242" t="s">
        <v>24</v>
      </c>
      <c r="C242" t="s">
        <v>33</v>
      </c>
      <c r="D242" t="s">
        <v>34</v>
      </c>
      <c r="E242" t="s">
        <v>309</v>
      </c>
      <c r="F242" t="s">
        <v>308</v>
      </c>
      <c r="G242" s="20" t="s">
        <v>35</v>
      </c>
      <c r="H242" t="s">
        <v>7</v>
      </c>
      <c r="I242" t="str">
        <f>G242&amp;" "&amp;H242</f>
        <v>Amegilla species</v>
      </c>
      <c r="J242" t="s">
        <v>237</v>
      </c>
      <c r="K242" t="s">
        <v>331</v>
      </c>
      <c r="L242" t="s">
        <v>36</v>
      </c>
      <c r="M242" t="s">
        <v>36</v>
      </c>
      <c r="N242">
        <v>132</v>
      </c>
      <c r="O242" t="s">
        <v>119</v>
      </c>
      <c r="P242" t="s">
        <v>37</v>
      </c>
      <c r="Q242" s="4">
        <v>44728</v>
      </c>
      <c r="R242">
        <v>1</v>
      </c>
      <c r="S242" t="s">
        <v>107</v>
      </c>
      <c r="T242" t="s">
        <v>107</v>
      </c>
      <c r="U242" t="s">
        <v>271</v>
      </c>
      <c r="V242">
        <v>0</v>
      </c>
      <c r="AD242">
        <v>1</v>
      </c>
      <c r="AF242" s="18">
        <v>1</v>
      </c>
      <c r="AI242">
        <v>9</v>
      </c>
    </row>
    <row r="243" spans="1:35" x14ac:dyDescent="0.35">
      <c r="A243" t="s">
        <v>91</v>
      </c>
      <c r="B243" t="s">
        <v>24</v>
      </c>
      <c r="C243" t="s">
        <v>33</v>
      </c>
      <c r="D243" t="s">
        <v>34</v>
      </c>
      <c r="E243" t="s">
        <v>309</v>
      </c>
      <c r="F243" t="s">
        <v>310</v>
      </c>
      <c r="G243" s="20" t="s">
        <v>38</v>
      </c>
      <c r="H243" s="20" t="s">
        <v>39</v>
      </c>
      <c r="I243" t="s">
        <v>70</v>
      </c>
      <c r="J243" t="s">
        <v>70</v>
      </c>
      <c r="K243" t="s">
        <v>332</v>
      </c>
      <c r="L243" t="s">
        <v>40</v>
      </c>
      <c r="M243" t="s">
        <v>40</v>
      </c>
      <c r="N243">
        <v>133</v>
      </c>
      <c r="O243" t="s">
        <v>119</v>
      </c>
      <c r="P243" t="s">
        <v>41</v>
      </c>
      <c r="Q243" s="4">
        <v>44707</v>
      </c>
      <c r="U243" t="s">
        <v>225</v>
      </c>
      <c r="V243">
        <v>0</v>
      </c>
      <c r="AD243">
        <v>1</v>
      </c>
      <c r="AF243" s="18">
        <v>1</v>
      </c>
      <c r="AI243">
        <v>10</v>
      </c>
    </row>
    <row r="244" spans="1:35" x14ac:dyDescent="0.35">
      <c r="A244" t="s">
        <v>91</v>
      </c>
      <c r="B244" t="s">
        <v>24</v>
      </c>
      <c r="C244" t="s">
        <v>33</v>
      </c>
      <c r="D244" t="s">
        <v>34</v>
      </c>
      <c r="E244" t="s">
        <v>309</v>
      </c>
      <c r="F244" t="s">
        <v>310</v>
      </c>
      <c r="G244" s="20" t="s">
        <v>38</v>
      </c>
      <c r="H244" s="20" t="s">
        <v>39</v>
      </c>
      <c r="I244" t="s">
        <v>70</v>
      </c>
      <c r="J244" t="s">
        <v>70</v>
      </c>
      <c r="K244" t="s">
        <v>332</v>
      </c>
      <c r="L244" t="s">
        <v>40</v>
      </c>
      <c r="M244" t="s">
        <v>40</v>
      </c>
      <c r="N244">
        <v>134</v>
      </c>
      <c r="O244" t="s">
        <v>119</v>
      </c>
      <c r="P244" t="s">
        <v>41</v>
      </c>
      <c r="Q244" s="4">
        <v>44707</v>
      </c>
      <c r="U244" t="s">
        <v>225</v>
      </c>
      <c r="V244">
        <v>0</v>
      </c>
      <c r="AD244">
        <v>1</v>
      </c>
      <c r="AF244" s="18">
        <v>1</v>
      </c>
      <c r="AI244">
        <v>11</v>
      </c>
    </row>
    <row r="245" spans="1:35" x14ac:dyDescent="0.35">
      <c r="A245" t="s">
        <v>91</v>
      </c>
      <c r="B245" t="s">
        <v>24</v>
      </c>
      <c r="C245" t="s">
        <v>33</v>
      </c>
      <c r="D245" t="s">
        <v>34</v>
      </c>
      <c r="E245" t="s">
        <v>309</v>
      </c>
      <c r="F245" t="s">
        <v>310</v>
      </c>
      <c r="G245" s="20" t="s">
        <v>38</v>
      </c>
      <c r="H245" s="20" t="s">
        <v>39</v>
      </c>
      <c r="I245" t="s">
        <v>70</v>
      </c>
      <c r="J245" t="s">
        <v>70</v>
      </c>
      <c r="K245" t="s">
        <v>332</v>
      </c>
      <c r="L245" t="s">
        <v>40</v>
      </c>
      <c r="M245" t="s">
        <v>40</v>
      </c>
      <c r="N245">
        <v>135</v>
      </c>
      <c r="O245" t="s">
        <v>119</v>
      </c>
      <c r="P245" t="s">
        <v>41</v>
      </c>
      <c r="Q245" s="4">
        <v>44707</v>
      </c>
      <c r="U245" t="s">
        <v>225</v>
      </c>
      <c r="V245">
        <v>0</v>
      </c>
      <c r="AD245">
        <v>1</v>
      </c>
      <c r="AF245" s="18">
        <v>1</v>
      </c>
      <c r="AI245">
        <v>12</v>
      </c>
    </row>
    <row r="246" spans="1:35" x14ac:dyDescent="0.35">
      <c r="A246" t="s">
        <v>91</v>
      </c>
      <c r="B246" t="s">
        <v>24</v>
      </c>
      <c r="C246" t="s">
        <v>33</v>
      </c>
      <c r="D246" t="s">
        <v>34</v>
      </c>
      <c r="E246" t="s">
        <v>309</v>
      </c>
      <c r="F246" t="s">
        <v>310</v>
      </c>
      <c r="G246" s="20" t="s">
        <v>38</v>
      </c>
      <c r="H246" s="20" t="s">
        <v>39</v>
      </c>
      <c r="I246" t="s">
        <v>70</v>
      </c>
      <c r="J246" t="s">
        <v>70</v>
      </c>
      <c r="K246" t="s">
        <v>332</v>
      </c>
      <c r="L246" t="s">
        <v>40</v>
      </c>
      <c r="M246" t="s">
        <v>40</v>
      </c>
      <c r="N246">
        <v>136</v>
      </c>
      <c r="O246" t="s">
        <v>119</v>
      </c>
      <c r="P246" t="s">
        <v>41</v>
      </c>
      <c r="Q246" s="4">
        <v>44707</v>
      </c>
      <c r="U246" t="s">
        <v>225</v>
      </c>
      <c r="V246">
        <v>0</v>
      </c>
      <c r="AD246">
        <v>1</v>
      </c>
      <c r="AF246" s="18">
        <v>1</v>
      </c>
      <c r="AI246">
        <v>13</v>
      </c>
    </row>
    <row r="247" spans="1:35" x14ac:dyDescent="0.35">
      <c r="A247" t="s">
        <v>91</v>
      </c>
      <c r="B247" t="s">
        <v>24</v>
      </c>
      <c r="C247" t="s">
        <v>33</v>
      </c>
      <c r="D247" t="s">
        <v>34</v>
      </c>
      <c r="E247" t="s">
        <v>309</v>
      </c>
      <c r="F247" t="s">
        <v>310</v>
      </c>
      <c r="G247" s="20" t="s">
        <v>38</v>
      </c>
      <c r="H247" s="20" t="s">
        <v>39</v>
      </c>
      <c r="I247" t="s">
        <v>70</v>
      </c>
      <c r="J247" t="s">
        <v>70</v>
      </c>
      <c r="K247" t="s">
        <v>332</v>
      </c>
      <c r="L247" t="s">
        <v>40</v>
      </c>
      <c r="M247" t="s">
        <v>40</v>
      </c>
      <c r="N247">
        <v>137</v>
      </c>
      <c r="O247" t="s">
        <v>119</v>
      </c>
      <c r="P247" t="s">
        <v>41</v>
      </c>
      <c r="Q247" s="4">
        <v>44707</v>
      </c>
      <c r="U247" t="s">
        <v>225</v>
      </c>
      <c r="V247">
        <v>0</v>
      </c>
      <c r="AD247">
        <v>1</v>
      </c>
      <c r="AF247" s="18">
        <v>1</v>
      </c>
      <c r="AI247">
        <v>14</v>
      </c>
    </row>
    <row r="248" spans="1:35" x14ac:dyDescent="0.35">
      <c r="A248" t="s">
        <v>91</v>
      </c>
      <c r="B248" t="s">
        <v>24</v>
      </c>
      <c r="C248" t="s">
        <v>33</v>
      </c>
      <c r="D248" t="s">
        <v>34</v>
      </c>
      <c r="E248" t="s">
        <v>309</v>
      </c>
      <c r="F248" t="s">
        <v>310</v>
      </c>
      <c r="G248" s="20" t="s">
        <v>38</v>
      </c>
      <c r="H248" s="20" t="s">
        <v>39</v>
      </c>
      <c r="I248" t="s">
        <v>70</v>
      </c>
      <c r="J248" t="s">
        <v>70</v>
      </c>
      <c r="K248" t="s">
        <v>332</v>
      </c>
      <c r="L248" t="s">
        <v>40</v>
      </c>
      <c r="M248" t="s">
        <v>40</v>
      </c>
      <c r="N248">
        <v>138</v>
      </c>
      <c r="O248" t="s">
        <v>119</v>
      </c>
      <c r="P248" t="s">
        <v>41</v>
      </c>
      <c r="Q248" s="4">
        <v>44707</v>
      </c>
      <c r="U248" t="s">
        <v>225</v>
      </c>
      <c r="V248">
        <v>0</v>
      </c>
      <c r="AD248">
        <v>1</v>
      </c>
      <c r="AF248" s="18">
        <v>1</v>
      </c>
      <c r="AI248">
        <v>15</v>
      </c>
    </row>
    <row r="249" spans="1:35" x14ac:dyDescent="0.35">
      <c r="A249" t="s">
        <v>91</v>
      </c>
      <c r="B249" t="s">
        <v>24</v>
      </c>
      <c r="C249" t="s">
        <v>33</v>
      </c>
      <c r="D249" t="s">
        <v>34</v>
      </c>
      <c r="E249" t="s">
        <v>309</v>
      </c>
      <c r="F249" t="s">
        <v>310</v>
      </c>
      <c r="G249" s="20" t="s">
        <v>38</v>
      </c>
      <c r="H249" s="20" t="s">
        <v>39</v>
      </c>
      <c r="I249" t="s">
        <v>70</v>
      </c>
      <c r="J249" t="s">
        <v>70</v>
      </c>
      <c r="K249" t="s">
        <v>332</v>
      </c>
      <c r="L249" t="s">
        <v>40</v>
      </c>
      <c r="M249" t="s">
        <v>40</v>
      </c>
      <c r="N249">
        <v>139</v>
      </c>
      <c r="O249" t="s">
        <v>119</v>
      </c>
      <c r="P249" t="s">
        <v>41</v>
      </c>
      <c r="Q249" s="4">
        <v>44707</v>
      </c>
      <c r="U249" t="s">
        <v>225</v>
      </c>
      <c r="V249">
        <v>0</v>
      </c>
      <c r="AD249">
        <v>1</v>
      </c>
      <c r="AF249" s="18">
        <v>1</v>
      </c>
      <c r="AI249">
        <v>16</v>
      </c>
    </row>
    <row r="250" spans="1:35" x14ac:dyDescent="0.35">
      <c r="A250" t="s">
        <v>91</v>
      </c>
      <c r="B250" t="s">
        <v>24</v>
      </c>
      <c r="C250" t="s">
        <v>33</v>
      </c>
      <c r="D250" t="s">
        <v>34</v>
      </c>
      <c r="E250" t="s">
        <v>309</v>
      </c>
      <c r="F250" t="s">
        <v>310</v>
      </c>
      <c r="G250" s="20" t="s">
        <v>38</v>
      </c>
      <c r="H250" s="20" t="s">
        <v>39</v>
      </c>
      <c r="I250" t="s">
        <v>70</v>
      </c>
      <c r="J250" t="s">
        <v>70</v>
      </c>
      <c r="K250" t="s">
        <v>332</v>
      </c>
      <c r="L250" t="s">
        <v>40</v>
      </c>
      <c r="M250" t="s">
        <v>40</v>
      </c>
      <c r="N250">
        <v>140</v>
      </c>
      <c r="O250" t="s">
        <v>119</v>
      </c>
      <c r="P250" t="s">
        <v>41</v>
      </c>
      <c r="Q250" s="4">
        <v>44707</v>
      </c>
      <c r="U250" t="s">
        <v>225</v>
      </c>
      <c r="V250">
        <v>0</v>
      </c>
      <c r="AD250">
        <v>1</v>
      </c>
      <c r="AF250" s="18">
        <v>1</v>
      </c>
      <c r="AI250">
        <v>17</v>
      </c>
    </row>
    <row r="251" spans="1:35" x14ac:dyDescent="0.35">
      <c r="A251" t="s">
        <v>91</v>
      </c>
      <c r="B251" t="s">
        <v>24</v>
      </c>
      <c r="C251" t="s">
        <v>33</v>
      </c>
      <c r="D251" t="s">
        <v>34</v>
      </c>
      <c r="E251" t="s">
        <v>309</v>
      </c>
      <c r="F251" t="s">
        <v>310</v>
      </c>
      <c r="G251" s="20" t="s">
        <v>38</v>
      </c>
      <c r="H251" s="20" t="s">
        <v>39</v>
      </c>
      <c r="I251" t="s">
        <v>70</v>
      </c>
      <c r="J251" t="s">
        <v>70</v>
      </c>
      <c r="K251" t="s">
        <v>332</v>
      </c>
      <c r="L251" t="s">
        <v>40</v>
      </c>
      <c r="M251" t="s">
        <v>40</v>
      </c>
      <c r="N251">
        <v>141</v>
      </c>
      <c r="O251" t="s">
        <v>119</v>
      </c>
      <c r="P251" t="s">
        <v>41</v>
      </c>
      <c r="Q251" s="4">
        <v>44707</v>
      </c>
      <c r="U251" t="s">
        <v>225</v>
      </c>
      <c r="V251">
        <v>0</v>
      </c>
      <c r="AD251">
        <v>1</v>
      </c>
      <c r="AF251" s="18">
        <v>1</v>
      </c>
      <c r="AI251">
        <v>18</v>
      </c>
    </row>
    <row r="252" spans="1:35" x14ac:dyDescent="0.35">
      <c r="A252" t="s">
        <v>91</v>
      </c>
      <c r="B252" t="s">
        <v>24</v>
      </c>
      <c r="C252" t="s">
        <v>33</v>
      </c>
      <c r="D252" t="s">
        <v>34</v>
      </c>
      <c r="E252" t="s">
        <v>309</v>
      </c>
      <c r="F252" t="s">
        <v>310</v>
      </c>
      <c r="G252" s="20" t="s">
        <v>38</v>
      </c>
      <c r="H252" s="20" t="s">
        <v>39</v>
      </c>
      <c r="I252" t="s">
        <v>70</v>
      </c>
      <c r="J252" t="s">
        <v>70</v>
      </c>
      <c r="K252" t="s">
        <v>332</v>
      </c>
      <c r="L252" t="s">
        <v>40</v>
      </c>
      <c r="M252" t="s">
        <v>40</v>
      </c>
      <c r="N252">
        <v>142</v>
      </c>
      <c r="O252" t="s">
        <v>119</v>
      </c>
      <c r="P252" t="s">
        <v>41</v>
      </c>
      <c r="Q252" s="4">
        <v>44707</v>
      </c>
      <c r="U252" t="s">
        <v>225</v>
      </c>
      <c r="V252">
        <v>0</v>
      </c>
      <c r="AD252">
        <v>1</v>
      </c>
      <c r="AF252" s="18">
        <v>1</v>
      </c>
      <c r="AI252">
        <v>19</v>
      </c>
    </row>
    <row r="253" spans="1:35" x14ac:dyDescent="0.35">
      <c r="A253" t="s">
        <v>91</v>
      </c>
      <c r="B253" t="s">
        <v>24</v>
      </c>
      <c r="C253" t="s">
        <v>33</v>
      </c>
      <c r="D253" t="s">
        <v>34</v>
      </c>
      <c r="E253" t="s">
        <v>309</v>
      </c>
      <c r="F253" t="s">
        <v>310</v>
      </c>
      <c r="G253" s="20" t="s">
        <v>38</v>
      </c>
      <c r="H253" s="20" t="s">
        <v>39</v>
      </c>
      <c r="I253" t="s">
        <v>70</v>
      </c>
      <c r="J253" t="s">
        <v>70</v>
      </c>
      <c r="K253" t="s">
        <v>332</v>
      </c>
      <c r="L253" t="s">
        <v>40</v>
      </c>
      <c r="M253" t="s">
        <v>40</v>
      </c>
      <c r="N253">
        <v>143</v>
      </c>
      <c r="O253" t="s">
        <v>119</v>
      </c>
      <c r="P253" t="s">
        <v>41</v>
      </c>
      <c r="Q253" s="4">
        <v>44707</v>
      </c>
      <c r="U253" t="s">
        <v>225</v>
      </c>
      <c r="V253">
        <v>0</v>
      </c>
      <c r="AD253">
        <v>1</v>
      </c>
      <c r="AF253" s="18">
        <v>1</v>
      </c>
      <c r="AI253">
        <v>20</v>
      </c>
    </row>
    <row r="254" spans="1:35" x14ac:dyDescent="0.35">
      <c r="A254" t="s">
        <v>91</v>
      </c>
      <c r="B254" t="s">
        <v>24</v>
      </c>
      <c r="C254" t="s">
        <v>33</v>
      </c>
      <c r="D254" t="s">
        <v>34</v>
      </c>
      <c r="E254" t="s">
        <v>309</v>
      </c>
      <c r="F254" t="s">
        <v>310</v>
      </c>
      <c r="G254" s="20" t="s">
        <v>38</v>
      </c>
      <c r="H254" s="20" t="s">
        <v>39</v>
      </c>
      <c r="I254" t="s">
        <v>70</v>
      </c>
      <c r="J254" t="s">
        <v>70</v>
      </c>
      <c r="K254" t="s">
        <v>332</v>
      </c>
      <c r="L254" t="s">
        <v>40</v>
      </c>
      <c r="M254" t="s">
        <v>40</v>
      </c>
      <c r="N254">
        <v>144</v>
      </c>
      <c r="O254" t="s">
        <v>119</v>
      </c>
      <c r="P254" t="s">
        <v>41</v>
      </c>
      <c r="Q254" s="4">
        <v>44707</v>
      </c>
      <c r="U254" t="s">
        <v>225</v>
      </c>
      <c r="V254">
        <v>0</v>
      </c>
      <c r="AD254">
        <v>1</v>
      </c>
      <c r="AF254" s="18">
        <v>1</v>
      </c>
      <c r="AI254">
        <v>21</v>
      </c>
    </row>
    <row r="255" spans="1:35" x14ac:dyDescent="0.35">
      <c r="A255" t="s">
        <v>91</v>
      </c>
      <c r="B255" t="s">
        <v>24</v>
      </c>
      <c r="C255" t="s">
        <v>33</v>
      </c>
      <c r="D255" t="s">
        <v>34</v>
      </c>
      <c r="E255" t="s">
        <v>309</v>
      </c>
      <c r="F255" t="s">
        <v>310</v>
      </c>
      <c r="G255" s="20" t="s">
        <v>38</v>
      </c>
      <c r="H255" s="20" t="s">
        <v>39</v>
      </c>
      <c r="I255" t="s">
        <v>70</v>
      </c>
      <c r="J255" t="s">
        <v>70</v>
      </c>
      <c r="K255" t="s">
        <v>332</v>
      </c>
      <c r="L255" t="s">
        <v>40</v>
      </c>
      <c r="M255" t="s">
        <v>40</v>
      </c>
      <c r="N255">
        <v>145</v>
      </c>
      <c r="O255" t="s">
        <v>119</v>
      </c>
      <c r="P255" t="s">
        <v>41</v>
      </c>
      <c r="Q255" s="4">
        <v>44707</v>
      </c>
      <c r="U255" t="s">
        <v>225</v>
      </c>
      <c r="V255">
        <v>0</v>
      </c>
      <c r="AD255">
        <v>1</v>
      </c>
      <c r="AF255" s="18">
        <v>1</v>
      </c>
      <c r="AI255">
        <v>22</v>
      </c>
    </row>
    <row r="256" spans="1:35" x14ac:dyDescent="0.35">
      <c r="A256" t="s">
        <v>91</v>
      </c>
      <c r="B256" t="s">
        <v>24</v>
      </c>
      <c r="C256" t="s">
        <v>33</v>
      </c>
      <c r="D256" t="s">
        <v>34</v>
      </c>
      <c r="E256" t="s">
        <v>309</v>
      </c>
      <c r="F256" t="s">
        <v>310</v>
      </c>
      <c r="G256" s="20" t="s">
        <v>38</v>
      </c>
      <c r="H256" s="20" t="s">
        <v>39</v>
      </c>
      <c r="I256" t="s">
        <v>70</v>
      </c>
      <c r="J256" t="s">
        <v>70</v>
      </c>
      <c r="K256" t="s">
        <v>332</v>
      </c>
      <c r="L256" t="s">
        <v>40</v>
      </c>
      <c r="M256" t="s">
        <v>40</v>
      </c>
      <c r="N256">
        <v>146</v>
      </c>
      <c r="O256" t="s">
        <v>119</v>
      </c>
      <c r="P256" t="s">
        <v>41</v>
      </c>
      <c r="Q256" s="4">
        <v>44707</v>
      </c>
      <c r="U256" t="s">
        <v>225</v>
      </c>
      <c r="V256">
        <v>0</v>
      </c>
      <c r="AD256">
        <v>1</v>
      </c>
      <c r="AF256" s="18">
        <v>1</v>
      </c>
      <c r="AI256">
        <v>23</v>
      </c>
    </row>
    <row r="257" spans="1:35" x14ac:dyDescent="0.35">
      <c r="A257" t="s">
        <v>91</v>
      </c>
      <c r="B257" t="s">
        <v>24</v>
      </c>
      <c r="C257" t="s">
        <v>33</v>
      </c>
      <c r="D257" t="s">
        <v>34</v>
      </c>
      <c r="E257" t="s">
        <v>309</v>
      </c>
      <c r="F257" t="s">
        <v>310</v>
      </c>
      <c r="G257" s="20" t="s">
        <v>38</v>
      </c>
      <c r="H257" s="20" t="s">
        <v>39</v>
      </c>
      <c r="I257" t="s">
        <v>70</v>
      </c>
      <c r="J257" t="s">
        <v>70</v>
      </c>
      <c r="K257" t="s">
        <v>332</v>
      </c>
      <c r="L257" t="s">
        <v>40</v>
      </c>
      <c r="M257" t="s">
        <v>40</v>
      </c>
      <c r="N257">
        <v>147</v>
      </c>
      <c r="O257" t="s">
        <v>119</v>
      </c>
      <c r="P257" t="s">
        <v>41</v>
      </c>
      <c r="Q257" s="4">
        <v>44707</v>
      </c>
      <c r="U257" t="s">
        <v>225</v>
      </c>
      <c r="V257">
        <v>0</v>
      </c>
      <c r="AD257">
        <v>1</v>
      </c>
      <c r="AF257" s="18">
        <v>1</v>
      </c>
      <c r="AI257">
        <v>24</v>
      </c>
    </row>
    <row r="258" spans="1:35" x14ac:dyDescent="0.35">
      <c r="A258" t="s">
        <v>91</v>
      </c>
      <c r="B258" t="s">
        <v>24</v>
      </c>
      <c r="C258" t="s">
        <v>33</v>
      </c>
      <c r="D258" t="s">
        <v>34</v>
      </c>
      <c r="E258" t="s">
        <v>309</v>
      </c>
      <c r="F258" t="s">
        <v>310</v>
      </c>
      <c r="G258" s="20" t="s">
        <v>38</v>
      </c>
      <c r="H258" s="20" t="s">
        <v>39</v>
      </c>
      <c r="I258" t="s">
        <v>70</v>
      </c>
      <c r="J258" t="s">
        <v>70</v>
      </c>
      <c r="K258" t="s">
        <v>332</v>
      </c>
      <c r="L258" t="s">
        <v>40</v>
      </c>
      <c r="M258" t="s">
        <v>40</v>
      </c>
      <c r="N258">
        <v>148</v>
      </c>
      <c r="O258" t="s">
        <v>119</v>
      </c>
      <c r="P258" t="s">
        <v>41</v>
      </c>
      <c r="Q258" s="4">
        <v>44707</v>
      </c>
      <c r="U258" t="s">
        <v>225</v>
      </c>
      <c r="V258">
        <v>0</v>
      </c>
      <c r="AD258">
        <v>1</v>
      </c>
      <c r="AF258" s="18">
        <v>1</v>
      </c>
      <c r="AI258">
        <v>25</v>
      </c>
    </row>
    <row r="259" spans="1:35" x14ac:dyDescent="0.35">
      <c r="A259" t="s">
        <v>91</v>
      </c>
      <c r="B259" t="s">
        <v>24</v>
      </c>
      <c r="C259" t="s">
        <v>33</v>
      </c>
      <c r="D259" t="s">
        <v>34</v>
      </c>
      <c r="E259" t="s">
        <v>309</v>
      </c>
      <c r="F259" t="s">
        <v>310</v>
      </c>
      <c r="G259" s="20" t="s">
        <v>38</v>
      </c>
      <c r="H259" s="20" t="s">
        <v>39</v>
      </c>
      <c r="I259" t="s">
        <v>70</v>
      </c>
      <c r="J259" t="s">
        <v>70</v>
      </c>
      <c r="K259" t="s">
        <v>332</v>
      </c>
      <c r="L259" t="s">
        <v>40</v>
      </c>
      <c r="M259" t="s">
        <v>40</v>
      </c>
      <c r="N259">
        <v>149</v>
      </c>
      <c r="O259" t="s">
        <v>119</v>
      </c>
      <c r="P259" t="s">
        <v>41</v>
      </c>
      <c r="Q259" s="4">
        <v>44707</v>
      </c>
      <c r="U259" t="s">
        <v>225</v>
      </c>
      <c r="V259">
        <v>0</v>
      </c>
      <c r="AD259">
        <v>1</v>
      </c>
      <c r="AF259" s="18">
        <v>1</v>
      </c>
      <c r="AI259">
        <v>26</v>
      </c>
    </row>
    <row r="260" spans="1:35" x14ac:dyDescent="0.35">
      <c r="A260" t="s">
        <v>91</v>
      </c>
      <c r="B260" t="s">
        <v>24</v>
      </c>
      <c r="C260" t="s">
        <v>33</v>
      </c>
      <c r="D260" t="s">
        <v>34</v>
      </c>
      <c r="E260" t="s">
        <v>309</v>
      </c>
      <c r="F260" t="s">
        <v>310</v>
      </c>
      <c r="G260" s="20" t="s">
        <v>38</v>
      </c>
      <c r="H260" s="20" t="s">
        <v>39</v>
      </c>
      <c r="I260" t="s">
        <v>70</v>
      </c>
      <c r="J260" t="s">
        <v>70</v>
      </c>
      <c r="K260" t="s">
        <v>332</v>
      </c>
      <c r="L260" t="s">
        <v>40</v>
      </c>
      <c r="M260" t="s">
        <v>40</v>
      </c>
      <c r="N260">
        <v>150</v>
      </c>
      <c r="O260" t="s">
        <v>119</v>
      </c>
      <c r="P260" t="s">
        <v>41</v>
      </c>
      <c r="Q260" s="4">
        <v>44707</v>
      </c>
      <c r="U260" t="s">
        <v>225</v>
      </c>
      <c r="V260">
        <v>0</v>
      </c>
      <c r="AD260">
        <v>1</v>
      </c>
      <c r="AF260" s="18">
        <v>1</v>
      </c>
      <c r="AI260">
        <v>27</v>
      </c>
    </row>
    <row r="261" spans="1:35" x14ac:dyDescent="0.35">
      <c r="A261" t="s">
        <v>91</v>
      </c>
      <c r="B261" t="s">
        <v>24</v>
      </c>
      <c r="C261" t="s">
        <v>33</v>
      </c>
      <c r="D261" t="s">
        <v>34</v>
      </c>
      <c r="E261" t="s">
        <v>309</v>
      </c>
      <c r="F261" t="s">
        <v>310</v>
      </c>
      <c r="G261" s="20" t="s">
        <v>38</v>
      </c>
      <c r="H261" s="20" t="s">
        <v>39</v>
      </c>
      <c r="I261" t="s">
        <v>70</v>
      </c>
      <c r="J261" t="s">
        <v>70</v>
      </c>
      <c r="K261" t="s">
        <v>332</v>
      </c>
      <c r="L261" t="s">
        <v>40</v>
      </c>
      <c r="M261" t="s">
        <v>40</v>
      </c>
      <c r="N261">
        <v>151</v>
      </c>
      <c r="O261" t="s">
        <v>119</v>
      </c>
      <c r="P261" t="s">
        <v>41</v>
      </c>
      <c r="Q261" s="4">
        <v>44707</v>
      </c>
      <c r="U261" t="s">
        <v>225</v>
      </c>
      <c r="V261">
        <v>0</v>
      </c>
      <c r="AD261">
        <v>1</v>
      </c>
      <c r="AF261" s="18">
        <v>1</v>
      </c>
      <c r="AI261">
        <v>28</v>
      </c>
    </row>
    <row r="262" spans="1:35" x14ac:dyDescent="0.35">
      <c r="A262" t="s">
        <v>91</v>
      </c>
      <c r="B262" t="s">
        <v>24</v>
      </c>
      <c r="C262" t="s">
        <v>33</v>
      </c>
      <c r="D262" t="s">
        <v>34</v>
      </c>
      <c r="E262" t="s">
        <v>309</v>
      </c>
      <c r="F262" t="s">
        <v>310</v>
      </c>
      <c r="G262" s="20" t="s">
        <v>38</v>
      </c>
      <c r="H262" s="20" t="s">
        <v>39</v>
      </c>
      <c r="I262" t="s">
        <v>70</v>
      </c>
      <c r="J262" t="s">
        <v>70</v>
      </c>
      <c r="K262" t="s">
        <v>332</v>
      </c>
      <c r="L262" t="s">
        <v>40</v>
      </c>
      <c r="M262" t="s">
        <v>40</v>
      </c>
      <c r="N262">
        <v>152</v>
      </c>
      <c r="O262" t="s">
        <v>119</v>
      </c>
      <c r="P262" t="s">
        <v>41</v>
      </c>
      <c r="Q262" s="4">
        <v>44707</v>
      </c>
      <c r="U262" t="s">
        <v>225</v>
      </c>
      <c r="V262">
        <v>0</v>
      </c>
      <c r="AD262">
        <v>1</v>
      </c>
      <c r="AF262" s="18">
        <v>1</v>
      </c>
      <c r="AI262">
        <v>29</v>
      </c>
    </row>
    <row r="263" spans="1:35" x14ac:dyDescent="0.35">
      <c r="A263" t="s">
        <v>91</v>
      </c>
      <c r="B263" t="s">
        <v>24</v>
      </c>
      <c r="C263" t="s">
        <v>33</v>
      </c>
      <c r="D263" t="s">
        <v>34</v>
      </c>
      <c r="E263" t="s">
        <v>309</v>
      </c>
      <c r="F263" t="s">
        <v>310</v>
      </c>
      <c r="G263" s="20" t="s">
        <v>38</v>
      </c>
      <c r="H263" s="20" t="s">
        <v>39</v>
      </c>
      <c r="I263" t="s">
        <v>70</v>
      </c>
      <c r="J263" t="s">
        <v>70</v>
      </c>
      <c r="K263" t="s">
        <v>332</v>
      </c>
      <c r="L263" t="s">
        <v>40</v>
      </c>
      <c r="M263" t="s">
        <v>40</v>
      </c>
      <c r="N263">
        <v>153</v>
      </c>
      <c r="O263" t="s">
        <v>119</v>
      </c>
      <c r="P263" t="s">
        <v>41</v>
      </c>
      <c r="Q263" s="4">
        <v>44707</v>
      </c>
      <c r="U263" t="s">
        <v>225</v>
      </c>
      <c r="V263">
        <v>0</v>
      </c>
      <c r="AD263">
        <v>1</v>
      </c>
      <c r="AF263" s="18">
        <v>1</v>
      </c>
      <c r="AI263">
        <v>30</v>
      </c>
    </row>
    <row r="264" spans="1:35" x14ac:dyDescent="0.35">
      <c r="A264" t="s">
        <v>91</v>
      </c>
      <c r="B264" t="s">
        <v>24</v>
      </c>
      <c r="C264" t="s">
        <v>33</v>
      </c>
      <c r="D264" t="s">
        <v>34</v>
      </c>
      <c r="E264" t="s">
        <v>309</v>
      </c>
      <c r="F264" t="s">
        <v>42</v>
      </c>
      <c r="G264" s="20" t="s">
        <v>105</v>
      </c>
      <c r="H264" t="s">
        <v>7</v>
      </c>
      <c r="I264" t="str">
        <f>G264&amp;" "&amp;H264</f>
        <v>Austroplebeia species</v>
      </c>
      <c r="J264" t="s">
        <v>42</v>
      </c>
      <c r="K264" t="s">
        <v>334</v>
      </c>
      <c r="L264" t="s">
        <v>44</v>
      </c>
      <c r="M264" t="s">
        <v>106</v>
      </c>
      <c r="N264">
        <v>154</v>
      </c>
      <c r="O264" t="s">
        <v>119</v>
      </c>
      <c r="P264" t="s">
        <v>41</v>
      </c>
      <c r="Q264" s="4">
        <v>44707</v>
      </c>
      <c r="U264" t="s">
        <v>225</v>
      </c>
      <c r="V264">
        <v>0</v>
      </c>
      <c r="AD264">
        <v>1</v>
      </c>
      <c r="AF264" s="18">
        <v>1</v>
      </c>
      <c r="AI264">
        <v>31</v>
      </c>
    </row>
    <row r="265" spans="1:35" x14ac:dyDescent="0.35">
      <c r="A265" t="s">
        <v>91</v>
      </c>
      <c r="B265" t="s">
        <v>24</v>
      </c>
      <c r="C265" t="s">
        <v>33</v>
      </c>
      <c r="D265" t="s">
        <v>34</v>
      </c>
      <c r="E265" t="s">
        <v>309</v>
      </c>
      <c r="F265" t="s">
        <v>42</v>
      </c>
      <c r="G265" s="20" t="s">
        <v>105</v>
      </c>
      <c r="H265" t="s">
        <v>7</v>
      </c>
      <c r="I265" t="str">
        <f>G265&amp;" "&amp;H265</f>
        <v>Austroplebeia species</v>
      </c>
      <c r="J265" t="s">
        <v>42</v>
      </c>
      <c r="K265" t="s">
        <v>334</v>
      </c>
      <c r="L265" t="s">
        <v>44</v>
      </c>
      <c r="M265" t="s">
        <v>106</v>
      </c>
      <c r="N265">
        <v>155</v>
      </c>
      <c r="O265" t="s">
        <v>119</v>
      </c>
      <c r="P265" t="s">
        <v>41</v>
      </c>
      <c r="Q265" s="4">
        <v>44707</v>
      </c>
      <c r="U265" t="s">
        <v>225</v>
      </c>
      <c r="V265">
        <v>0</v>
      </c>
      <c r="AD265">
        <v>1</v>
      </c>
      <c r="AF265" s="18">
        <v>1</v>
      </c>
      <c r="AI265">
        <v>32</v>
      </c>
    </row>
    <row r="266" spans="1:35" x14ac:dyDescent="0.35">
      <c r="A266" t="s">
        <v>91</v>
      </c>
      <c r="B266" t="s">
        <v>24</v>
      </c>
      <c r="C266" t="s">
        <v>33</v>
      </c>
      <c r="D266" t="s">
        <v>34</v>
      </c>
      <c r="E266" t="s">
        <v>309</v>
      </c>
      <c r="F266" t="s">
        <v>42</v>
      </c>
      <c r="G266" s="20" t="s">
        <v>105</v>
      </c>
      <c r="H266" t="s">
        <v>7</v>
      </c>
      <c r="I266" t="str">
        <f>G266&amp;" "&amp;H266</f>
        <v>Austroplebeia species</v>
      </c>
      <c r="J266" t="s">
        <v>42</v>
      </c>
      <c r="K266" t="s">
        <v>334</v>
      </c>
      <c r="L266" t="s">
        <v>44</v>
      </c>
      <c r="M266" t="s">
        <v>106</v>
      </c>
      <c r="N266">
        <v>156</v>
      </c>
      <c r="O266" t="s">
        <v>119</v>
      </c>
      <c r="P266" t="s">
        <v>41</v>
      </c>
      <c r="Q266" s="4">
        <v>44707</v>
      </c>
      <c r="U266" t="s">
        <v>225</v>
      </c>
      <c r="V266">
        <v>0</v>
      </c>
      <c r="AD266">
        <v>1</v>
      </c>
      <c r="AF266" s="18">
        <v>1</v>
      </c>
      <c r="AI266">
        <v>33</v>
      </c>
    </row>
    <row r="267" spans="1:35" x14ac:dyDescent="0.35">
      <c r="A267" t="s">
        <v>91</v>
      </c>
      <c r="B267" t="s">
        <v>24</v>
      </c>
      <c r="C267" t="s">
        <v>33</v>
      </c>
      <c r="D267" t="s">
        <v>111</v>
      </c>
      <c r="I267" t="s">
        <v>111</v>
      </c>
      <c r="J267" t="s">
        <v>326</v>
      </c>
      <c r="K267" t="s">
        <v>330</v>
      </c>
      <c r="L267" t="s">
        <v>112</v>
      </c>
      <c r="M267" t="s">
        <v>112</v>
      </c>
      <c r="N267">
        <v>349</v>
      </c>
      <c r="O267" t="s">
        <v>119</v>
      </c>
      <c r="P267" t="s">
        <v>37</v>
      </c>
      <c r="Q267" s="4">
        <v>44728</v>
      </c>
      <c r="R267">
        <v>0</v>
      </c>
      <c r="U267" t="s">
        <v>225</v>
      </c>
      <c r="V267">
        <v>0</v>
      </c>
      <c r="AD267">
        <v>1</v>
      </c>
      <c r="AF267" s="18">
        <v>1</v>
      </c>
      <c r="AI267">
        <v>34</v>
      </c>
    </row>
    <row r="268" spans="1:35" x14ac:dyDescent="0.35">
      <c r="A268" t="s">
        <v>91</v>
      </c>
      <c r="B268" t="s">
        <v>24</v>
      </c>
      <c r="C268" t="s">
        <v>33</v>
      </c>
      <c r="D268" t="s">
        <v>57</v>
      </c>
      <c r="H268" s="22" t="s">
        <v>322</v>
      </c>
      <c r="I268" t="s">
        <v>258</v>
      </c>
      <c r="J268" t="s">
        <v>65</v>
      </c>
      <c r="K268" t="s">
        <v>333</v>
      </c>
      <c r="L268" t="s">
        <v>196</v>
      </c>
      <c r="M268" t="s">
        <v>113</v>
      </c>
      <c r="N268">
        <v>368</v>
      </c>
      <c r="O268" t="s">
        <v>119</v>
      </c>
      <c r="P268" t="s">
        <v>37</v>
      </c>
      <c r="Q268" s="4">
        <v>44727</v>
      </c>
      <c r="R268">
        <v>0</v>
      </c>
      <c r="U268" t="s">
        <v>225</v>
      </c>
      <c r="V268">
        <v>0</v>
      </c>
      <c r="AD268">
        <v>1</v>
      </c>
      <c r="AF268" s="18">
        <v>1</v>
      </c>
      <c r="AI268">
        <v>35</v>
      </c>
    </row>
    <row r="269" spans="1:35" x14ac:dyDescent="0.35">
      <c r="A269" t="s">
        <v>91</v>
      </c>
      <c r="B269" t="s">
        <v>24</v>
      </c>
      <c r="C269" t="s">
        <v>33</v>
      </c>
      <c r="D269" t="s">
        <v>57</v>
      </c>
      <c r="H269" s="22" t="s">
        <v>322</v>
      </c>
      <c r="I269" t="s">
        <v>258</v>
      </c>
      <c r="J269" t="s">
        <v>65</v>
      </c>
      <c r="K269" t="s">
        <v>333</v>
      </c>
      <c r="L269" t="s">
        <v>196</v>
      </c>
      <c r="M269" t="s">
        <v>113</v>
      </c>
      <c r="N269">
        <v>369</v>
      </c>
      <c r="O269" t="s">
        <v>119</v>
      </c>
      <c r="P269" t="s">
        <v>37</v>
      </c>
      <c r="Q269" s="4">
        <v>44728</v>
      </c>
      <c r="R269">
        <v>0</v>
      </c>
      <c r="U269" t="s">
        <v>225</v>
      </c>
      <c r="V269">
        <v>0</v>
      </c>
      <c r="AD269">
        <v>1</v>
      </c>
      <c r="AF269" s="18">
        <v>1</v>
      </c>
      <c r="AI269">
        <v>36</v>
      </c>
    </row>
    <row r="270" spans="1:35" x14ac:dyDescent="0.35">
      <c r="A270" t="s">
        <v>91</v>
      </c>
      <c r="B270" t="s">
        <v>24</v>
      </c>
      <c r="C270" t="s">
        <v>33</v>
      </c>
      <c r="D270" t="s">
        <v>57</v>
      </c>
      <c r="H270" s="22" t="s">
        <v>322</v>
      </c>
      <c r="I270" t="s">
        <v>258</v>
      </c>
      <c r="J270" t="s">
        <v>65</v>
      </c>
      <c r="K270" t="s">
        <v>333</v>
      </c>
      <c r="L270" t="s">
        <v>196</v>
      </c>
      <c r="M270" t="s">
        <v>113</v>
      </c>
      <c r="N270">
        <v>526</v>
      </c>
      <c r="O270" t="s">
        <v>119</v>
      </c>
      <c r="P270" t="s">
        <v>37</v>
      </c>
      <c r="Q270" s="4">
        <v>44728</v>
      </c>
      <c r="R270">
        <v>0</v>
      </c>
      <c r="S270" t="s">
        <v>171</v>
      </c>
      <c r="T270" t="s">
        <v>72</v>
      </c>
      <c r="U270" t="s">
        <v>271</v>
      </c>
      <c r="V270">
        <v>0</v>
      </c>
      <c r="AD270">
        <v>1</v>
      </c>
      <c r="AF270" s="18">
        <v>1</v>
      </c>
      <c r="AI270">
        <v>37</v>
      </c>
    </row>
    <row r="271" spans="1:35" x14ac:dyDescent="0.35">
      <c r="A271" t="s">
        <v>91</v>
      </c>
      <c r="B271" t="s">
        <v>24</v>
      </c>
      <c r="C271" t="s">
        <v>33</v>
      </c>
      <c r="D271" t="s">
        <v>65</v>
      </c>
      <c r="E271" t="s">
        <v>58</v>
      </c>
      <c r="G271" s="20" t="s">
        <v>307</v>
      </c>
      <c r="H271" t="s">
        <v>7</v>
      </c>
      <c r="I271" t="str">
        <f t="shared" ref="I271:I292" si="9">G271&amp;" "&amp;H271</f>
        <v>Lipotriches species</v>
      </c>
      <c r="J271" t="s">
        <v>65</v>
      </c>
      <c r="K271" t="s">
        <v>333</v>
      </c>
      <c r="L271" t="s">
        <v>196</v>
      </c>
      <c r="M271" t="s">
        <v>59</v>
      </c>
      <c r="N271">
        <v>350</v>
      </c>
      <c r="O271" t="s">
        <v>119</v>
      </c>
      <c r="P271" t="s">
        <v>37</v>
      </c>
      <c r="Q271" s="4">
        <v>44728</v>
      </c>
      <c r="R271">
        <v>1</v>
      </c>
      <c r="U271" t="s">
        <v>225</v>
      </c>
      <c r="V271">
        <v>0</v>
      </c>
      <c r="AD271">
        <v>1</v>
      </c>
      <c r="AF271" s="18">
        <v>1</v>
      </c>
      <c r="AI271">
        <v>38</v>
      </c>
    </row>
    <row r="272" spans="1:35" x14ac:dyDescent="0.35">
      <c r="A272" t="s">
        <v>91</v>
      </c>
      <c r="B272" t="s">
        <v>24</v>
      </c>
      <c r="C272" t="s">
        <v>33</v>
      </c>
      <c r="D272" t="s">
        <v>65</v>
      </c>
      <c r="E272" t="s">
        <v>58</v>
      </c>
      <c r="G272" s="20" t="s">
        <v>307</v>
      </c>
      <c r="H272" t="s">
        <v>7</v>
      </c>
      <c r="I272" t="str">
        <f t="shared" si="9"/>
        <v>Lipotriches species</v>
      </c>
      <c r="J272" t="s">
        <v>65</v>
      </c>
      <c r="K272" t="s">
        <v>333</v>
      </c>
      <c r="L272" t="s">
        <v>196</v>
      </c>
      <c r="M272" t="s">
        <v>59</v>
      </c>
      <c r="N272">
        <v>351</v>
      </c>
      <c r="O272" t="s">
        <v>119</v>
      </c>
      <c r="P272" t="s">
        <v>37</v>
      </c>
      <c r="Q272" s="4">
        <v>44728</v>
      </c>
      <c r="R272">
        <v>1</v>
      </c>
      <c r="S272" t="s">
        <v>74</v>
      </c>
      <c r="T272" t="s">
        <v>229</v>
      </c>
      <c r="U272" t="s">
        <v>229</v>
      </c>
      <c r="V272">
        <v>0</v>
      </c>
      <c r="AD272">
        <v>1</v>
      </c>
      <c r="AF272">
        <v>7</v>
      </c>
      <c r="AI272">
        <v>39</v>
      </c>
    </row>
    <row r="273" spans="1:35" x14ac:dyDescent="0.35">
      <c r="A273" t="s">
        <v>91</v>
      </c>
      <c r="B273" t="s">
        <v>24</v>
      </c>
      <c r="C273" t="s">
        <v>33</v>
      </c>
      <c r="D273" t="s">
        <v>65</v>
      </c>
      <c r="E273" t="s">
        <v>58</v>
      </c>
      <c r="G273" s="20" t="s">
        <v>307</v>
      </c>
      <c r="H273" t="s">
        <v>7</v>
      </c>
      <c r="I273" t="str">
        <f t="shared" si="9"/>
        <v>Lipotriches species</v>
      </c>
      <c r="J273" t="s">
        <v>65</v>
      </c>
      <c r="K273" t="s">
        <v>333</v>
      </c>
      <c r="L273" t="s">
        <v>196</v>
      </c>
      <c r="M273" t="s">
        <v>59</v>
      </c>
      <c r="N273">
        <v>352</v>
      </c>
      <c r="O273" t="s">
        <v>119</v>
      </c>
      <c r="P273" t="s">
        <v>37</v>
      </c>
      <c r="Q273" s="4">
        <v>44728</v>
      </c>
      <c r="R273">
        <v>1</v>
      </c>
      <c r="S273" t="s">
        <v>170</v>
      </c>
      <c r="T273" t="s">
        <v>229</v>
      </c>
      <c r="U273" t="s">
        <v>229</v>
      </c>
      <c r="V273">
        <v>0</v>
      </c>
      <c r="AD273">
        <v>1</v>
      </c>
      <c r="AF273">
        <v>7</v>
      </c>
      <c r="AI273">
        <v>40</v>
      </c>
    </row>
    <row r="274" spans="1:35" x14ac:dyDescent="0.35">
      <c r="A274" t="s">
        <v>91</v>
      </c>
      <c r="B274" t="s">
        <v>24</v>
      </c>
      <c r="C274" t="s">
        <v>33</v>
      </c>
      <c r="D274" t="s">
        <v>65</v>
      </c>
      <c r="E274" t="s">
        <v>58</v>
      </c>
      <c r="G274" s="20" t="s">
        <v>307</v>
      </c>
      <c r="H274" t="s">
        <v>7</v>
      </c>
      <c r="I274" t="str">
        <f t="shared" si="9"/>
        <v>Lipotriches species</v>
      </c>
      <c r="J274" t="s">
        <v>65</v>
      </c>
      <c r="K274" t="s">
        <v>333</v>
      </c>
      <c r="L274" t="s">
        <v>196</v>
      </c>
      <c r="M274" t="s">
        <v>59</v>
      </c>
      <c r="N274">
        <v>353</v>
      </c>
      <c r="O274" t="s">
        <v>119</v>
      </c>
      <c r="P274" t="s">
        <v>37</v>
      </c>
      <c r="Q274" s="4">
        <v>44728</v>
      </c>
      <c r="R274">
        <v>1</v>
      </c>
      <c r="S274" t="s">
        <v>170</v>
      </c>
      <c r="T274" t="s">
        <v>229</v>
      </c>
      <c r="U274" t="s">
        <v>229</v>
      </c>
      <c r="V274">
        <v>0</v>
      </c>
      <c r="AD274">
        <v>1</v>
      </c>
      <c r="AF274">
        <v>7</v>
      </c>
      <c r="AI274">
        <v>41</v>
      </c>
    </row>
    <row r="275" spans="1:35" x14ac:dyDescent="0.35">
      <c r="A275" t="s">
        <v>91</v>
      </c>
      <c r="B275" t="s">
        <v>24</v>
      </c>
      <c r="C275" t="s">
        <v>33</v>
      </c>
      <c r="D275" t="s">
        <v>65</v>
      </c>
      <c r="E275" t="s">
        <v>58</v>
      </c>
      <c r="G275" s="20" t="s">
        <v>307</v>
      </c>
      <c r="H275" t="s">
        <v>7</v>
      </c>
      <c r="I275" t="str">
        <f t="shared" si="9"/>
        <v>Lipotriches species</v>
      </c>
      <c r="J275" t="s">
        <v>65</v>
      </c>
      <c r="K275" t="s">
        <v>333</v>
      </c>
      <c r="L275" t="s">
        <v>196</v>
      </c>
      <c r="M275" t="s">
        <v>59</v>
      </c>
      <c r="N275">
        <v>354</v>
      </c>
      <c r="O275" t="s">
        <v>119</v>
      </c>
      <c r="P275" t="s">
        <v>37</v>
      </c>
      <c r="Q275" s="4">
        <v>44728</v>
      </c>
      <c r="R275">
        <v>1</v>
      </c>
      <c r="S275" s="3" t="s">
        <v>170</v>
      </c>
      <c r="T275" t="s">
        <v>229</v>
      </c>
      <c r="U275" t="s">
        <v>229</v>
      </c>
      <c r="V275">
        <v>0</v>
      </c>
      <c r="AD275">
        <v>1</v>
      </c>
      <c r="AF275">
        <v>7</v>
      </c>
      <c r="AI275">
        <v>42</v>
      </c>
    </row>
    <row r="276" spans="1:35" x14ac:dyDescent="0.35">
      <c r="A276" t="s">
        <v>91</v>
      </c>
      <c r="B276" t="s">
        <v>24</v>
      </c>
      <c r="C276" t="s">
        <v>33</v>
      </c>
      <c r="D276" t="s">
        <v>65</v>
      </c>
      <c r="E276" t="s">
        <v>58</v>
      </c>
      <c r="G276" s="20" t="s">
        <v>307</v>
      </c>
      <c r="H276" t="s">
        <v>7</v>
      </c>
      <c r="I276" t="str">
        <f t="shared" si="9"/>
        <v>Lipotriches species</v>
      </c>
      <c r="J276" t="s">
        <v>65</v>
      </c>
      <c r="K276" t="s">
        <v>333</v>
      </c>
      <c r="L276" t="s">
        <v>196</v>
      </c>
      <c r="M276" t="s">
        <v>59</v>
      </c>
      <c r="N276">
        <v>356</v>
      </c>
      <c r="O276" t="s">
        <v>119</v>
      </c>
      <c r="P276" t="s">
        <v>37</v>
      </c>
      <c r="Q276" s="4">
        <v>44728</v>
      </c>
      <c r="R276">
        <v>1</v>
      </c>
      <c r="S276" t="s">
        <v>80</v>
      </c>
      <c r="U276" t="s">
        <v>225</v>
      </c>
      <c r="V276">
        <v>0</v>
      </c>
      <c r="AD276">
        <v>1</v>
      </c>
      <c r="AF276">
        <v>9</v>
      </c>
      <c r="AI276">
        <v>43</v>
      </c>
    </row>
    <row r="277" spans="1:35" x14ac:dyDescent="0.35">
      <c r="A277" t="s">
        <v>91</v>
      </c>
      <c r="B277" t="s">
        <v>24</v>
      </c>
      <c r="C277" t="s">
        <v>33</v>
      </c>
      <c r="D277" t="s">
        <v>65</v>
      </c>
      <c r="E277" t="s">
        <v>58</v>
      </c>
      <c r="G277" s="20" t="s">
        <v>60</v>
      </c>
      <c r="H277" t="s">
        <v>7</v>
      </c>
      <c r="I277" t="str">
        <f t="shared" si="9"/>
        <v>Mellitidia species</v>
      </c>
      <c r="J277" t="s">
        <v>65</v>
      </c>
      <c r="K277" t="s">
        <v>333</v>
      </c>
      <c r="L277" t="s">
        <v>196</v>
      </c>
      <c r="M277" t="s">
        <v>61</v>
      </c>
      <c r="N277">
        <v>357</v>
      </c>
      <c r="O277" t="s">
        <v>119</v>
      </c>
      <c r="P277" t="s">
        <v>30</v>
      </c>
      <c r="Q277" s="4">
        <v>44714</v>
      </c>
      <c r="R277">
        <v>0</v>
      </c>
      <c r="S277" t="s">
        <v>167</v>
      </c>
      <c r="U277" t="s">
        <v>225</v>
      </c>
      <c r="V277">
        <v>0</v>
      </c>
      <c r="AD277">
        <v>1</v>
      </c>
      <c r="AF277">
        <v>42</v>
      </c>
      <c r="AI277">
        <v>44</v>
      </c>
    </row>
    <row r="278" spans="1:35" x14ac:dyDescent="0.35">
      <c r="A278" t="s">
        <v>91</v>
      </c>
      <c r="B278" t="s">
        <v>24</v>
      </c>
      <c r="C278" t="s">
        <v>33</v>
      </c>
      <c r="D278" t="s">
        <v>65</v>
      </c>
      <c r="E278" t="s">
        <v>58</v>
      </c>
      <c r="G278" s="20" t="s">
        <v>60</v>
      </c>
      <c r="H278" t="s">
        <v>7</v>
      </c>
      <c r="I278" t="str">
        <f t="shared" si="9"/>
        <v>Mellitidia species</v>
      </c>
      <c r="J278" t="s">
        <v>65</v>
      </c>
      <c r="K278" t="s">
        <v>333</v>
      </c>
      <c r="L278" t="s">
        <v>196</v>
      </c>
      <c r="M278" t="s">
        <v>61</v>
      </c>
      <c r="N278">
        <v>358</v>
      </c>
      <c r="O278" t="s">
        <v>119</v>
      </c>
      <c r="P278" t="s">
        <v>56</v>
      </c>
      <c r="Q278" s="4">
        <v>44734</v>
      </c>
      <c r="R278">
        <v>0</v>
      </c>
      <c r="S278" t="s">
        <v>167</v>
      </c>
      <c r="U278" t="s">
        <v>225</v>
      </c>
      <c r="V278">
        <v>0</v>
      </c>
      <c r="AD278">
        <v>1</v>
      </c>
      <c r="AF278">
        <v>29</v>
      </c>
      <c r="AI278">
        <v>45</v>
      </c>
    </row>
    <row r="279" spans="1:35" x14ac:dyDescent="0.35">
      <c r="A279" t="s">
        <v>91</v>
      </c>
      <c r="B279" t="s">
        <v>24</v>
      </c>
      <c r="C279" t="s">
        <v>33</v>
      </c>
      <c r="D279" t="s">
        <v>65</v>
      </c>
      <c r="E279" t="s">
        <v>58</v>
      </c>
      <c r="G279" s="20" t="s">
        <v>60</v>
      </c>
      <c r="H279" t="s">
        <v>7</v>
      </c>
      <c r="I279" t="str">
        <f t="shared" si="9"/>
        <v>Mellitidia species</v>
      </c>
      <c r="J279" t="s">
        <v>65</v>
      </c>
      <c r="K279" t="s">
        <v>333</v>
      </c>
      <c r="L279" t="s">
        <v>196</v>
      </c>
      <c r="M279" t="s">
        <v>61</v>
      </c>
      <c r="N279">
        <v>359</v>
      </c>
      <c r="O279" t="s">
        <v>119</v>
      </c>
      <c r="P279" t="s">
        <v>56</v>
      </c>
      <c r="Q279" s="4">
        <v>44734</v>
      </c>
      <c r="R279">
        <v>0</v>
      </c>
      <c r="S279" t="s">
        <v>108</v>
      </c>
      <c r="U279" t="s">
        <v>225</v>
      </c>
      <c r="V279">
        <v>0</v>
      </c>
      <c r="AD279">
        <v>1</v>
      </c>
      <c r="AF279">
        <v>29</v>
      </c>
      <c r="AI279">
        <v>46</v>
      </c>
    </row>
    <row r="280" spans="1:35" x14ac:dyDescent="0.35">
      <c r="A280" t="s">
        <v>91</v>
      </c>
      <c r="B280" t="s">
        <v>24</v>
      </c>
      <c r="C280" t="s">
        <v>33</v>
      </c>
      <c r="D280" t="s">
        <v>65</v>
      </c>
      <c r="E280" t="s">
        <v>58</v>
      </c>
      <c r="G280" s="20" t="s">
        <v>60</v>
      </c>
      <c r="H280" t="s">
        <v>7</v>
      </c>
      <c r="I280" t="str">
        <f t="shared" si="9"/>
        <v>Mellitidia species</v>
      </c>
      <c r="J280" t="s">
        <v>65</v>
      </c>
      <c r="K280" t="s">
        <v>333</v>
      </c>
      <c r="L280" t="s">
        <v>196</v>
      </c>
      <c r="M280" t="s">
        <v>61</v>
      </c>
      <c r="N280">
        <v>360</v>
      </c>
      <c r="O280" t="s">
        <v>119</v>
      </c>
      <c r="P280" t="s">
        <v>56</v>
      </c>
      <c r="Q280" s="4">
        <v>44734</v>
      </c>
      <c r="R280">
        <v>0</v>
      </c>
      <c r="U280" t="s">
        <v>225</v>
      </c>
      <c r="V280">
        <v>0</v>
      </c>
      <c r="AD280">
        <v>1</v>
      </c>
      <c r="AF280">
        <v>17</v>
      </c>
      <c r="AI280">
        <v>47</v>
      </c>
    </row>
    <row r="281" spans="1:35" x14ac:dyDescent="0.35">
      <c r="A281" t="s">
        <v>91</v>
      </c>
      <c r="B281" t="s">
        <v>24</v>
      </c>
      <c r="C281" t="s">
        <v>33</v>
      </c>
      <c r="D281" t="s">
        <v>65</v>
      </c>
      <c r="E281" t="s">
        <v>58</v>
      </c>
      <c r="G281" s="20" t="s">
        <v>60</v>
      </c>
      <c r="H281" t="s">
        <v>7</v>
      </c>
      <c r="I281" t="str">
        <f t="shared" si="9"/>
        <v>Mellitidia species</v>
      </c>
      <c r="J281" t="s">
        <v>65</v>
      </c>
      <c r="K281" t="s">
        <v>333</v>
      </c>
      <c r="L281" t="s">
        <v>196</v>
      </c>
      <c r="M281" t="s">
        <v>61</v>
      </c>
      <c r="N281">
        <v>361</v>
      </c>
      <c r="O281" t="s">
        <v>119</v>
      </c>
      <c r="P281" t="s">
        <v>56</v>
      </c>
      <c r="Q281" s="4">
        <v>44734</v>
      </c>
      <c r="R281">
        <v>1</v>
      </c>
      <c r="S281" t="s">
        <v>171</v>
      </c>
      <c r="T281" t="s">
        <v>72</v>
      </c>
      <c r="U281" t="s">
        <v>271</v>
      </c>
      <c r="V281">
        <v>0</v>
      </c>
      <c r="AD281">
        <v>1</v>
      </c>
      <c r="AF281">
        <v>13</v>
      </c>
      <c r="AI281">
        <v>48</v>
      </c>
    </row>
    <row r="282" spans="1:35" x14ac:dyDescent="0.35">
      <c r="A282" t="s">
        <v>91</v>
      </c>
      <c r="B282" t="s">
        <v>24</v>
      </c>
      <c r="C282" t="s">
        <v>33</v>
      </c>
      <c r="D282" t="s">
        <v>65</v>
      </c>
      <c r="E282" t="s">
        <v>58</v>
      </c>
      <c r="G282" s="20" t="s">
        <v>60</v>
      </c>
      <c r="H282" t="s">
        <v>7</v>
      </c>
      <c r="I282" t="str">
        <f t="shared" si="9"/>
        <v>Mellitidia species</v>
      </c>
      <c r="J282" t="s">
        <v>65</v>
      </c>
      <c r="K282" t="s">
        <v>333</v>
      </c>
      <c r="L282" t="s">
        <v>196</v>
      </c>
      <c r="M282" t="s">
        <v>61</v>
      </c>
      <c r="N282">
        <v>362</v>
      </c>
      <c r="O282" t="s">
        <v>119</v>
      </c>
      <c r="P282" t="s">
        <v>56</v>
      </c>
      <c r="Q282" s="4">
        <v>44734</v>
      </c>
      <c r="R282">
        <v>1</v>
      </c>
      <c r="S282" t="s">
        <v>171</v>
      </c>
      <c r="T282" t="s">
        <v>72</v>
      </c>
      <c r="U282" t="s">
        <v>271</v>
      </c>
      <c r="V282">
        <v>0</v>
      </c>
      <c r="AD282">
        <v>1</v>
      </c>
      <c r="AF282">
        <v>13</v>
      </c>
      <c r="AI282">
        <v>49</v>
      </c>
    </row>
    <row r="283" spans="1:35" x14ac:dyDescent="0.35">
      <c r="A283" t="s">
        <v>91</v>
      </c>
      <c r="B283" t="s">
        <v>24</v>
      </c>
      <c r="C283" t="s">
        <v>33</v>
      </c>
      <c r="D283" t="s">
        <v>65</v>
      </c>
      <c r="E283" t="s">
        <v>58</v>
      </c>
      <c r="G283" s="20" t="s">
        <v>60</v>
      </c>
      <c r="H283" t="s">
        <v>7</v>
      </c>
      <c r="I283" t="str">
        <f t="shared" si="9"/>
        <v>Mellitidia species</v>
      </c>
      <c r="J283" t="s">
        <v>65</v>
      </c>
      <c r="K283" t="s">
        <v>333</v>
      </c>
      <c r="L283" t="s">
        <v>196</v>
      </c>
      <c r="M283" t="s">
        <v>61</v>
      </c>
      <c r="N283">
        <v>363</v>
      </c>
      <c r="O283" t="s">
        <v>119</v>
      </c>
      <c r="P283" t="s">
        <v>56</v>
      </c>
      <c r="Q283" s="4">
        <v>44734</v>
      </c>
      <c r="R283">
        <v>1</v>
      </c>
      <c r="S283" t="s">
        <v>171</v>
      </c>
      <c r="T283" t="s">
        <v>72</v>
      </c>
      <c r="U283" t="s">
        <v>271</v>
      </c>
      <c r="V283">
        <v>0</v>
      </c>
      <c r="AD283">
        <v>1</v>
      </c>
      <c r="AF283">
        <v>13</v>
      </c>
      <c r="AI283">
        <v>50</v>
      </c>
    </row>
    <row r="284" spans="1:35" x14ac:dyDescent="0.35">
      <c r="A284" t="s">
        <v>91</v>
      </c>
      <c r="B284" t="s">
        <v>24</v>
      </c>
      <c r="C284" t="s">
        <v>33</v>
      </c>
      <c r="D284" t="s">
        <v>52</v>
      </c>
      <c r="E284" t="s">
        <v>53</v>
      </c>
      <c r="G284" t="s">
        <v>54</v>
      </c>
      <c r="H284" t="s">
        <v>7</v>
      </c>
      <c r="I284" t="str">
        <f t="shared" si="9"/>
        <v>Palaeorhiza species</v>
      </c>
      <c r="J284" t="s">
        <v>249</v>
      </c>
      <c r="K284" t="s">
        <v>332</v>
      </c>
      <c r="L284" t="s">
        <v>268</v>
      </c>
      <c r="M284" t="s">
        <v>55</v>
      </c>
      <c r="N284">
        <v>346</v>
      </c>
      <c r="O284" t="s">
        <v>119</v>
      </c>
      <c r="P284" t="s">
        <v>56</v>
      </c>
      <c r="Q284" s="4">
        <v>44734</v>
      </c>
      <c r="R284">
        <v>0</v>
      </c>
      <c r="U284" t="s">
        <v>225</v>
      </c>
      <c r="V284">
        <v>0</v>
      </c>
      <c r="AD284">
        <v>1</v>
      </c>
      <c r="AF284">
        <v>29</v>
      </c>
      <c r="AI284">
        <v>51</v>
      </c>
    </row>
    <row r="285" spans="1:35" x14ac:dyDescent="0.35">
      <c r="A285" t="s">
        <v>91</v>
      </c>
      <c r="B285" t="s">
        <v>24</v>
      </c>
      <c r="C285" t="s">
        <v>33</v>
      </c>
      <c r="D285" t="s">
        <v>52</v>
      </c>
      <c r="E285" t="s">
        <v>53</v>
      </c>
      <c r="G285" t="s">
        <v>54</v>
      </c>
      <c r="H285" t="s">
        <v>7</v>
      </c>
      <c r="I285" t="str">
        <f t="shared" si="9"/>
        <v>Palaeorhiza species</v>
      </c>
      <c r="J285" t="s">
        <v>249</v>
      </c>
      <c r="K285" t="s">
        <v>332</v>
      </c>
      <c r="L285" t="s">
        <v>268</v>
      </c>
      <c r="M285" t="s">
        <v>55</v>
      </c>
      <c r="N285">
        <v>347</v>
      </c>
      <c r="O285" t="s">
        <v>119</v>
      </c>
      <c r="P285" t="s">
        <v>56</v>
      </c>
      <c r="Q285" s="4">
        <v>44734</v>
      </c>
      <c r="R285">
        <v>0</v>
      </c>
      <c r="S285" t="s">
        <v>74</v>
      </c>
      <c r="T285" t="s">
        <v>229</v>
      </c>
      <c r="U285" t="s">
        <v>229</v>
      </c>
      <c r="V285">
        <v>0</v>
      </c>
      <c r="AD285">
        <v>1</v>
      </c>
      <c r="AF285">
        <v>17</v>
      </c>
      <c r="AI285">
        <v>52</v>
      </c>
    </row>
    <row r="286" spans="1:35" x14ac:dyDescent="0.35">
      <c r="A286" t="s">
        <v>91</v>
      </c>
      <c r="B286" t="s">
        <v>24</v>
      </c>
      <c r="C286" t="s">
        <v>33</v>
      </c>
      <c r="D286" t="s">
        <v>52</v>
      </c>
      <c r="E286" t="s">
        <v>53</v>
      </c>
      <c r="G286" t="s">
        <v>54</v>
      </c>
      <c r="H286" t="s">
        <v>7</v>
      </c>
      <c r="I286" t="str">
        <f t="shared" si="9"/>
        <v>Palaeorhiza species</v>
      </c>
      <c r="J286" t="s">
        <v>249</v>
      </c>
      <c r="K286" t="s">
        <v>332</v>
      </c>
      <c r="L286" t="s">
        <v>268</v>
      </c>
      <c r="M286" t="s">
        <v>55</v>
      </c>
      <c r="N286">
        <v>348</v>
      </c>
      <c r="O286" t="s">
        <v>119</v>
      </c>
      <c r="P286" t="s">
        <v>56</v>
      </c>
      <c r="Q286" s="4">
        <v>44734</v>
      </c>
      <c r="R286">
        <v>1</v>
      </c>
      <c r="S286" t="s">
        <v>74</v>
      </c>
      <c r="T286" t="s">
        <v>229</v>
      </c>
      <c r="U286" t="s">
        <v>229</v>
      </c>
      <c r="V286">
        <v>0</v>
      </c>
      <c r="AD286">
        <v>1</v>
      </c>
      <c r="AF286">
        <v>15</v>
      </c>
      <c r="AI286">
        <v>53</v>
      </c>
    </row>
    <row r="287" spans="1:35" x14ac:dyDescent="0.35">
      <c r="A287" t="s">
        <v>91</v>
      </c>
      <c r="B287" t="s">
        <v>24</v>
      </c>
      <c r="C287" t="s">
        <v>33</v>
      </c>
      <c r="D287" t="s">
        <v>65</v>
      </c>
      <c r="E287" t="s">
        <v>62</v>
      </c>
      <c r="F287" t="s">
        <v>316</v>
      </c>
      <c r="G287" s="20" t="s">
        <v>314</v>
      </c>
      <c r="H287" s="20" t="s">
        <v>63</v>
      </c>
      <c r="I287" t="str">
        <f t="shared" si="9"/>
        <v xml:space="preserve">Patellapis stirlingi </v>
      </c>
      <c r="J287" t="s">
        <v>65</v>
      </c>
      <c r="K287" t="s">
        <v>333</v>
      </c>
      <c r="L287" t="s">
        <v>196</v>
      </c>
      <c r="M287" t="s">
        <v>64</v>
      </c>
      <c r="N287">
        <v>364</v>
      </c>
      <c r="O287" t="s">
        <v>119</v>
      </c>
      <c r="P287" t="s">
        <v>30</v>
      </c>
      <c r="Q287" s="4">
        <v>44714</v>
      </c>
      <c r="R287">
        <v>0</v>
      </c>
      <c r="U287" t="s">
        <v>225</v>
      </c>
      <c r="V287">
        <v>0</v>
      </c>
      <c r="AD287">
        <v>1</v>
      </c>
      <c r="AF287">
        <v>30</v>
      </c>
      <c r="AI287">
        <v>55</v>
      </c>
    </row>
    <row r="288" spans="1:35" x14ac:dyDescent="0.35">
      <c r="A288" t="s">
        <v>91</v>
      </c>
      <c r="B288" t="s">
        <v>24</v>
      </c>
      <c r="C288" t="s">
        <v>33</v>
      </c>
      <c r="D288" t="s">
        <v>65</v>
      </c>
      <c r="E288" t="s">
        <v>62</v>
      </c>
      <c r="F288" t="s">
        <v>316</v>
      </c>
      <c r="G288" s="20" t="s">
        <v>314</v>
      </c>
      <c r="H288" s="20" t="s">
        <v>63</v>
      </c>
      <c r="I288" t="str">
        <f t="shared" si="9"/>
        <v xml:space="preserve">Patellapis stirlingi </v>
      </c>
      <c r="J288" t="s">
        <v>65</v>
      </c>
      <c r="K288" t="s">
        <v>333</v>
      </c>
      <c r="L288" t="s">
        <v>196</v>
      </c>
      <c r="M288" t="s">
        <v>64</v>
      </c>
      <c r="N288">
        <v>365</v>
      </c>
      <c r="O288" t="s">
        <v>119</v>
      </c>
      <c r="P288" t="s">
        <v>41</v>
      </c>
      <c r="Q288" s="4">
        <v>44707</v>
      </c>
      <c r="S288" t="s">
        <v>171</v>
      </c>
      <c r="T288" t="s">
        <v>72</v>
      </c>
      <c r="U288" t="s">
        <v>271</v>
      </c>
      <c r="V288">
        <v>0</v>
      </c>
      <c r="AD288">
        <v>1</v>
      </c>
      <c r="AF288">
        <v>36</v>
      </c>
      <c r="AI288">
        <v>54</v>
      </c>
    </row>
    <row r="289" spans="1:35" x14ac:dyDescent="0.35">
      <c r="A289" t="s">
        <v>91</v>
      </c>
      <c r="B289" t="s">
        <v>24</v>
      </c>
      <c r="C289" t="s">
        <v>33</v>
      </c>
      <c r="D289" t="s">
        <v>65</v>
      </c>
      <c r="E289" t="s">
        <v>62</v>
      </c>
      <c r="F289" t="s">
        <v>316</v>
      </c>
      <c r="G289" s="20" t="s">
        <v>314</v>
      </c>
      <c r="H289" s="20" t="s">
        <v>63</v>
      </c>
      <c r="I289" t="str">
        <f t="shared" si="9"/>
        <v xml:space="preserve">Patellapis stirlingi </v>
      </c>
      <c r="J289" t="s">
        <v>65</v>
      </c>
      <c r="K289" t="s">
        <v>333</v>
      </c>
      <c r="L289" t="s">
        <v>196</v>
      </c>
      <c r="M289" t="s">
        <v>64</v>
      </c>
      <c r="N289">
        <v>366</v>
      </c>
      <c r="O289" t="s">
        <v>119</v>
      </c>
      <c r="P289" t="s">
        <v>30</v>
      </c>
      <c r="Q289" s="4">
        <v>44714</v>
      </c>
      <c r="R289">
        <v>0</v>
      </c>
      <c r="U289" t="s">
        <v>225</v>
      </c>
      <c r="V289">
        <v>0</v>
      </c>
      <c r="AD289">
        <v>1</v>
      </c>
      <c r="AF289">
        <v>19</v>
      </c>
      <c r="AI289">
        <v>56</v>
      </c>
    </row>
    <row r="290" spans="1:35" x14ac:dyDescent="0.35">
      <c r="A290" t="s">
        <v>91</v>
      </c>
      <c r="B290" t="s">
        <v>24</v>
      </c>
      <c r="C290" t="s">
        <v>33</v>
      </c>
      <c r="D290" t="s">
        <v>65</v>
      </c>
      <c r="E290" t="s">
        <v>62</v>
      </c>
      <c r="F290" t="s">
        <v>316</v>
      </c>
      <c r="G290" s="20" t="s">
        <v>314</v>
      </c>
      <c r="H290" s="20" t="s">
        <v>63</v>
      </c>
      <c r="I290" t="str">
        <f t="shared" si="9"/>
        <v xml:space="preserve">Patellapis stirlingi </v>
      </c>
      <c r="J290" t="s">
        <v>65</v>
      </c>
      <c r="K290" t="s">
        <v>333</v>
      </c>
      <c r="L290" t="s">
        <v>196</v>
      </c>
      <c r="M290" t="s">
        <v>64</v>
      </c>
      <c r="N290">
        <v>367</v>
      </c>
      <c r="O290" t="s">
        <v>119</v>
      </c>
      <c r="P290" t="s">
        <v>56</v>
      </c>
      <c r="Q290" s="4">
        <v>44734</v>
      </c>
      <c r="R290">
        <v>0</v>
      </c>
      <c r="U290" t="s">
        <v>225</v>
      </c>
      <c r="V290">
        <v>0</v>
      </c>
      <c r="AD290">
        <v>1</v>
      </c>
      <c r="AF290">
        <v>13</v>
      </c>
      <c r="AI290">
        <v>58</v>
      </c>
    </row>
    <row r="291" spans="1:35" x14ac:dyDescent="0.35">
      <c r="A291" t="s">
        <v>91</v>
      </c>
      <c r="B291" t="s">
        <v>24</v>
      </c>
      <c r="C291" t="s">
        <v>33</v>
      </c>
      <c r="D291" t="s">
        <v>65</v>
      </c>
      <c r="E291" t="s">
        <v>62</v>
      </c>
      <c r="F291" t="s">
        <v>316</v>
      </c>
      <c r="G291" s="20" t="s">
        <v>314</v>
      </c>
      <c r="H291" s="20" t="s">
        <v>63</v>
      </c>
      <c r="I291" t="str">
        <f t="shared" si="9"/>
        <v xml:space="preserve">Patellapis stirlingi </v>
      </c>
      <c r="J291" t="s">
        <v>65</v>
      </c>
      <c r="K291" t="s">
        <v>333</v>
      </c>
      <c r="L291" t="s">
        <v>196</v>
      </c>
      <c r="M291" t="s">
        <v>64</v>
      </c>
      <c r="N291">
        <v>370</v>
      </c>
      <c r="O291" t="s">
        <v>119</v>
      </c>
      <c r="P291" t="s">
        <v>30</v>
      </c>
      <c r="Q291" s="4">
        <v>44714</v>
      </c>
      <c r="R291">
        <v>0</v>
      </c>
      <c r="S291" t="s">
        <v>171</v>
      </c>
      <c r="T291" t="s">
        <v>72</v>
      </c>
      <c r="U291" t="s">
        <v>271</v>
      </c>
      <c r="V291">
        <v>0</v>
      </c>
      <c r="AD291">
        <v>1</v>
      </c>
      <c r="AF291">
        <v>19</v>
      </c>
      <c r="AI291">
        <v>57</v>
      </c>
    </row>
    <row r="292" spans="1:35" x14ac:dyDescent="0.35">
      <c r="A292" t="s">
        <v>91</v>
      </c>
      <c r="B292" t="s">
        <v>24</v>
      </c>
      <c r="C292" t="s">
        <v>33</v>
      </c>
      <c r="D292" t="s">
        <v>114</v>
      </c>
      <c r="E292" t="s">
        <v>115</v>
      </c>
      <c r="F292" t="s">
        <v>318</v>
      </c>
      <c r="G292" s="20" t="s">
        <v>116</v>
      </c>
      <c r="H292" t="s">
        <v>7</v>
      </c>
      <c r="I292" t="str">
        <f t="shared" si="9"/>
        <v>Polistes species</v>
      </c>
      <c r="J292" t="s">
        <v>326</v>
      </c>
      <c r="K292" t="s">
        <v>330</v>
      </c>
      <c r="L292" t="s">
        <v>117</v>
      </c>
      <c r="M292" t="s">
        <v>117</v>
      </c>
      <c r="N292">
        <v>371</v>
      </c>
      <c r="O292" t="s">
        <v>119</v>
      </c>
      <c r="P292" t="s">
        <v>37</v>
      </c>
      <c r="Q292" s="4">
        <v>44728</v>
      </c>
      <c r="R292">
        <v>0</v>
      </c>
      <c r="U292" t="s">
        <v>225</v>
      </c>
      <c r="V292">
        <v>0</v>
      </c>
      <c r="AD292">
        <v>1</v>
      </c>
      <c r="AF292">
        <v>9</v>
      </c>
      <c r="AI292">
        <v>59</v>
      </c>
    </row>
    <row r="293" spans="1:35" x14ac:dyDescent="0.35">
      <c r="A293" t="s">
        <v>91</v>
      </c>
      <c r="B293" t="s">
        <v>24</v>
      </c>
      <c r="C293" t="s">
        <v>33</v>
      </c>
      <c r="D293" t="s">
        <v>319</v>
      </c>
      <c r="I293" t="s">
        <v>319</v>
      </c>
      <c r="J293" t="s">
        <v>326</v>
      </c>
      <c r="K293" t="s">
        <v>330</v>
      </c>
      <c r="L293" t="s">
        <v>103</v>
      </c>
      <c r="M293" t="s">
        <v>103</v>
      </c>
      <c r="N293">
        <v>128</v>
      </c>
      <c r="O293" t="s">
        <v>119</v>
      </c>
      <c r="P293" t="s">
        <v>37</v>
      </c>
      <c r="Q293" s="4">
        <v>44728</v>
      </c>
      <c r="R293">
        <v>1</v>
      </c>
      <c r="S293" t="s">
        <v>107</v>
      </c>
      <c r="T293" t="s">
        <v>107</v>
      </c>
      <c r="U293" t="s">
        <v>271</v>
      </c>
      <c r="V293">
        <v>0</v>
      </c>
      <c r="AD293">
        <v>1</v>
      </c>
      <c r="AF293" s="18">
        <v>1</v>
      </c>
      <c r="AI293">
        <v>5</v>
      </c>
    </row>
    <row r="294" spans="1:35" x14ac:dyDescent="0.35">
      <c r="A294" t="s">
        <v>91</v>
      </c>
      <c r="B294" t="s">
        <v>24</v>
      </c>
      <c r="C294" t="s">
        <v>33</v>
      </c>
      <c r="D294" t="s">
        <v>34</v>
      </c>
      <c r="E294" t="s">
        <v>309</v>
      </c>
      <c r="F294" t="s">
        <v>42</v>
      </c>
      <c r="G294" s="20" t="s">
        <v>43</v>
      </c>
      <c r="H294" t="s">
        <v>7</v>
      </c>
      <c r="I294" t="str">
        <f t="shared" ref="I294:I357" si="10">G294&amp;" "&amp;H294</f>
        <v>Tetragonula species</v>
      </c>
      <c r="J294" t="s">
        <v>42</v>
      </c>
      <c r="K294" t="s">
        <v>334</v>
      </c>
      <c r="L294" t="s">
        <v>44</v>
      </c>
      <c r="M294" t="s">
        <v>45</v>
      </c>
      <c r="N294">
        <v>157</v>
      </c>
      <c r="O294" t="s">
        <v>119</v>
      </c>
      <c r="P294" t="s">
        <v>41</v>
      </c>
      <c r="Q294" s="4">
        <v>44707</v>
      </c>
      <c r="U294" t="s">
        <v>225</v>
      </c>
      <c r="V294">
        <v>0</v>
      </c>
      <c r="AD294">
        <v>1</v>
      </c>
      <c r="AF294">
        <v>31</v>
      </c>
      <c r="AI294">
        <v>60</v>
      </c>
    </row>
    <row r="295" spans="1:35" x14ac:dyDescent="0.35">
      <c r="A295" t="s">
        <v>91</v>
      </c>
      <c r="B295" t="s">
        <v>24</v>
      </c>
      <c r="C295" t="s">
        <v>33</v>
      </c>
      <c r="D295" t="s">
        <v>34</v>
      </c>
      <c r="E295" t="s">
        <v>309</v>
      </c>
      <c r="F295" t="s">
        <v>42</v>
      </c>
      <c r="G295" s="20" t="s">
        <v>43</v>
      </c>
      <c r="H295" t="s">
        <v>7</v>
      </c>
      <c r="I295" t="str">
        <f t="shared" si="10"/>
        <v>Tetragonula species</v>
      </c>
      <c r="J295" t="s">
        <v>42</v>
      </c>
      <c r="K295" t="s">
        <v>334</v>
      </c>
      <c r="L295" t="s">
        <v>44</v>
      </c>
      <c r="M295" t="s">
        <v>45</v>
      </c>
      <c r="N295">
        <v>158</v>
      </c>
      <c r="O295" t="s">
        <v>119</v>
      </c>
      <c r="P295" t="s">
        <v>41</v>
      </c>
      <c r="Q295" s="4">
        <v>44707</v>
      </c>
      <c r="U295" t="s">
        <v>225</v>
      </c>
      <c r="V295">
        <v>0</v>
      </c>
      <c r="AD295">
        <v>1</v>
      </c>
      <c r="AF295">
        <v>31</v>
      </c>
      <c r="AI295">
        <v>61</v>
      </c>
    </row>
    <row r="296" spans="1:35" x14ac:dyDescent="0.35">
      <c r="A296" t="s">
        <v>91</v>
      </c>
      <c r="B296" t="s">
        <v>24</v>
      </c>
      <c r="C296" t="s">
        <v>33</v>
      </c>
      <c r="D296" t="s">
        <v>34</v>
      </c>
      <c r="E296" t="s">
        <v>309</v>
      </c>
      <c r="F296" t="s">
        <v>42</v>
      </c>
      <c r="G296" s="20" t="s">
        <v>43</v>
      </c>
      <c r="H296" t="s">
        <v>7</v>
      </c>
      <c r="I296" t="str">
        <f t="shared" si="10"/>
        <v>Tetragonula species</v>
      </c>
      <c r="J296" t="s">
        <v>42</v>
      </c>
      <c r="K296" t="s">
        <v>334</v>
      </c>
      <c r="L296" t="s">
        <v>44</v>
      </c>
      <c r="M296" t="s">
        <v>45</v>
      </c>
      <c r="N296">
        <v>159</v>
      </c>
      <c r="O296" t="s">
        <v>119</v>
      </c>
      <c r="P296" t="s">
        <v>41</v>
      </c>
      <c r="Q296" s="4">
        <v>44707</v>
      </c>
      <c r="U296" t="s">
        <v>225</v>
      </c>
      <c r="V296">
        <v>0</v>
      </c>
      <c r="AD296">
        <v>1</v>
      </c>
      <c r="AF296">
        <v>31</v>
      </c>
      <c r="AI296">
        <v>62</v>
      </c>
    </row>
    <row r="297" spans="1:35" x14ac:dyDescent="0.35">
      <c r="A297" t="s">
        <v>91</v>
      </c>
      <c r="B297" t="s">
        <v>24</v>
      </c>
      <c r="C297" t="s">
        <v>33</v>
      </c>
      <c r="D297" t="s">
        <v>34</v>
      </c>
      <c r="E297" t="s">
        <v>309</v>
      </c>
      <c r="F297" t="s">
        <v>42</v>
      </c>
      <c r="G297" s="20" t="s">
        <v>43</v>
      </c>
      <c r="H297" t="s">
        <v>7</v>
      </c>
      <c r="I297" t="str">
        <f t="shared" si="10"/>
        <v>Tetragonula species</v>
      </c>
      <c r="J297" t="s">
        <v>42</v>
      </c>
      <c r="K297" t="s">
        <v>334</v>
      </c>
      <c r="L297" t="s">
        <v>44</v>
      </c>
      <c r="M297" t="s">
        <v>45</v>
      </c>
      <c r="N297">
        <v>160</v>
      </c>
      <c r="O297" t="s">
        <v>119</v>
      </c>
      <c r="P297" t="s">
        <v>41</v>
      </c>
      <c r="Q297" s="4">
        <v>44707</v>
      </c>
      <c r="U297" t="s">
        <v>225</v>
      </c>
      <c r="V297">
        <v>0</v>
      </c>
      <c r="AD297">
        <v>1</v>
      </c>
      <c r="AF297">
        <v>31</v>
      </c>
      <c r="AI297">
        <v>63</v>
      </c>
    </row>
    <row r="298" spans="1:35" x14ac:dyDescent="0.35">
      <c r="A298" t="s">
        <v>91</v>
      </c>
      <c r="B298" t="s">
        <v>24</v>
      </c>
      <c r="C298" t="s">
        <v>33</v>
      </c>
      <c r="D298" t="s">
        <v>34</v>
      </c>
      <c r="E298" t="s">
        <v>309</v>
      </c>
      <c r="F298" t="s">
        <v>42</v>
      </c>
      <c r="G298" s="20" t="s">
        <v>43</v>
      </c>
      <c r="H298" t="s">
        <v>7</v>
      </c>
      <c r="I298" t="str">
        <f t="shared" si="10"/>
        <v>Tetragonula species</v>
      </c>
      <c r="J298" t="s">
        <v>42</v>
      </c>
      <c r="K298" t="s">
        <v>334</v>
      </c>
      <c r="L298" t="s">
        <v>44</v>
      </c>
      <c r="M298" t="s">
        <v>45</v>
      </c>
      <c r="N298">
        <v>161</v>
      </c>
      <c r="O298" t="s">
        <v>119</v>
      </c>
      <c r="P298" t="s">
        <v>41</v>
      </c>
      <c r="Q298" s="4">
        <v>44707</v>
      </c>
      <c r="U298" t="s">
        <v>225</v>
      </c>
      <c r="V298">
        <v>0</v>
      </c>
      <c r="AD298">
        <v>1</v>
      </c>
      <c r="AF298">
        <v>31</v>
      </c>
      <c r="AI298">
        <v>64</v>
      </c>
    </row>
    <row r="299" spans="1:35" x14ac:dyDescent="0.35">
      <c r="A299" t="s">
        <v>91</v>
      </c>
      <c r="B299" t="s">
        <v>24</v>
      </c>
      <c r="C299" t="s">
        <v>33</v>
      </c>
      <c r="D299" t="s">
        <v>34</v>
      </c>
      <c r="E299" t="s">
        <v>309</v>
      </c>
      <c r="F299" t="s">
        <v>42</v>
      </c>
      <c r="G299" s="20" t="s">
        <v>43</v>
      </c>
      <c r="H299" t="s">
        <v>7</v>
      </c>
      <c r="I299" t="str">
        <f t="shared" si="10"/>
        <v>Tetragonula species</v>
      </c>
      <c r="J299" t="s">
        <v>42</v>
      </c>
      <c r="K299" t="s">
        <v>334</v>
      </c>
      <c r="L299" t="s">
        <v>44</v>
      </c>
      <c r="M299" t="s">
        <v>45</v>
      </c>
      <c r="N299">
        <v>162</v>
      </c>
      <c r="O299" t="s">
        <v>119</v>
      </c>
      <c r="P299" t="s">
        <v>41</v>
      </c>
      <c r="Q299" s="4">
        <v>44707</v>
      </c>
      <c r="U299" t="s">
        <v>225</v>
      </c>
      <c r="V299">
        <v>0</v>
      </c>
      <c r="AD299">
        <v>1</v>
      </c>
      <c r="AF299">
        <v>46</v>
      </c>
      <c r="AI299">
        <v>65</v>
      </c>
    </row>
    <row r="300" spans="1:35" x14ac:dyDescent="0.35">
      <c r="A300" t="s">
        <v>91</v>
      </c>
      <c r="B300" t="s">
        <v>24</v>
      </c>
      <c r="C300" t="s">
        <v>33</v>
      </c>
      <c r="D300" t="s">
        <v>34</v>
      </c>
      <c r="E300" t="s">
        <v>309</v>
      </c>
      <c r="F300" t="s">
        <v>42</v>
      </c>
      <c r="G300" s="20" t="s">
        <v>43</v>
      </c>
      <c r="H300" t="s">
        <v>7</v>
      </c>
      <c r="I300" t="str">
        <f t="shared" si="10"/>
        <v>Tetragonula species</v>
      </c>
      <c r="J300" t="s">
        <v>42</v>
      </c>
      <c r="K300" t="s">
        <v>334</v>
      </c>
      <c r="L300" t="s">
        <v>44</v>
      </c>
      <c r="M300" t="s">
        <v>45</v>
      </c>
      <c r="N300">
        <v>163</v>
      </c>
      <c r="O300" t="s">
        <v>119</v>
      </c>
      <c r="P300" t="s">
        <v>41</v>
      </c>
      <c r="Q300" s="4">
        <v>44707</v>
      </c>
      <c r="U300" t="s">
        <v>225</v>
      </c>
      <c r="V300">
        <v>0</v>
      </c>
      <c r="AD300">
        <v>1</v>
      </c>
      <c r="AF300">
        <v>46</v>
      </c>
      <c r="AI300">
        <v>66</v>
      </c>
    </row>
    <row r="301" spans="1:35" x14ac:dyDescent="0.35">
      <c r="A301" t="s">
        <v>91</v>
      </c>
      <c r="B301" t="s">
        <v>24</v>
      </c>
      <c r="C301" t="s">
        <v>33</v>
      </c>
      <c r="D301" t="s">
        <v>34</v>
      </c>
      <c r="E301" t="s">
        <v>309</v>
      </c>
      <c r="F301" t="s">
        <v>42</v>
      </c>
      <c r="G301" s="20" t="s">
        <v>43</v>
      </c>
      <c r="H301" t="s">
        <v>7</v>
      </c>
      <c r="I301" t="str">
        <f t="shared" si="10"/>
        <v>Tetragonula species</v>
      </c>
      <c r="J301" t="s">
        <v>42</v>
      </c>
      <c r="K301" t="s">
        <v>334</v>
      </c>
      <c r="L301" t="s">
        <v>44</v>
      </c>
      <c r="M301" t="s">
        <v>45</v>
      </c>
      <c r="N301">
        <v>164</v>
      </c>
      <c r="O301" t="s">
        <v>119</v>
      </c>
      <c r="P301" t="s">
        <v>41</v>
      </c>
      <c r="Q301" s="4">
        <v>44707</v>
      </c>
      <c r="U301" t="s">
        <v>225</v>
      </c>
      <c r="V301">
        <v>0</v>
      </c>
      <c r="AD301">
        <v>1</v>
      </c>
      <c r="AF301">
        <v>46</v>
      </c>
      <c r="AI301">
        <v>67</v>
      </c>
    </row>
    <row r="302" spans="1:35" x14ac:dyDescent="0.35">
      <c r="A302" t="s">
        <v>91</v>
      </c>
      <c r="B302" t="s">
        <v>24</v>
      </c>
      <c r="C302" t="s">
        <v>33</v>
      </c>
      <c r="D302" t="s">
        <v>34</v>
      </c>
      <c r="E302" t="s">
        <v>309</v>
      </c>
      <c r="F302" t="s">
        <v>42</v>
      </c>
      <c r="G302" s="20" t="s">
        <v>43</v>
      </c>
      <c r="H302" t="s">
        <v>7</v>
      </c>
      <c r="I302" t="str">
        <f t="shared" si="10"/>
        <v>Tetragonula species</v>
      </c>
      <c r="J302" t="s">
        <v>42</v>
      </c>
      <c r="K302" t="s">
        <v>334</v>
      </c>
      <c r="L302" t="s">
        <v>44</v>
      </c>
      <c r="M302" t="s">
        <v>45</v>
      </c>
      <c r="N302">
        <v>165</v>
      </c>
      <c r="O302" t="s">
        <v>119</v>
      </c>
      <c r="P302" t="s">
        <v>41</v>
      </c>
      <c r="Q302" s="4">
        <v>44707</v>
      </c>
      <c r="U302" t="s">
        <v>225</v>
      </c>
      <c r="V302">
        <v>0</v>
      </c>
      <c r="AD302">
        <v>1</v>
      </c>
      <c r="AF302">
        <v>46</v>
      </c>
      <c r="AI302">
        <v>68</v>
      </c>
    </row>
    <row r="303" spans="1:35" x14ac:dyDescent="0.35">
      <c r="A303" t="s">
        <v>91</v>
      </c>
      <c r="B303" t="s">
        <v>24</v>
      </c>
      <c r="C303" t="s">
        <v>33</v>
      </c>
      <c r="D303" t="s">
        <v>34</v>
      </c>
      <c r="E303" t="s">
        <v>309</v>
      </c>
      <c r="F303" t="s">
        <v>42</v>
      </c>
      <c r="G303" s="20" t="s">
        <v>43</v>
      </c>
      <c r="H303" t="s">
        <v>7</v>
      </c>
      <c r="I303" t="str">
        <f t="shared" si="10"/>
        <v>Tetragonula species</v>
      </c>
      <c r="J303" t="s">
        <v>42</v>
      </c>
      <c r="K303" t="s">
        <v>334</v>
      </c>
      <c r="L303" t="s">
        <v>44</v>
      </c>
      <c r="M303" t="s">
        <v>45</v>
      </c>
      <c r="N303">
        <v>166</v>
      </c>
      <c r="O303" t="s">
        <v>119</v>
      </c>
      <c r="P303" t="s">
        <v>41</v>
      </c>
      <c r="Q303" s="4">
        <v>44707</v>
      </c>
      <c r="U303" t="s">
        <v>225</v>
      </c>
      <c r="V303">
        <v>0</v>
      </c>
      <c r="AD303">
        <v>1</v>
      </c>
      <c r="AF303">
        <v>46</v>
      </c>
      <c r="AI303">
        <v>69</v>
      </c>
    </row>
    <row r="304" spans="1:35" x14ac:dyDescent="0.35">
      <c r="A304" t="s">
        <v>91</v>
      </c>
      <c r="B304" t="s">
        <v>24</v>
      </c>
      <c r="C304" t="s">
        <v>33</v>
      </c>
      <c r="D304" t="s">
        <v>34</v>
      </c>
      <c r="E304" t="s">
        <v>309</v>
      </c>
      <c r="F304" t="s">
        <v>42</v>
      </c>
      <c r="G304" s="20" t="s">
        <v>43</v>
      </c>
      <c r="H304" t="s">
        <v>7</v>
      </c>
      <c r="I304" t="str">
        <f t="shared" si="10"/>
        <v>Tetragonula species</v>
      </c>
      <c r="J304" t="s">
        <v>42</v>
      </c>
      <c r="K304" t="s">
        <v>334</v>
      </c>
      <c r="L304" t="s">
        <v>44</v>
      </c>
      <c r="M304" t="s">
        <v>45</v>
      </c>
      <c r="N304">
        <v>167</v>
      </c>
      <c r="O304" t="s">
        <v>119</v>
      </c>
      <c r="P304" t="s">
        <v>41</v>
      </c>
      <c r="Q304" s="4">
        <v>44707</v>
      </c>
      <c r="U304" t="s">
        <v>225</v>
      </c>
      <c r="V304">
        <v>0</v>
      </c>
      <c r="AD304">
        <v>1</v>
      </c>
      <c r="AF304">
        <v>46</v>
      </c>
      <c r="AI304">
        <v>70</v>
      </c>
    </row>
    <row r="305" spans="1:35" x14ac:dyDescent="0.35">
      <c r="A305" t="s">
        <v>91</v>
      </c>
      <c r="B305" t="s">
        <v>24</v>
      </c>
      <c r="C305" t="s">
        <v>33</v>
      </c>
      <c r="D305" t="s">
        <v>34</v>
      </c>
      <c r="E305" t="s">
        <v>309</v>
      </c>
      <c r="F305" t="s">
        <v>42</v>
      </c>
      <c r="G305" s="20" t="s">
        <v>43</v>
      </c>
      <c r="H305" t="s">
        <v>7</v>
      </c>
      <c r="I305" t="str">
        <f t="shared" si="10"/>
        <v>Tetragonula species</v>
      </c>
      <c r="J305" t="s">
        <v>42</v>
      </c>
      <c r="K305" t="s">
        <v>334</v>
      </c>
      <c r="L305" t="s">
        <v>44</v>
      </c>
      <c r="M305" t="s">
        <v>45</v>
      </c>
      <c r="N305">
        <v>168</v>
      </c>
      <c r="O305" t="s">
        <v>119</v>
      </c>
      <c r="P305" t="s">
        <v>41</v>
      </c>
      <c r="Q305" s="4">
        <v>44707</v>
      </c>
      <c r="U305" t="s">
        <v>225</v>
      </c>
      <c r="V305">
        <v>0</v>
      </c>
      <c r="AD305">
        <v>1</v>
      </c>
      <c r="AF305">
        <v>46</v>
      </c>
      <c r="AI305">
        <v>71</v>
      </c>
    </row>
    <row r="306" spans="1:35" x14ac:dyDescent="0.35">
      <c r="A306" t="s">
        <v>91</v>
      </c>
      <c r="B306" t="s">
        <v>24</v>
      </c>
      <c r="C306" t="s">
        <v>33</v>
      </c>
      <c r="D306" t="s">
        <v>34</v>
      </c>
      <c r="E306" t="s">
        <v>309</v>
      </c>
      <c r="F306" t="s">
        <v>42</v>
      </c>
      <c r="G306" s="20" t="s">
        <v>43</v>
      </c>
      <c r="H306" t="s">
        <v>7</v>
      </c>
      <c r="I306" t="str">
        <f t="shared" si="10"/>
        <v>Tetragonula species</v>
      </c>
      <c r="J306" t="s">
        <v>42</v>
      </c>
      <c r="K306" t="s">
        <v>334</v>
      </c>
      <c r="L306" t="s">
        <v>44</v>
      </c>
      <c r="M306" t="s">
        <v>45</v>
      </c>
      <c r="N306">
        <v>169</v>
      </c>
      <c r="O306" t="s">
        <v>119</v>
      </c>
      <c r="P306" t="s">
        <v>41</v>
      </c>
      <c r="Q306" s="4">
        <v>44707</v>
      </c>
      <c r="U306" t="s">
        <v>225</v>
      </c>
      <c r="V306">
        <v>0</v>
      </c>
      <c r="AD306">
        <v>1</v>
      </c>
      <c r="AF306">
        <v>46</v>
      </c>
      <c r="AI306">
        <v>72</v>
      </c>
    </row>
    <row r="307" spans="1:35" x14ac:dyDescent="0.35">
      <c r="A307" t="s">
        <v>91</v>
      </c>
      <c r="B307" t="s">
        <v>24</v>
      </c>
      <c r="C307" t="s">
        <v>33</v>
      </c>
      <c r="D307" t="s">
        <v>34</v>
      </c>
      <c r="E307" t="s">
        <v>309</v>
      </c>
      <c r="F307" t="s">
        <v>42</v>
      </c>
      <c r="G307" s="20" t="s">
        <v>43</v>
      </c>
      <c r="H307" t="s">
        <v>7</v>
      </c>
      <c r="I307" t="str">
        <f t="shared" si="10"/>
        <v>Tetragonula species</v>
      </c>
      <c r="J307" t="s">
        <v>42</v>
      </c>
      <c r="K307" t="s">
        <v>334</v>
      </c>
      <c r="L307" t="s">
        <v>44</v>
      </c>
      <c r="M307" t="s">
        <v>45</v>
      </c>
      <c r="N307">
        <v>170</v>
      </c>
      <c r="O307" t="s">
        <v>119</v>
      </c>
      <c r="P307" t="s">
        <v>41</v>
      </c>
      <c r="Q307" s="4">
        <v>44707</v>
      </c>
      <c r="U307" t="s">
        <v>225</v>
      </c>
      <c r="V307">
        <v>0</v>
      </c>
      <c r="AD307">
        <v>1</v>
      </c>
      <c r="AF307">
        <v>46</v>
      </c>
      <c r="AI307">
        <v>73</v>
      </c>
    </row>
    <row r="308" spans="1:35" x14ac:dyDescent="0.35">
      <c r="A308" t="s">
        <v>91</v>
      </c>
      <c r="B308" t="s">
        <v>24</v>
      </c>
      <c r="C308" t="s">
        <v>33</v>
      </c>
      <c r="D308" t="s">
        <v>34</v>
      </c>
      <c r="E308" t="s">
        <v>309</v>
      </c>
      <c r="F308" t="s">
        <v>42</v>
      </c>
      <c r="G308" s="20" t="s">
        <v>43</v>
      </c>
      <c r="H308" t="s">
        <v>7</v>
      </c>
      <c r="I308" t="str">
        <f t="shared" si="10"/>
        <v>Tetragonula species</v>
      </c>
      <c r="J308" t="s">
        <v>42</v>
      </c>
      <c r="K308" t="s">
        <v>334</v>
      </c>
      <c r="L308" t="s">
        <v>44</v>
      </c>
      <c r="M308" t="s">
        <v>45</v>
      </c>
      <c r="N308">
        <v>171</v>
      </c>
      <c r="O308" t="s">
        <v>119</v>
      </c>
      <c r="P308" t="s">
        <v>41</v>
      </c>
      <c r="Q308" s="4">
        <v>44707</v>
      </c>
      <c r="U308" t="s">
        <v>225</v>
      </c>
      <c r="V308">
        <v>0</v>
      </c>
      <c r="AD308">
        <v>1</v>
      </c>
      <c r="AF308">
        <v>46</v>
      </c>
      <c r="AI308">
        <v>74</v>
      </c>
    </row>
    <row r="309" spans="1:35" x14ac:dyDescent="0.35">
      <c r="A309" t="s">
        <v>91</v>
      </c>
      <c r="B309" t="s">
        <v>24</v>
      </c>
      <c r="C309" t="s">
        <v>33</v>
      </c>
      <c r="D309" t="s">
        <v>34</v>
      </c>
      <c r="E309" t="s">
        <v>309</v>
      </c>
      <c r="F309" t="s">
        <v>42</v>
      </c>
      <c r="G309" s="20" t="s">
        <v>43</v>
      </c>
      <c r="H309" t="s">
        <v>7</v>
      </c>
      <c r="I309" t="str">
        <f t="shared" si="10"/>
        <v>Tetragonula species</v>
      </c>
      <c r="J309" t="s">
        <v>42</v>
      </c>
      <c r="K309" t="s">
        <v>334</v>
      </c>
      <c r="L309" t="s">
        <v>44</v>
      </c>
      <c r="M309" t="s">
        <v>45</v>
      </c>
      <c r="N309">
        <v>172</v>
      </c>
      <c r="O309" t="s">
        <v>119</v>
      </c>
      <c r="P309" t="s">
        <v>41</v>
      </c>
      <c r="Q309" s="4">
        <v>44707</v>
      </c>
      <c r="U309" t="s">
        <v>225</v>
      </c>
      <c r="V309">
        <v>0</v>
      </c>
      <c r="AD309">
        <v>1</v>
      </c>
      <c r="AF309">
        <v>46</v>
      </c>
      <c r="AI309">
        <v>75</v>
      </c>
    </row>
    <row r="310" spans="1:35" x14ac:dyDescent="0.35">
      <c r="A310" t="s">
        <v>91</v>
      </c>
      <c r="B310" t="s">
        <v>24</v>
      </c>
      <c r="C310" t="s">
        <v>33</v>
      </c>
      <c r="D310" t="s">
        <v>34</v>
      </c>
      <c r="E310" t="s">
        <v>309</v>
      </c>
      <c r="F310" t="s">
        <v>42</v>
      </c>
      <c r="G310" s="20" t="s">
        <v>43</v>
      </c>
      <c r="H310" t="s">
        <v>7</v>
      </c>
      <c r="I310" t="str">
        <f t="shared" si="10"/>
        <v>Tetragonula species</v>
      </c>
      <c r="J310" t="s">
        <v>42</v>
      </c>
      <c r="K310" t="s">
        <v>334</v>
      </c>
      <c r="L310" t="s">
        <v>44</v>
      </c>
      <c r="M310" t="s">
        <v>45</v>
      </c>
      <c r="N310">
        <v>173</v>
      </c>
      <c r="O310" t="s">
        <v>119</v>
      </c>
      <c r="P310" t="s">
        <v>41</v>
      </c>
      <c r="Q310" s="4">
        <v>44707</v>
      </c>
      <c r="U310" t="s">
        <v>225</v>
      </c>
      <c r="V310">
        <v>0</v>
      </c>
      <c r="AD310">
        <v>1</v>
      </c>
      <c r="AF310">
        <v>46</v>
      </c>
      <c r="AI310">
        <v>76</v>
      </c>
    </row>
    <row r="311" spans="1:35" x14ac:dyDescent="0.35">
      <c r="A311" t="s">
        <v>91</v>
      </c>
      <c r="B311" t="s">
        <v>24</v>
      </c>
      <c r="C311" t="s">
        <v>33</v>
      </c>
      <c r="D311" t="s">
        <v>34</v>
      </c>
      <c r="E311" t="s">
        <v>309</v>
      </c>
      <c r="F311" t="s">
        <v>42</v>
      </c>
      <c r="G311" s="20" t="s">
        <v>43</v>
      </c>
      <c r="H311" t="s">
        <v>7</v>
      </c>
      <c r="I311" t="str">
        <f t="shared" si="10"/>
        <v>Tetragonula species</v>
      </c>
      <c r="J311" t="s">
        <v>42</v>
      </c>
      <c r="K311" t="s">
        <v>334</v>
      </c>
      <c r="L311" t="s">
        <v>44</v>
      </c>
      <c r="M311" t="s">
        <v>45</v>
      </c>
      <c r="N311">
        <v>174</v>
      </c>
      <c r="O311" t="s">
        <v>119</v>
      </c>
      <c r="P311" t="s">
        <v>41</v>
      </c>
      <c r="Q311" s="4">
        <v>44707</v>
      </c>
      <c r="U311" t="s">
        <v>225</v>
      </c>
      <c r="V311">
        <v>0</v>
      </c>
      <c r="AD311">
        <v>1</v>
      </c>
      <c r="AF311">
        <v>46</v>
      </c>
      <c r="AI311">
        <v>77</v>
      </c>
    </row>
    <row r="312" spans="1:35" x14ac:dyDescent="0.35">
      <c r="A312" t="s">
        <v>91</v>
      </c>
      <c r="B312" t="s">
        <v>24</v>
      </c>
      <c r="C312" t="s">
        <v>33</v>
      </c>
      <c r="D312" t="s">
        <v>34</v>
      </c>
      <c r="E312" t="s">
        <v>309</v>
      </c>
      <c r="F312" t="s">
        <v>42</v>
      </c>
      <c r="G312" s="20" t="s">
        <v>43</v>
      </c>
      <c r="H312" t="s">
        <v>7</v>
      </c>
      <c r="I312" t="str">
        <f t="shared" si="10"/>
        <v>Tetragonula species</v>
      </c>
      <c r="J312" t="s">
        <v>42</v>
      </c>
      <c r="K312" t="s">
        <v>334</v>
      </c>
      <c r="L312" t="s">
        <v>44</v>
      </c>
      <c r="M312" t="s">
        <v>45</v>
      </c>
      <c r="N312">
        <v>175</v>
      </c>
      <c r="O312" t="s">
        <v>119</v>
      </c>
      <c r="P312" t="s">
        <v>41</v>
      </c>
      <c r="Q312" s="4">
        <v>44707</v>
      </c>
      <c r="U312" t="s">
        <v>225</v>
      </c>
      <c r="V312">
        <v>0</v>
      </c>
      <c r="AD312">
        <v>1</v>
      </c>
      <c r="AF312">
        <v>46</v>
      </c>
      <c r="AI312">
        <v>78</v>
      </c>
    </row>
    <row r="313" spans="1:35" x14ac:dyDescent="0.35">
      <c r="A313" t="s">
        <v>91</v>
      </c>
      <c r="B313" t="s">
        <v>24</v>
      </c>
      <c r="C313" t="s">
        <v>33</v>
      </c>
      <c r="D313" t="s">
        <v>34</v>
      </c>
      <c r="E313" t="s">
        <v>309</v>
      </c>
      <c r="F313" t="s">
        <v>42</v>
      </c>
      <c r="G313" s="20" t="s">
        <v>43</v>
      </c>
      <c r="H313" t="s">
        <v>7</v>
      </c>
      <c r="I313" t="str">
        <f t="shared" si="10"/>
        <v>Tetragonula species</v>
      </c>
      <c r="J313" t="s">
        <v>42</v>
      </c>
      <c r="K313" t="s">
        <v>334</v>
      </c>
      <c r="L313" t="s">
        <v>44</v>
      </c>
      <c r="M313" t="s">
        <v>45</v>
      </c>
      <c r="N313">
        <v>176</v>
      </c>
      <c r="O313" t="s">
        <v>119</v>
      </c>
      <c r="P313" t="s">
        <v>41</v>
      </c>
      <c r="Q313" s="4">
        <v>44707</v>
      </c>
      <c r="U313" t="s">
        <v>225</v>
      </c>
      <c r="V313">
        <v>0</v>
      </c>
      <c r="AD313">
        <v>1</v>
      </c>
      <c r="AF313">
        <v>46</v>
      </c>
      <c r="AI313">
        <v>79</v>
      </c>
    </row>
    <row r="314" spans="1:35" x14ac:dyDescent="0.35">
      <c r="A314" t="s">
        <v>91</v>
      </c>
      <c r="B314" t="s">
        <v>24</v>
      </c>
      <c r="C314" t="s">
        <v>33</v>
      </c>
      <c r="D314" t="s">
        <v>34</v>
      </c>
      <c r="E314" t="s">
        <v>309</v>
      </c>
      <c r="F314" t="s">
        <v>42</v>
      </c>
      <c r="G314" s="20" t="s">
        <v>43</v>
      </c>
      <c r="H314" t="s">
        <v>7</v>
      </c>
      <c r="I314" t="str">
        <f t="shared" si="10"/>
        <v>Tetragonula species</v>
      </c>
      <c r="J314" t="s">
        <v>42</v>
      </c>
      <c r="K314" t="s">
        <v>334</v>
      </c>
      <c r="L314" t="s">
        <v>44</v>
      </c>
      <c r="M314" t="s">
        <v>45</v>
      </c>
      <c r="N314">
        <v>177</v>
      </c>
      <c r="O314" t="s">
        <v>119</v>
      </c>
      <c r="P314" t="s">
        <v>41</v>
      </c>
      <c r="Q314" s="4">
        <v>44707</v>
      </c>
      <c r="U314" t="s">
        <v>225</v>
      </c>
      <c r="V314">
        <v>0</v>
      </c>
      <c r="AD314">
        <v>1</v>
      </c>
      <c r="AF314">
        <v>46</v>
      </c>
      <c r="AI314">
        <v>80</v>
      </c>
    </row>
    <row r="315" spans="1:35" x14ac:dyDescent="0.35">
      <c r="A315" t="s">
        <v>91</v>
      </c>
      <c r="B315" t="s">
        <v>24</v>
      </c>
      <c r="C315" t="s">
        <v>33</v>
      </c>
      <c r="D315" t="s">
        <v>34</v>
      </c>
      <c r="E315" t="s">
        <v>309</v>
      </c>
      <c r="F315" t="s">
        <v>42</v>
      </c>
      <c r="G315" s="20" t="s">
        <v>43</v>
      </c>
      <c r="H315" t="s">
        <v>7</v>
      </c>
      <c r="I315" t="str">
        <f t="shared" si="10"/>
        <v>Tetragonula species</v>
      </c>
      <c r="J315" t="s">
        <v>42</v>
      </c>
      <c r="K315" t="s">
        <v>334</v>
      </c>
      <c r="L315" t="s">
        <v>44</v>
      </c>
      <c r="M315" t="s">
        <v>45</v>
      </c>
      <c r="N315">
        <v>178</v>
      </c>
      <c r="O315" t="s">
        <v>119</v>
      </c>
      <c r="P315" t="s">
        <v>41</v>
      </c>
      <c r="Q315" s="4">
        <v>44707</v>
      </c>
      <c r="U315" t="s">
        <v>225</v>
      </c>
      <c r="V315">
        <v>0</v>
      </c>
      <c r="AD315">
        <v>1</v>
      </c>
      <c r="AF315">
        <v>46</v>
      </c>
      <c r="AI315">
        <v>81</v>
      </c>
    </row>
    <row r="316" spans="1:35" x14ac:dyDescent="0.35">
      <c r="A316" t="s">
        <v>91</v>
      </c>
      <c r="B316" t="s">
        <v>24</v>
      </c>
      <c r="C316" t="s">
        <v>33</v>
      </c>
      <c r="D316" t="s">
        <v>34</v>
      </c>
      <c r="E316" t="s">
        <v>309</v>
      </c>
      <c r="F316" t="s">
        <v>42</v>
      </c>
      <c r="G316" s="20" t="s">
        <v>43</v>
      </c>
      <c r="H316" t="s">
        <v>7</v>
      </c>
      <c r="I316" t="str">
        <f t="shared" si="10"/>
        <v>Tetragonula species</v>
      </c>
      <c r="J316" t="s">
        <v>42</v>
      </c>
      <c r="K316" t="s">
        <v>334</v>
      </c>
      <c r="L316" t="s">
        <v>44</v>
      </c>
      <c r="M316" t="s">
        <v>45</v>
      </c>
      <c r="N316">
        <v>179</v>
      </c>
      <c r="O316" t="s">
        <v>119</v>
      </c>
      <c r="P316" t="s">
        <v>41</v>
      </c>
      <c r="Q316" s="4">
        <v>44707</v>
      </c>
      <c r="U316" t="s">
        <v>225</v>
      </c>
      <c r="V316">
        <v>0</v>
      </c>
      <c r="AD316">
        <v>1</v>
      </c>
      <c r="AF316">
        <v>36</v>
      </c>
      <c r="AI316">
        <v>82</v>
      </c>
    </row>
    <row r="317" spans="1:35" x14ac:dyDescent="0.35">
      <c r="A317" t="s">
        <v>91</v>
      </c>
      <c r="B317" t="s">
        <v>24</v>
      </c>
      <c r="C317" t="s">
        <v>33</v>
      </c>
      <c r="D317" t="s">
        <v>34</v>
      </c>
      <c r="E317" t="s">
        <v>309</v>
      </c>
      <c r="F317" t="s">
        <v>42</v>
      </c>
      <c r="G317" s="20" t="s">
        <v>43</v>
      </c>
      <c r="H317" t="s">
        <v>7</v>
      </c>
      <c r="I317" t="str">
        <f t="shared" si="10"/>
        <v>Tetragonula species</v>
      </c>
      <c r="J317" t="s">
        <v>42</v>
      </c>
      <c r="K317" t="s">
        <v>334</v>
      </c>
      <c r="L317" t="s">
        <v>44</v>
      </c>
      <c r="M317" t="s">
        <v>45</v>
      </c>
      <c r="N317">
        <v>180</v>
      </c>
      <c r="O317" t="s">
        <v>119</v>
      </c>
      <c r="P317" t="s">
        <v>41</v>
      </c>
      <c r="Q317" s="4">
        <v>44707</v>
      </c>
      <c r="U317" t="s">
        <v>225</v>
      </c>
      <c r="V317">
        <v>0</v>
      </c>
      <c r="AD317">
        <v>1</v>
      </c>
      <c r="AF317">
        <v>22</v>
      </c>
      <c r="AI317">
        <v>83</v>
      </c>
    </row>
    <row r="318" spans="1:35" x14ac:dyDescent="0.35">
      <c r="A318" t="s">
        <v>91</v>
      </c>
      <c r="B318" t="s">
        <v>24</v>
      </c>
      <c r="C318" t="s">
        <v>33</v>
      </c>
      <c r="D318" t="s">
        <v>34</v>
      </c>
      <c r="E318" t="s">
        <v>309</v>
      </c>
      <c r="F318" t="s">
        <v>42</v>
      </c>
      <c r="G318" s="20" t="s">
        <v>43</v>
      </c>
      <c r="H318" t="s">
        <v>7</v>
      </c>
      <c r="I318" t="str">
        <f t="shared" si="10"/>
        <v>Tetragonula species</v>
      </c>
      <c r="J318" t="s">
        <v>42</v>
      </c>
      <c r="K318" t="s">
        <v>334</v>
      </c>
      <c r="L318" t="s">
        <v>44</v>
      </c>
      <c r="M318" t="s">
        <v>45</v>
      </c>
      <c r="N318">
        <v>181</v>
      </c>
      <c r="O318" t="s">
        <v>119</v>
      </c>
      <c r="P318" t="s">
        <v>41</v>
      </c>
      <c r="Q318" s="4">
        <v>44707</v>
      </c>
      <c r="U318" t="s">
        <v>225</v>
      </c>
      <c r="V318">
        <v>0</v>
      </c>
      <c r="AD318">
        <v>1</v>
      </c>
      <c r="AF318">
        <v>22</v>
      </c>
      <c r="AI318">
        <v>84</v>
      </c>
    </row>
    <row r="319" spans="1:35" x14ac:dyDescent="0.35">
      <c r="A319" t="s">
        <v>91</v>
      </c>
      <c r="B319" t="s">
        <v>24</v>
      </c>
      <c r="C319" t="s">
        <v>33</v>
      </c>
      <c r="D319" t="s">
        <v>34</v>
      </c>
      <c r="E319" t="s">
        <v>309</v>
      </c>
      <c r="F319" t="s">
        <v>42</v>
      </c>
      <c r="G319" s="20" t="s">
        <v>43</v>
      </c>
      <c r="H319" t="s">
        <v>7</v>
      </c>
      <c r="I319" t="str">
        <f t="shared" si="10"/>
        <v>Tetragonula species</v>
      </c>
      <c r="J319" t="s">
        <v>42</v>
      </c>
      <c r="K319" t="s">
        <v>334</v>
      </c>
      <c r="L319" t="s">
        <v>44</v>
      </c>
      <c r="M319" t="s">
        <v>45</v>
      </c>
      <c r="N319">
        <v>182</v>
      </c>
      <c r="O319" t="s">
        <v>119</v>
      </c>
      <c r="P319" t="s">
        <v>41</v>
      </c>
      <c r="Q319" s="4">
        <v>44707</v>
      </c>
      <c r="U319" t="s">
        <v>225</v>
      </c>
      <c r="V319">
        <v>0</v>
      </c>
      <c r="AD319">
        <v>1</v>
      </c>
      <c r="AF319">
        <v>22</v>
      </c>
      <c r="AI319">
        <v>85</v>
      </c>
    </row>
    <row r="320" spans="1:35" x14ac:dyDescent="0.35">
      <c r="A320" t="s">
        <v>91</v>
      </c>
      <c r="B320" t="s">
        <v>24</v>
      </c>
      <c r="C320" t="s">
        <v>33</v>
      </c>
      <c r="D320" t="s">
        <v>34</v>
      </c>
      <c r="E320" t="s">
        <v>309</v>
      </c>
      <c r="F320" t="s">
        <v>42</v>
      </c>
      <c r="G320" s="20" t="s">
        <v>43</v>
      </c>
      <c r="H320" t="s">
        <v>7</v>
      </c>
      <c r="I320" t="str">
        <f t="shared" si="10"/>
        <v>Tetragonula species</v>
      </c>
      <c r="J320" t="s">
        <v>42</v>
      </c>
      <c r="K320" t="s">
        <v>334</v>
      </c>
      <c r="L320" t="s">
        <v>44</v>
      </c>
      <c r="M320" t="s">
        <v>45</v>
      </c>
      <c r="N320">
        <v>183</v>
      </c>
      <c r="O320" t="s">
        <v>119</v>
      </c>
      <c r="P320" t="s">
        <v>41</v>
      </c>
      <c r="Q320" s="4">
        <v>44707</v>
      </c>
      <c r="U320" t="s">
        <v>225</v>
      </c>
      <c r="V320">
        <v>0</v>
      </c>
      <c r="AD320">
        <v>1</v>
      </c>
      <c r="AF320">
        <v>31</v>
      </c>
      <c r="AI320">
        <v>86</v>
      </c>
    </row>
    <row r="321" spans="1:35" x14ac:dyDescent="0.35">
      <c r="A321" t="s">
        <v>91</v>
      </c>
      <c r="B321" t="s">
        <v>24</v>
      </c>
      <c r="C321" t="s">
        <v>33</v>
      </c>
      <c r="D321" t="s">
        <v>34</v>
      </c>
      <c r="E321" t="s">
        <v>309</v>
      </c>
      <c r="F321" t="s">
        <v>42</v>
      </c>
      <c r="G321" s="20" t="s">
        <v>43</v>
      </c>
      <c r="H321" t="s">
        <v>7</v>
      </c>
      <c r="I321" t="str">
        <f t="shared" si="10"/>
        <v>Tetragonula species</v>
      </c>
      <c r="J321" t="s">
        <v>42</v>
      </c>
      <c r="K321" t="s">
        <v>334</v>
      </c>
      <c r="L321" t="s">
        <v>44</v>
      </c>
      <c r="M321" t="s">
        <v>45</v>
      </c>
      <c r="N321">
        <v>184</v>
      </c>
      <c r="O321" t="s">
        <v>119</v>
      </c>
      <c r="P321" t="s">
        <v>41</v>
      </c>
      <c r="Q321" s="4">
        <v>44707</v>
      </c>
      <c r="S321" t="s">
        <v>107</v>
      </c>
      <c r="T321" t="s">
        <v>107</v>
      </c>
      <c r="U321" t="s">
        <v>271</v>
      </c>
      <c r="V321">
        <v>0</v>
      </c>
      <c r="AD321">
        <v>1</v>
      </c>
      <c r="AF321">
        <v>31</v>
      </c>
      <c r="AI321">
        <v>87</v>
      </c>
    </row>
    <row r="322" spans="1:35" x14ac:dyDescent="0.35">
      <c r="A322" t="s">
        <v>91</v>
      </c>
      <c r="B322" t="s">
        <v>24</v>
      </c>
      <c r="C322" t="s">
        <v>33</v>
      </c>
      <c r="D322" t="s">
        <v>34</v>
      </c>
      <c r="E322" t="s">
        <v>309</v>
      </c>
      <c r="F322" t="s">
        <v>42</v>
      </c>
      <c r="G322" s="20" t="s">
        <v>43</v>
      </c>
      <c r="H322" t="s">
        <v>7</v>
      </c>
      <c r="I322" t="str">
        <f t="shared" si="10"/>
        <v>Tetragonula species</v>
      </c>
      <c r="J322" t="s">
        <v>42</v>
      </c>
      <c r="K322" t="s">
        <v>334</v>
      </c>
      <c r="L322" t="s">
        <v>44</v>
      </c>
      <c r="M322" t="s">
        <v>45</v>
      </c>
      <c r="N322">
        <v>185</v>
      </c>
      <c r="O322" t="s">
        <v>119</v>
      </c>
      <c r="P322" t="s">
        <v>41</v>
      </c>
      <c r="Q322" s="4">
        <v>44707</v>
      </c>
      <c r="U322" t="s">
        <v>225</v>
      </c>
      <c r="V322">
        <v>0</v>
      </c>
      <c r="AD322">
        <v>1</v>
      </c>
      <c r="AF322">
        <v>31</v>
      </c>
      <c r="AI322">
        <v>88</v>
      </c>
    </row>
    <row r="323" spans="1:35" x14ac:dyDescent="0.35">
      <c r="A323" t="s">
        <v>91</v>
      </c>
      <c r="B323" t="s">
        <v>24</v>
      </c>
      <c r="C323" t="s">
        <v>33</v>
      </c>
      <c r="D323" t="s">
        <v>34</v>
      </c>
      <c r="E323" t="s">
        <v>309</v>
      </c>
      <c r="F323" t="s">
        <v>42</v>
      </c>
      <c r="G323" s="20" t="s">
        <v>43</v>
      </c>
      <c r="H323" t="s">
        <v>7</v>
      </c>
      <c r="I323" t="str">
        <f t="shared" si="10"/>
        <v>Tetragonula species</v>
      </c>
      <c r="J323" t="s">
        <v>42</v>
      </c>
      <c r="K323" t="s">
        <v>334</v>
      </c>
      <c r="L323" t="s">
        <v>44</v>
      </c>
      <c r="M323" t="s">
        <v>45</v>
      </c>
      <c r="N323">
        <v>186</v>
      </c>
      <c r="O323" t="s">
        <v>119</v>
      </c>
      <c r="P323" t="s">
        <v>41</v>
      </c>
      <c r="Q323" s="4">
        <v>44707</v>
      </c>
      <c r="R323">
        <v>0</v>
      </c>
      <c r="U323" t="s">
        <v>225</v>
      </c>
      <c r="V323">
        <v>0</v>
      </c>
      <c r="AD323">
        <v>1</v>
      </c>
      <c r="AF323">
        <v>31</v>
      </c>
      <c r="AI323">
        <v>89</v>
      </c>
    </row>
    <row r="324" spans="1:35" x14ac:dyDescent="0.35">
      <c r="A324" t="s">
        <v>91</v>
      </c>
      <c r="B324" t="s">
        <v>24</v>
      </c>
      <c r="C324" t="s">
        <v>33</v>
      </c>
      <c r="D324" t="s">
        <v>34</v>
      </c>
      <c r="E324" t="s">
        <v>309</v>
      </c>
      <c r="F324" t="s">
        <v>42</v>
      </c>
      <c r="G324" s="20" t="s">
        <v>43</v>
      </c>
      <c r="H324" t="s">
        <v>7</v>
      </c>
      <c r="I324" t="str">
        <f t="shared" si="10"/>
        <v>Tetragonula species</v>
      </c>
      <c r="J324" t="s">
        <v>42</v>
      </c>
      <c r="K324" t="s">
        <v>334</v>
      </c>
      <c r="L324" t="s">
        <v>44</v>
      </c>
      <c r="M324" t="s">
        <v>45</v>
      </c>
      <c r="N324">
        <v>187</v>
      </c>
      <c r="O324" t="s">
        <v>119</v>
      </c>
      <c r="P324" t="s">
        <v>41</v>
      </c>
      <c r="Q324" s="4">
        <v>44707</v>
      </c>
      <c r="R324">
        <v>0</v>
      </c>
      <c r="U324" t="s">
        <v>225</v>
      </c>
      <c r="V324">
        <v>0</v>
      </c>
      <c r="AD324">
        <v>1</v>
      </c>
      <c r="AF324">
        <v>31</v>
      </c>
      <c r="AI324">
        <v>90</v>
      </c>
    </row>
    <row r="325" spans="1:35" x14ac:dyDescent="0.35">
      <c r="A325" t="s">
        <v>91</v>
      </c>
      <c r="B325" t="s">
        <v>24</v>
      </c>
      <c r="C325" t="s">
        <v>33</v>
      </c>
      <c r="D325" t="s">
        <v>34</v>
      </c>
      <c r="E325" t="s">
        <v>309</v>
      </c>
      <c r="F325" t="s">
        <v>42</v>
      </c>
      <c r="G325" s="20" t="s">
        <v>43</v>
      </c>
      <c r="H325" t="s">
        <v>7</v>
      </c>
      <c r="I325" t="str">
        <f t="shared" si="10"/>
        <v>Tetragonula species</v>
      </c>
      <c r="J325" t="s">
        <v>42</v>
      </c>
      <c r="K325" t="s">
        <v>334</v>
      </c>
      <c r="L325" t="s">
        <v>44</v>
      </c>
      <c r="M325" t="s">
        <v>45</v>
      </c>
      <c r="N325">
        <v>188</v>
      </c>
      <c r="O325" t="s">
        <v>119</v>
      </c>
      <c r="P325" t="s">
        <v>41</v>
      </c>
      <c r="Q325" s="4">
        <v>44707</v>
      </c>
      <c r="R325">
        <v>1</v>
      </c>
      <c r="U325" t="s">
        <v>225</v>
      </c>
      <c r="V325">
        <v>0</v>
      </c>
      <c r="AD325">
        <v>1</v>
      </c>
      <c r="AF325">
        <v>31</v>
      </c>
      <c r="AI325">
        <v>91</v>
      </c>
    </row>
    <row r="326" spans="1:35" x14ac:dyDescent="0.35">
      <c r="A326" t="s">
        <v>91</v>
      </c>
      <c r="B326" t="s">
        <v>24</v>
      </c>
      <c r="C326" t="s">
        <v>33</v>
      </c>
      <c r="D326" t="s">
        <v>34</v>
      </c>
      <c r="E326" t="s">
        <v>309</v>
      </c>
      <c r="F326" t="s">
        <v>42</v>
      </c>
      <c r="G326" s="20" t="s">
        <v>43</v>
      </c>
      <c r="H326" t="s">
        <v>7</v>
      </c>
      <c r="I326" t="str">
        <f t="shared" si="10"/>
        <v>Tetragonula species</v>
      </c>
      <c r="J326" t="s">
        <v>42</v>
      </c>
      <c r="K326" t="s">
        <v>334</v>
      </c>
      <c r="L326" t="s">
        <v>44</v>
      </c>
      <c r="M326" t="s">
        <v>45</v>
      </c>
      <c r="N326">
        <v>189</v>
      </c>
      <c r="O326" t="s">
        <v>119</v>
      </c>
      <c r="P326" t="s">
        <v>30</v>
      </c>
      <c r="Q326" s="4">
        <v>44714</v>
      </c>
      <c r="R326">
        <v>0</v>
      </c>
      <c r="S326" t="s">
        <v>107</v>
      </c>
      <c r="T326" t="s">
        <v>107</v>
      </c>
      <c r="U326" t="s">
        <v>271</v>
      </c>
      <c r="V326">
        <v>0</v>
      </c>
      <c r="AD326">
        <v>1</v>
      </c>
      <c r="AF326">
        <v>32</v>
      </c>
      <c r="AI326">
        <v>92</v>
      </c>
    </row>
    <row r="327" spans="1:35" x14ac:dyDescent="0.35">
      <c r="A327" t="s">
        <v>91</v>
      </c>
      <c r="B327" t="s">
        <v>24</v>
      </c>
      <c r="C327" t="s">
        <v>33</v>
      </c>
      <c r="D327" t="s">
        <v>34</v>
      </c>
      <c r="E327" t="s">
        <v>309</v>
      </c>
      <c r="F327" t="s">
        <v>42</v>
      </c>
      <c r="G327" s="20" t="s">
        <v>43</v>
      </c>
      <c r="H327" t="s">
        <v>7</v>
      </c>
      <c r="I327" t="str">
        <f t="shared" si="10"/>
        <v>Tetragonula species</v>
      </c>
      <c r="J327" t="s">
        <v>42</v>
      </c>
      <c r="K327" t="s">
        <v>334</v>
      </c>
      <c r="L327" t="s">
        <v>44</v>
      </c>
      <c r="M327" t="s">
        <v>45</v>
      </c>
      <c r="N327">
        <v>190</v>
      </c>
      <c r="O327" t="s">
        <v>119</v>
      </c>
      <c r="P327" t="s">
        <v>30</v>
      </c>
      <c r="Q327" s="4">
        <v>44714</v>
      </c>
      <c r="R327">
        <v>1</v>
      </c>
      <c r="S327" t="s">
        <v>107</v>
      </c>
      <c r="T327" t="s">
        <v>107</v>
      </c>
      <c r="U327" t="s">
        <v>271</v>
      </c>
      <c r="V327">
        <v>0</v>
      </c>
      <c r="AD327">
        <v>1</v>
      </c>
      <c r="AF327">
        <v>32</v>
      </c>
      <c r="AI327">
        <v>93</v>
      </c>
    </row>
    <row r="328" spans="1:35" x14ac:dyDescent="0.35">
      <c r="A328" t="s">
        <v>91</v>
      </c>
      <c r="B328" t="s">
        <v>24</v>
      </c>
      <c r="C328" t="s">
        <v>33</v>
      </c>
      <c r="D328" t="s">
        <v>34</v>
      </c>
      <c r="E328" t="s">
        <v>309</v>
      </c>
      <c r="F328" t="s">
        <v>42</v>
      </c>
      <c r="G328" s="20" t="s">
        <v>43</v>
      </c>
      <c r="H328" t="s">
        <v>7</v>
      </c>
      <c r="I328" t="str">
        <f t="shared" si="10"/>
        <v>Tetragonula species</v>
      </c>
      <c r="J328" t="s">
        <v>42</v>
      </c>
      <c r="K328" t="s">
        <v>334</v>
      </c>
      <c r="L328" t="s">
        <v>44</v>
      </c>
      <c r="M328" t="s">
        <v>45</v>
      </c>
      <c r="N328">
        <v>191</v>
      </c>
      <c r="O328" t="s">
        <v>119</v>
      </c>
      <c r="P328" t="s">
        <v>30</v>
      </c>
      <c r="Q328" s="4">
        <v>44714</v>
      </c>
      <c r="R328">
        <v>0</v>
      </c>
      <c r="S328" t="s">
        <v>107</v>
      </c>
      <c r="T328" t="s">
        <v>107</v>
      </c>
      <c r="U328" t="s">
        <v>271</v>
      </c>
      <c r="V328">
        <v>0</v>
      </c>
      <c r="AD328">
        <v>1</v>
      </c>
      <c r="AF328">
        <v>32</v>
      </c>
      <c r="AI328">
        <v>94</v>
      </c>
    </row>
    <row r="329" spans="1:35" x14ac:dyDescent="0.35">
      <c r="A329" t="s">
        <v>91</v>
      </c>
      <c r="B329" t="s">
        <v>24</v>
      </c>
      <c r="C329" t="s">
        <v>33</v>
      </c>
      <c r="D329" t="s">
        <v>34</v>
      </c>
      <c r="E329" t="s">
        <v>309</v>
      </c>
      <c r="F329" t="s">
        <v>42</v>
      </c>
      <c r="G329" s="20" t="s">
        <v>43</v>
      </c>
      <c r="H329" t="s">
        <v>7</v>
      </c>
      <c r="I329" t="str">
        <f t="shared" si="10"/>
        <v>Tetragonula species</v>
      </c>
      <c r="J329" t="s">
        <v>42</v>
      </c>
      <c r="K329" t="s">
        <v>334</v>
      </c>
      <c r="L329" t="s">
        <v>44</v>
      </c>
      <c r="M329" t="s">
        <v>45</v>
      </c>
      <c r="N329">
        <v>192</v>
      </c>
      <c r="O329" t="s">
        <v>119</v>
      </c>
      <c r="P329" t="s">
        <v>30</v>
      </c>
      <c r="Q329" s="4">
        <v>44714</v>
      </c>
      <c r="R329">
        <v>0</v>
      </c>
      <c r="S329" t="s">
        <v>107</v>
      </c>
      <c r="T329" t="s">
        <v>107</v>
      </c>
      <c r="U329" t="s">
        <v>271</v>
      </c>
      <c r="V329">
        <v>0</v>
      </c>
      <c r="AD329">
        <v>1</v>
      </c>
      <c r="AF329">
        <v>32</v>
      </c>
      <c r="AI329">
        <v>95</v>
      </c>
    </row>
    <row r="330" spans="1:35" x14ac:dyDescent="0.35">
      <c r="A330" t="s">
        <v>91</v>
      </c>
      <c r="B330" t="s">
        <v>24</v>
      </c>
      <c r="C330" t="s">
        <v>33</v>
      </c>
      <c r="D330" t="s">
        <v>34</v>
      </c>
      <c r="E330" t="s">
        <v>309</v>
      </c>
      <c r="F330" t="s">
        <v>42</v>
      </c>
      <c r="G330" s="20" t="s">
        <v>43</v>
      </c>
      <c r="H330" t="s">
        <v>7</v>
      </c>
      <c r="I330" t="str">
        <f t="shared" si="10"/>
        <v>Tetragonula species</v>
      </c>
      <c r="J330" t="s">
        <v>42</v>
      </c>
      <c r="K330" t="s">
        <v>334</v>
      </c>
      <c r="L330" t="s">
        <v>44</v>
      </c>
      <c r="M330" t="s">
        <v>45</v>
      </c>
      <c r="N330">
        <v>193</v>
      </c>
      <c r="O330" t="s">
        <v>119</v>
      </c>
      <c r="P330" t="s">
        <v>30</v>
      </c>
      <c r="Q330" s="4">
        <v>44714</v>
      </c>
      <c r="R330">
        <v>0</v>
      </c>
      <c r="S330" t="s">
        <v>107</v>
      </c>
      <c r="T330" t="s">
        <v>107</v>
      </c>
      <c r="U330" t="s">
        <v>271</v>
      </c>
      <c r="V330">
        <v>0</v>
      </c>
      <c r="AD330">
        <v>1</v>
      </c>
      <c r="AF330">
        <v>32</v>
      </c>
      <c r="AI330">
        <v>96</v>
      </c>
    </row>
    <row r="331" spans="1:35" x14ac:dyDescent="0.35">
      <c r="A331" t="s">
        <v>91</v>
      </c>
      <c r="B331" t="s">
        <v>24</v>
      </c>
      <c r="C331" t="s">
        <v>33</v>
      </c>
      <c r="D331" t="s">
        <v>34</v>
      </c>
      <c r="E331" t="s">
        <v>309</v>
      </c>
      <c r="F331" t="s">
        <v>42</v>
      </c>
      <c r="G331" s="20" t="s">
        <v>43</v>
      </c>
      <c r="H331" t="s">
        <v>7</v>
      </c>
      <c r="I331" t="str">
        <f t="shared" si="10"/>
        <v>Tetragonula species</v>
      </c>
      <c r="J331" t="s">
        <v>42</v>
      </c>
      <c r="K331" t="s">
        <v>334</v>
      </c>
      <c r="L331" t="s">
        <v>44</v>
      </c>
      <c r="M331" t="s">
        <v>45</v>
      </c>
      <c r="N331">
        <v>194</v>
      </c>
      <c r="O331" t="s">
        <v>119</v>
      </c>
      <c r="P331" t="s">
        <v>30</v>
      </c>
      <c r="Q331" s="4">
        <v>44714</v>
      </c>
      <c r="R331">
        <v>0</v>
      </c>
      <c r="S331" t="s">
        <v>107</v>
      </c>
      <c r="T331" t="s">
        <v>107</v>
      </c>
      <c r="U331" t="s">
        <v>271</v>
      </c>
      <c r="V331">
        <v>0</v>
      </c>
      <c r="AD331">
        <v>1</v>
      </c>
      <c r="AF331">
        <v>32</v>
      </c>
      <c r="AI331">
        <v>97</v>
      </c>
    </row>
    <row r="332" spans="1:35" x14ac:dyDescent="0.35">
      <c r="A332" t="s">
        <v>91</v>
      </c>
      <c r="B332" t="s">
        <v>24</v>
      </c>
      <c r="C332" t="s">
        <v>33</v>
      </c>
      <c r="D332" t="s">
        <v>34</v>
      </c>
      <c r="E332" t="s">
        <v>309</v>
      </c>
      <c r="F332" t="s">
        <v>42</v>
      </c>
      <c r="G332" s="20" t="s">
        <v>43</v>
      </c>
      <c r="H332" t="s">
        <v>7</v>
      </c>
      <c r="I332" t="str">
        <f t="shared" si="10"/>
        <v>Tetragonula species</v>
      </c>
      <c r="J332" t="s">
        <v>42</v>
      </c>
      <c r="K332" t="s">
        <v>334</v>
      </c>
      <c r="L332" t="s">
        <v>44</v>
      </c>
      <c r="M332" t="s">
        <v>45</v>
      </c>
      <c r="N332">
        <v>195</v>
      </c>
      <c r="O332" t="s">
        <v>119</v>
      </c>
      <c r="P332" t="s">
        <v>30</v>
      </c>
      <c r="Q332" s="4">
        <v>44714</v>
      </c>
      <c r="R332">
        <v>0</v>
      </c>
      <c r="S332" t="s">
        <v>107</v>
      </c>
      <c r="T332" t="s">
        <v>107</v>
      </c>
      <c r="U332" t="s">
        <v>271</v>
      </c>
      <c r="V332">
        <v>0</v>
      </c>
      <c r="AD332">
        <v>1</v>
      </c>
      <c r="AF332">
        <v>32</v>
      </c>
      <c r="AI332">
        <v>98</v>
      </c>
    </row>
    <row r="333" spans="1:35" x14ac:dyDescent="0.35">
      <c r="A333" t="s">
        <v>91</v>
      </c>
      <c r="B333" t="s">
        <v>24</v>
      </c>
      <c r="C333" t="s">
        <v>33</v>
      </c>
      <c r="D333" t="s">
        <v>34</v>
      </c>
      <c r="E333" t="s">
        <v>309</v>
      </c>
      <c r="F333" t="s">
        <v>42</v>
      </c>
      <c r="G333" s="20" t="s">
        <v>43</v>
      </c>
      <c r="H333" t="s">
        <v>7</v>
      </c>
      <c r="I333" t="str">
        <f t="shared" si="10"/>
        <v>Tetragonula species</v>
      </c>
      <c r="J333" t="s">
        <v>42</v>
      </c>
      <c r="K333" t="s">
        <v>334</v>
      </c>
      <c r="L333" t="s">
        <v>44</v>
      </c>
      <c r="M333" t="s">
        <v>45</v>
      </c>
      <c r="N333">
        <v>196</v>
      </c>
      <c r="O333" t="s">
        <v>119</v>
      </c>
      <c r="P333" t="s">
        <v>30</v>
      </c>
      <c r="Q333" s="4">
        <v>44714</v>
      </c>
      <c r="R333">
        <v>1</v>
      </c>
      <c r="S333" t="s">
        <v>107</v>
      </c>
      <c r="T333" t="s">
        <v>107</v>
      </c>
      <c r="U333" t="s">
        <v>271</v>
      </c>
      <c r="V333">
        <v>0</v>
      </c>
      <c r="AD333">
        <v>1</v>
      </c>
      <c r="AF333">
        <v>32</v>
      </c>
      <c r="AI333">
        <v>99</v>
      </c>
    </row>
    <row r="334" spans="1:35" x14ac:dyDescent="0.35">
      <c r="A334" t="s">
        <v>91</v>
      </c>
      <c r="B334" t="s">
        <v>24</v>
      </c>
      <c r="C334" t="s">
        <v>33</v>
      </c>
      <c r="D334" t="s">
        <v>34</v>
      </c>
      <c r="E334" t="s">
        <v>309</v>
      </c>
      <c r="F334" t="s">
        <v>42</v>
      </c>
      <c r="G334" s="20" t="s">
        <v>43</v>
      </c>
      <c r="H334" t="s">
        <v>7</v>
      </c>
      <c r="I334" t="str">
        <f t="shared" si="10"/>
        <v>Tetragonula species</v>
      </c>
      <c r="J334" t="s">
        <v>42</v>
      </c>
      <c r="K334" t="s">
        <v>334</v>
      </c>
      <c r="L334" t="s">
        <v>44</v>
      </c>
      <c r="M334" t="s">
        <v>45</v>
      </c>
      <c r="N334">
        <v>197</v>
      </c>
      <c r="O334" t="s">
        <v>119</v>
      </c>
      <c r="P334" t="s">
        <v>30</v>
      </c>
      <c r="Q334" s="4">
        <v>44714</v>
      </c>
      <c r="R334">
        <v>0</v>
      </c>
      <c r="S334" t="s">
        <v>107</v>
      </c>
      <c r="T334" t="s">
        <v>107</v>
      </c>
      <c r="U334" t="s">
        <v>271</v>
      </c>
      <c r="V334">
        <v>0</v>
      </c>
      <c r="AD334">
        <v>1</v>
      </c>
      <c r="AF334">
        <v>32</v>
      </c>
      <c r="AI334">
        <v>100</v>
      </c>
    </row>
    <row r="335" spans="1:35" x14ac:dyDescent="0.35">
      <c r="A335" t="s">
        <v>91</v>
      </c>
      <c r="B335" t="s">
        <v>24</v>
      </c>
      <c r="C335" t="s">
        <v>33</v>
      </c>
      <c r="D335" t="s">
        <v>34</v>
      </c>
      <c r="E335" t="s">
        <v>309</v>
      </c>
      <c r="F335" t="s">
        <v>42</v>
      </c>
      <c r="G335" s="20" t="s">
        <v>43</v>
      </c>
      <c r="H335" t="s">
        <v>7</v>
      </c>
      <c r="I335" t="str">
        <f t="shared" si="10"/>
        <v>Tetragonula species</v>
      </c>
      <c r="J335" t="s">
        <v>42</v>
      </c>
      <c r="K335" t="s">
        <v>334</v>
      </c>
      <c r="L335" t="s">
        <v>44</v>
      </c>
      <c r="M335" t="s">
        <v>45</v>
      </c>
      <c r="N335">
        <v>198</v>
      </c>
      <c r="O335" t="s">
        <v>119</v>
      </c>
      <c r="P335" t="s">
        <v>30</v>
      </c>
      <c r="Q335" s="4">
        <v>44714</v>
      </c>
      <c r="R335">
        <v>1</v>
      </c>
      <c r="S335" t="s">
        <v>107</v>
      </c>
      <c r="T335" t="s">
        <v>107</v>
      </c>
      <c r="U335" t="s">
        <v>271</v>
      </c>
      <c r="V335">
        <v>0</v>
      </c>
      <c r="AD335">
        <v>1</v>
      </c>
      <c r="AF335">
        <v>32</v>
      </c>
      <c r="AI335">
        <v>101</v>
      </c>
    </row>
    <row r="336" spans="1:35" x14ac:dyDescent="0.35">
      <c r="A336" t="s">
        <v>91</v>
      </c>
      <c r="B336" t="s">
        <v>24</v>
      </c>
      <c r="C336" t="s">
        <v>33</v>
      </c>
      <c r="D336" t="s">
        <v>34</v>
      </c>
      <c r="E336" t="s">
        <v>309</v>
      </c>
      <c r="F336" t="s">
        <v>42</v>
      </c>
      <c r="G336" s="20" t="s">
        <v>43</v>
      </c>
      <c r="H336" t="s">
        <v>7</v>
      </c>
      <c r="I336" t="str">
        <f t="shared" si="10"/>
        <v>Tetragonula species</v>
      </c>
      <c r="J336" t="s">
        <v>42</v>
      </c>
      <c r="K336" t="s">
        <v>334</v>
      </c>
      <c r="L336" t="s">
        <v>44</v>
      </c>
      <c r="M336" t="s">
        <v>45</v>
      </c>
      <c r="N336">
        <v>199</v>
      </c>
      <c r="O336" t="s">
        <v>119</v>
      </c>
      <c r="P336" t="s">
        <v>30</v>
      </c>
      <c r="Q336" s="4">
        <v>44714</v>
      </c>
      <c r="R336">
        <v>0</v>
      </c>
      <c r="S336" t="s">
        <v>107</v>
      </c>
      <c r="T336" t="s">
        <v>107</v>
      </c>
      <c r="U336" t="s">
        <v>271</v>
      </c>
      <c r="V336">
        <v>0</v>
      </c>
      <c r="AD336">
        <v>1</v>
      </c>
      <c r="AF336">
        <v>32</v>
      </c>
      <c r="AI336">
        <v>102</v>
      </c>
    </row>
    <row r="337" spans="1:35" x14ac:dyDescent="0.35">
      <c r="A337" t="s">
        <v>91</v>
      </c>
      <c r="B337" t="s">
        <v>24</v>
      </c>
      <c r="C337" t="s">
        <v>33</v>
      </c>
      <c r="D337" t="s">
        <v>34</v>
      </c>
      <c r="E337" t="s">
        <v>309</v>
      </c>
      <c r="F337" t="s">
        <v>42</v>
      </c>
      <c r="G337" s="20" t="s">
        <v>43</v>
      </c>
      <c r="H337" t="s">
        <v>7</v>
      </c>
      <c r="I337" t="str">
        <f t="shared" si="10"/>
        <v>Tetragonula species</v>
      </c>
      <c r="J337" t="s">
        <v>42</v>
      </c>
      <c r="K337" t="s">
        <v>334</v>
      </c>
      <c r="L337" t="s">
        <v>44</v>
      </c>
      <c r="M337" t="s">
        <v>45</v>
      </c>
      <c r="N337">
        <v>200</v>
      </c>
      <c r="O337" t="s">
        <v>119</v>
      </c>
      <c r="P337" t="s">
        <v>30</v>
      </c>
      <c r="Q337" s="4">
        <v>44714</v>
      </c>
      <c r="R337">
        <v>0</v>
      </c>
      <c r="S337" t="s">
        <v>107</v>
      </c>
      <c r="T337" t="s">
        <v>107</v>
      </c>
      <c r="U337" t="s">
        <v>271</v>
      </c>
      <c r="V337">
        <v>0</v>
      </c>
      <c r="AD337">
        <v>1</v>
      </c>
      <c r="AF337">
        <v>32</v>
      </c>
      <c r="AI337">
        <v>103</v>
      </c>
    </row>
    <row r="338" spans="1:35" x14ac:dyDescent="0.35">
      <c r="A338" t="s">
        <v>91</v>
      </c>
      <c r="B338" t="s">
        <v>24</v>
      </c>
      <c r="C338" t="s">
        <v>33</v>
      </c>
      <c r="D338" t="s">
        <v>34</v>
      </c>
      <c r="E338" t="s">
        <v>309</v>
      </c>
      <c r="F338" t="s">
        <v>42</v>
      </c>
      <c r="G338" s="20" t="s">
        <v>43</v>
      </c>
      <c r="H338" t="s">
        <v>7</v>
      </c>
      <c r="I338" t="str">
        <f t="shared" si="10"/>
        <v>Tetragonula species</v>
      </c>
      <c r="J338" t="s">
        <v>42</v>
      </c>
      <c r="K338" t="s">
        <v>334</v>
      </c>
      <c r="L338" t="s">
        <v>44</v>
      </c>
      <c r="M338" t="s">
        <v>45</v>
      </c>
      <c r="N338">
        <v>201</v>
      </c>
      <c r="O338" t="s">
        <v>119</v>
      </c>
      <c r="P338" t="s">
        <v>30</v>
      </c>
      <c r="Q338" s="4">
        <v>44714</v>
      </c>
      <c r="R338">
        <v>0</v>
      </c>
      <c r="S338" t="s">
        <v>107</v>
      </c>
      <c r="T338" t="s">
        <v>107</v>
      </c>
      <c r="U338" t="s">
        <v>271</v>
      </c>
      <c r="V338">
        <v>0</v>
      </c>
      <c r="AD338">
        <v>1</v>
      </c>
      <c r="AF338">
        <v>32</v>
      </c>
      <c r="AI338">
        <v>104</v>
      </c>
    </row>
    <row r="339" spans="1:35" x14ac:dyDescent="0.35">
      <c r="A339" t="s">
        <v>91</v>
      </c>
      <c r="B339" t="s">
        <v>24</v>
      </c>
      <c r="C339" t="s">
        <v>33</v>
      </c>
      <c r="D339" t="s">
        <v>34</v>
      </c>
      <c r="E339" t="s">
        <v>309</v>
      </c>
      <c r="F339" t="s">
        <v>42</v>
      </c>
      <c r="G339" s="20" t="s">
        <v>43</v>
      </c>
      <c r="H339" t="s">
        <v>7</v>
      </c>
      <c r="I339" t="str">
        <f t="shared" si="10"/>
        <v>Tetragonula species</v>
      </c>
      <c r="J339" t="s">
        <v>42</v>
      </c>
      <c r="K339" t="s">
        <v>334</v>
      </c>
      <c r="L339" t="s">
        <v>44</v>
      </c>
      <c r="M339" t="s">
        <v>45</v>
      </c>
      <c r="N339">
        <v>202</v>
      </c>
      <c r="O339" t="s">
        <v>119</v>
      </c>
      <c r="P339" t="s">
        <v>30</v>
      </c>
      <c r="Q339" s="4">
        <v>44714</v>
      </c>
      <c r="R339">
        <v>0</v>
      </c>
      <c r="S339" t="s">
        <v>107</v>
      </c>
      <c r="T339" t="s">
        <v>107</v>
      </c>
      <c r="U339" t="s">
        <v>271</v>
      </c>
      <c r="V339">
        <v>0</v>
      </c>
      <c r="AD339">
        <v>1</v>
      </c>
      <c r="AF339">
        <v>32</v>
      </c>
      <c r="AI339">
        <v>105</v>
      </c>
    </row>
    <row r="340" spans="1:35" x14ac:dyDescent="0.35">
      <c r="A340" t="s">
        <v>91</v>
      </c>
      <c r="B340" t="s">
        <v>24</v>
      </c>
      <c r="C340" t="s">
        <v>33</v>
      </c>
      <c r="D340" t="s">
        <v>34</v>
      </c>
      <c r="E340" t="s">
        <v>309</v>
      </c>
      <c r="F340" t="s">
        <v>42</v>
      </c>
      <c r="G340" s="20" t="s">
        <v>43</v>
      </c>
      <c r="H340" t="s">
        <v>7</v>
      </c>
      <c r="I340" t="str">
        <f t="shared" si="10"/>
        <v>Tetragonula species</v>
      </c>
      <c r="J340" t="s">
        <v>42</v>
      </c>
      <c r="K340" t="s">
        <v>334</v>
      </c>
      <c r="L340" t="s">
        <v>44</v>
      </c>
      <c r="M340" t="s">
        <v>45</v>
      </c>
      <c r="N340">
        <v>203</v>
      </c>
      <c r="O340" t="s">
        <v>119</v>
      </c>
      <c r="P340" t="s">
        <v>30</v>
      </c>
      <c r="Q340" s="4">
        <v>44714</v>
      </c>
      <c r="R340">
        <v>1</v>
      </c>
      <c r="S340" t="s">
        <v>107</v>
      </c>
      <c r="T340" t="s">
        <v>107</v>
      </c>
      <c r="U340" t="s">
        <v>271</v>
      </c>
      <c r="V340">
        <v>0</v>
      </c>
      <c r="AD340">
        <v>1</v>
      </c>
      <c r="AF340">
        <v>32</v>
      </c>
      <c r="AI340">
        <v>106</v>
      </c>
    </row>
    <row r="341" spans="1:35" x14ac:dyDescent="0.35">
      <c r="A341" t="s">
        <v>91</v>
      </c>
      <c r="B341" t="s">
        <v>24</v>
      </c>
      <c r="C341" t="s">
        <v>33</v>
      </c>
      <c r="D341" t="s">
        <v>34</v>
      </c>
      <c r="E341" t="s">
        <v>309</v>
      </c>
      <c r="F341" t="s">
        <v>42</v>
      </c>
      <c r="G341" s="20" t="s">
        <v>43</v>
      </c>
      <c r="H341" t="s">
        <v>7</v>
      </c>
      <c r="I341" t="str">
        <f t="shared" si="10"/>
        <v>Tetragonula species</v>
      </c>
      <c r="J341" t="s">
        <v>42</v>
      </c>
      <c r="K341" t="s">
        <v>334</v>
      </c>
      <c r="L341" t="s">
        <v>44</v>
      </c>
      <c r="M341" t="s">
        <v>45</v>
      </c>
      <c r="N341">
        <v>204</v>
      </c>
      <c r="O341" t="s">
        <v>119</v>
      </c>
      <c r="P341" t="s">
        <v>30</v>
      </c>
      <c r="Q341" s="4">
        <v>44714</v>
      </c>
      <c r="R341">
        <v>0</v>
      </c>
      <c r="S341" t="s">
        <v>107</v>
      </c>
      <c r="T341" t="s">
        <v>107</v>
      </c>
      <c r="U341" t="s">
        <v>271</v>
      </c>
      <c r="V341">
        <v>0</v>
      </c>
      <c r="AD341">
        <v>1</v>
      </c>
      <c r="AF341">
        <v>32</v>
      </c>
      <c r="AI341">
        <v>107</v>
      </c>
    </row>
    <row r="342" spans="1:35" x14ac:dyDescent="0.35">
      <c r="A342" t="s">
        <v>91</v>
      </c>
      <c r="B342" t="s">
        <v>24</v>
      </c>
      <c r="C342" t="s">
        <v>33</v>
      </c>
      <c r="D342" t="s">
        <v>34</v>
      </c>
      <c r="E342" t="s">
        <v>309</v>
      </c>
      <c r="F342" t="s">
        <v>42</v>
      </c>
      <c r="G342" s="20" t="s">
        <v>43</v>
      </c>
      <c r="H342" t="s">
        <v>7</v>
      </c>
      <c r="I342" t="str">
        <f t="shared" si="10"/>
        <v>Tetragonula species</v>
      </c>
      <c r="J342" t="s">
        <v>42</v>
      </c>
      <c r="K342" t="s">
        <v>334</v>
      </c>
      <c r="L342" t="s">
        <v>44</v>
      </c>
      <c r="M342" t="s">
        <v>45</v>
      </c>
      <c r="N342">
        <v>205</v>
      </c>
      <c r="O342" t="s">
        <v>119</v>
      </c>
      <c r="P342" t="s">
        <v>30</v>
      </c>
      <c r="Q342" s="4">
        <v>44714</v>
      </c>
      <c r="R342">
        <v>0</v>
      </c>
      <c r="S342" t="s">
        <v>107</v>
      </c>
      <c r="T342" t="s">
        <v>107</v>
      </c>
      <c r="U342" t="s">
        <v>271</v>
      </c>
      <c r="V342">
        <v>0</v>
      </c>
      <c r="AD342">
        <v>1</v>
      </c>
      <c r="AF342">
        <v>32</v>
      </c>
      <c r="AI342">
        <v>108</v>
      </c>
    </row>
    <row r="343" spans="1:35" x14ac:dyDescent="0.35">
      <c r="A343" t="s">
        <v>91</v>
      </c>
      <c r="B343" t="s">
        <v>24</v>
      </c>
      <c r="C343" t="s">
        <v>33</v>
      </c>
      <c r="D343" t="s">
        <v>34</v>
      </c>
      <c r="E343" t="s">
        <v>309</v>
      </c>
      <c r="F343" t="s">
        <v>42</v>
      </c>
      <c r="G343" s="20" t="s">
        <v>43</v>
      </c>
      <c r="H343" t="s">
        <v>7</v>
      </c>
      <c r="I343" t="str">
        <f t="shared" si="10"/>
        <v>Tetragonula species</v>
      </c>
      <c r="J343" t="s">
        <v>42</v>
      </c>
      <c r="K343" t="s">
        <v>334</v>
      </c>
      <c r="L343" t="s">
        <v>44</v>
      </c>
      <c r="M343" t="s">
        <v>45</v>
      </c>
      <c r="N343">
        <v>206</v>
      </c>
      <c r="O343" t="s">
        <v>119</v>
      </c>
      <c r="P343" t="s">
        <v>30</v>
      </c>
      <c r="Q343" s="4">
        <v>44714</v>
      </c>
      <c r="R343">
        <v>0</v>
      </c>
      <c r="S343" t="s">
        <v>107</v>
      </c>
      <c r="T343" t="s">
        <v>107</v>
      </c>
      <c r="U343" t="s">
        <v>271</v>
      </c>
      <c r="V343">
        <v>0</v>
      </c>
      <c r="AD343">
        <v>1</v>
      </c>
      <c r="AF343">
        <v>32</v>
      </c>
      <c r="AI343">
        <v>109</v>
      </c>
    </row>
    <row r="344" spans="1:35" x14ac:dyDescent="0.35">
      <c r="A344" t="s">
        <v>91</v>
      </c>
      <c r="B344" t="s">
        <v>24</v>
      </c>
      <c r="C344" t="s">
        <v>33</v>
      </c>
      <c r="D344" t="s">
        <v>34</v>
      </c>
      <c r="E344" t="s">
        <v>309</v>
      </c>
      <c r="F344" t="s">
        <v>42</v>
      </c>
      <c r="G344" s="20" t="s">
        <v>43</v>
      </c>
      <c r="H344" t="s">
        <v>7</v>
      </c>
      <c r="I344" t="str">
        <f t="shared" si="10"/>
        <v>Tetragonula species</v>
      </c>
      <c r="J344" t="s">
        <v>42</v>
      </c>
      <c r="K344" t="s">
        <v>334</v>
      </c>
      <c r="L344" t="s">
        <v>44</v>
      </c>
      <c r="M344" t="s">
        <v>45</v>
      </c>
      <c r="N344">
        <v>207</v>
      </c>
      <c r="O344" t="s">
        <v>119</v>
      </c>
      <c r="P344" t="s">
        <v>30</v>
      </c>
      <c r="Q344" s="4">
        <v>44714</v>
      </c>
      <c r="R344">
        <v>0</v>
      </c>
      <c r="S344" t="s">
        <v>107</v>
      </c>
      <c r="T344" t="s">
        <v>107</v>
      </c>
      <c r="U344" t="s">
        <v>271</v>
      </c>
      <c r="V344">
        <v>0</v>
      </c>
      <c r="AD344">
        <v>1</v>
      </c>
      <c r="AF344">
        <v>32</v>
      </c>
      <c r="AI344">
        <v>110</v>
      </c>
    </row>
    <row r="345" spans="1:35" x14ac:dyDescent="0.35">
      <c r="A345" t="s">
        <v>91</v>
      </c>
      <c r="B345" t="s">
        <v>24</v>
      </c>
      <c r="C345" t="s">
        <v>33</v>
      </c>
      <c r="D345" t="s">
        <v>34</v>
      </c>
      <c r="E345" t="s">
        <v>309</v>
      </c>
      <c r="F345" t="s">
        <v>42</v>
      </c>
      <c r="G345" s="20" t="s">
        <v>43</v>
      </c>
      <c r="H345" t="s">
        <v>7</v>
      </c>
      <c r="I345" t="str">
        <f t="shared" si="10"/>
        <v>Tetragonula species</v>
      </c>
      <c r="J345" t="s">
        <v>42</v>
      </c>
      <c r="K345" t="s">
        <v>334</v>
      </c>
      <c r="L345" t="s">
        <v>44</v>
      </c>
      <c r="M345" t="s">
        <v>45</v>
      </c>
      <c r="N345">
        <v>208</v>
      </c>
      <c r="O345" t="s">
        <v>119</v>
      </c>
      <c r="P345" t="s">
        <v>30</v>
      </c>
      <c r="Q345" s="4">
        <v>44714</v>
      </c>
      <c r="R345">
        <v>0</v>
      </c>
      <c r="S345" t="s">
        <v>107</v>
      </c>
      <c r="T345" t="s">
        <v>107</v>
      </c>
      <c r="U345" t="s">
        <v>271</v>
      </c>
      <c r="V345">
        <v>0</v>
      </c>
      <c r="AD345">
        <v>1</v>
      </c>
      <c r="AF345">
        <v>32</v>
      </c>
      <c r="AI345">
        <v>111</v>
      </c>
    </row>
    <row r="346" spans="1:35" x14ac:dyDescent="0.35">
      <c r="A346" t="s">
        <v>91</v>
      </c>
      <c r="B346" t="s">
        <v>24</v>
      </c>
      <c r="C346" t="s">
        <v>33</v>
      </c>
      <c r="D346" t="s">
        <v>34</v>
      </c>
      <c r="E346" t="s">
        <v>309</v>
      </c>
      <c r="F346" t="s">
        <v>42</v>
      </c>
      <c r="G346" s="20" t="s">
        <v>43</v>
      </c>
      <c r="H346" t="s">
        <v>7</v>
      </c>
      <c r="I346" t="str">
        <f t="shared" si="10"/>
        <v>Tetragonula species</v>
      </c>
      <c r="J346" t="s">
        <v>42</v>
      </c>
      <c r="K346" t="s">
        <v>334</v>
      </c>
      <c r="L346" t="s">
        <v>44</v>
      </c>
      <c r="M346" t="s">
        <v>45</v>
      </c>
      <c r="N346">
        <v>209</v>
      </c>
      <c r="O346" t="s">
        <v>119</v>
      </c>
      <c r="P346" t="s">
        <v>30</v>
      </c>
      <c r="Q346" s="4">
        <v>44714</v>
      </c>
      <c r="R346">
        <v>1</v>
      </c>
      <c r="S346" t="s">
        <v>107</v>
      </c>
      <c r="T346" t="s">
        <v>107</v>
      </c>
      <c r="U346" t="s">
        <v>271</v>
      </c>
      <c r="V346">
        <v>0</v>
      </c>
      <c r="AD346">
        <v>1</v>
      </c>
      <c r="AF346">
        <v>32</v>
      </c>
      <c r="AI346">
        <v>112</v>
      </c>
    </row>
    <row r="347" spans="1:35" x14ac:dyDescent="0.35">
      <c r="A347" t="s">
        <v>91</v>
      </c>
      <c r="B347" t="s">
        <v>24</v>
      </c>
      <c r="C347" t="s">
        <v>33</v>
      </c>
      <c r="D347" t="s">
        <v>34</v>
      </c>
      <c r="E347" t="s">
        <v>309</v>
      </c>
      <c r="F347" t="s">
        <v>42</v>
      </c>
      <c r="G347" s="20" t="s">
        <v>43</v>
      </c>
      <c r="H347" t="s">
        <v>7</v>
      </c>
      <c r="I347" t="str">
        <f t="shared" si="10"/>
        <v>Tetragonula species</v>
      </c>
      <c r="J347" t="s">
        <v>42</v>
      </c>
      <c r="K347" t="s">
        <v>334</v>
      </c>
      <c r="L347" t="s">
        <v>44</v>
      </c>
      <c r="M347" t="s">
        <v>45</v>
      </c>
      <c r="N347">
        <v>210</v>
      </c>
      <c r="O347" t="s">
        <v>119</v>
      </c>
      <c r="P347" t="s">
        <v>30</v>
      </c>
      <c r="Q347" s="4">
        <v>44714</v>
      </c>
      <c r="R347">
        <v>1</v>
      </c>
      <c r="S347" t="s">
        <v>107</v>
      </c>
      <c r="T347" t="s">
        <v>107</v>
      </c>
      <c r="U347" t="s">
        <v>271</v>
      </c>
      <c r="V347">
        <v>0</v>
      </c>
      <c r="AD347">
        <v>1</v>
      </c>
      <c r="AF347">
        <v>32</v>
      </c>
      <c r="AI347">
        <v>113</v>
      </c>
    </row>
    <row r="348" spans="1:35" x14ac:dyDescent="0.35">
      <c r="A348" t="s">
        <v>91</v>
      </c>
      <c r="B348" t="s">
        <v>24</v>
      </c>
      <c r="C348" t="s">
        <v>33</v>
      </c>
      <c r="D348" t="s">
        <v>34</v>
      </c>
      <c r="E348" t="s">
        <v>309</v>
      </c>
      <c r="F348" t="s">
        <v>42</v>
      </c>
      <c r="G348" s="20" t="s">
        <v>43</v>
      </c>
      <c r="H348" t="s">
        <v>7</v>
      </c>
      <c r="I348" t="str">
        <f t="shared" si="10"/>
        <v>Tetragonula species</v>
      </c>
      <c r="J348" t="s">
        <v>42</v>
      </c>
      <c r="K348" t="s">
        <v>334</v>
      </c>
      <c r="L348" t="s">
        <v>44</v>
      </c>
      <c r="M348" t="s">
        <v>45</v>
      </c>
      <c r="N348">
        <v>211</v>
      </c>
      <c r="O348" t="s">
        <v>119</v>
      </c>
      <c r="P348" t="s">
        <v>30</v>
      </c>
      <c r="Q348" s="4">
        <v>44714</v>
      </c>
      <c r="R348">
        <v>1</v>
      </c>
      <c r="S348" t="s">
        <v>107</v>
      </c>
      <c r="T348" t="s">
        <v>107</v>
      </c>
      <c r="U348" t="s">
        <v>271</v>
      </c>
      <c r="V348">
        <v>0</v>
      </c>
      <c r="AD348">
        <v>1</v>
      </c>
      <c r="AF348">
        <v>32</v>
      </c>
      <c r="AI348">
        <v>114</v>
      </c>
    </row>
    <row r="349" spans="1:35" x14ac:dyDescent="0.35">
      <c r="A349" t="s">
        <v>91</v>
      </c>
      <c r="B349" t="s">
        <v>24</v>
      </c>
      <c r="C349" t="s">
        <v>33</v>
      </c>
      <c r="D349" t="s">
        <v>34</v>
      </c>
      <c r="E349" t="s">
        <v>309</v>
      </c>
      <c r="F349" t="s">
        <v>42</v>
      </c>
      <c r="G349" s="20" t="s">
        <v>43</v>
      </c>
      <c r="H349" t="s">
        <v>7</v>
      </c>
      <c r="I349" t="str">
        <f t="shared" si="10"/>
        <v>Tetragonula species</v>
      </c>
      <c r="J349" t="s">
        <v>42</v>
      </c>
      <c r="K349" t="s">
        <v>334</v>
      </c>
      <c r="L349" t="s">
        <v>44</v>
      </c>
      <c r="M349" t="s">
        <v>45</v>
      </c>
      <c r="N349">
        <v>212</v>
      </c>
      <c r="O349" t="s">
        <v>119</v>
      </c>
      <c r="P349" t="s">
        <v>30</v>
      </c>
      <c r="Q349" s="4">
        <v>44714</v>
      </c>
      <c r="R349">
        <v>1</v>
      </c>
      <c r="S349" t="s">
        <v>107</v>
      </c>
      <c r="T349" t="s">
        <v>107</v>
      </c>
      <c r="U349" t="s">
        <v>271</v>
      </c>
      <c r="V349">
        <v>0</v>
      </c>
      <c r="AD349">
        <v>1</v>
      </c>
      <c r="AF349">
        <v>32</v>
      </c>
      <c r="AI349">
        <v>115</v>
      </c>
    </row>
    <row r="350" spans="1:35" x14ac:dyDescent="0.35">
      <c r="A350" t="s">
        <v>91</v>
      </c>
      <c r="B350" t="s">
        <v>24</v>
      </c>
      <c r="C350" t="s">
        <v>33</v>
      </c>
      <c r="D350" t="s">
        <v>34</v>
      </c>
      <c r="E350" t="s">
        <v>309</v>
      </c>
      <c r="F350" t="s">
        <v>42</v>
      </c>
      <c r="G350" s="20" t="s">
        <v>43</v>
      </c>
      <c r="H350" t="s">
        <v>7</v>
      </c>
      <c r="I350" t="str">
        <f t="shared" si="10"/>
        <v>Tetragonula species</v>
      </c>
      <c r="J350" t="s">
        <v>42</v>
      </c>
      <c r="K350" t="s">
        <v>334</v>
      </c>
      <c r="L350" t="s">
        <v>44</v>
      </c>
      <c r="M350" t="s">
        <v>45</v>
      </c>
      <c r="N350">
        <v>213</v>
      </c>
      <c r="O350" t="s">
        <v>119</v>
      </c>
      <c r="P350" t="s">
        <v>30</v>
      </c>
      <c r="Q350" s="4">
        <v>44714</v>
      </c>
      <c r="R350">
        <v>1</v>
      </c>
      <c r="S350" t="s">
        <v>107</v>
      </c>
      <c r="T350" t="s">
        <v>107</v>
      </c>
      <c r="U350" t="s">
        <v>271</v>
      </c>
      <c r="V350">
        <v>0</v>
      </c>
      <c r="AD350">
        <v>1</v>
      </c>
      <c r="AF350">
        <v>32</v>
      </c>
      <c r="AI350">
        <v>116</v>
      </c>
    </row>
    <row r="351" spans="1:35" x14ac:dyDescent="0.35">
      <c r="A351" t="s">
        <v>91</v>
      </c>
      <c r="B351" t="s">
        <v>24</v>
      </c>
      <c r="C351" t="s">
        <v>33</v>
      </c>
      <c r="D351" t="s">
        <v>34</v>
      </c>
      <c r="E351" t="s">
        <v>309</v>
      </c>
      <c r="F351" t="s">
        <v>42</v>
      </c>
      <c r="G351" s="20" t="s">
        <v>43</v>
      </c>
      <c r="H351" t="s">
        <v>7</v>
      </c>
      <c r="I351" t="str">
        <f t="shared" si="10"/>
        <v>Tetragonula species</v>
      </c>
      <c r="J351" t="s">
        <v>42</v>
      </c>
      <c r="K351" t="s">
        <v>334</v>
      </c>
      <c r="L351" t="s">
        <v>44</v>
      </c>
      <c r="M351" t="s">
        <v>45</v>
      </c>
      <c r="N351">
        <v>214</v>
      </c>
      <c r="O351" t="s">
        <v>119</v>
      </c>
      <c r="P351" t="s">
        <v>30</v>
      </c>
      <c r="Q351" s="4">
        <v>44714</v>
      </c>
      <c r="R351">
        <v>0</v>
      </c>
      <c r="S351" t="s">
        <v>107</v>
      </c>
      <c r="T351" t="s">
        <v>107</v>
      </c>
      <c r="U351" t="s">
        <v>271</v>
      </c>
      <c r="V351">
        <v>0</v>
      </c>
      <c r="AD351">
        <v>1</v>
      </c>
      <c r="AF351">
        <v>26</v>
      </c>
      <c r="AI351">
        <v>117</v>
      </c>
    </row>
    <row r="352" spans="1:35" x14ac:dyDescent="0.35">
      <c r="A352" t="s">
        <v>91</v>
      </c>
      <c r="B352" t="s">
        <v>24</v>
      </c>
      <c r="C352" t="s">
        <v>33</v>
      </c>
      <c r="D352" t="s">
        <v>34</v>
      </c>
      <c r="E352" t="s">
        <v>309</v>
      </c>
      <c r="F352" t="s">
        <v>42</v>
      </c>
      <c r="G352" s="20" t="s">
        <v>43</v>
      </c>
      <c r="H352" t="s">
        <v>7</v>
      </c>
      <c r="I352" t="str">
        <f t="shared" si="10"/>
        <v>Tetragonula species</v>
      </c>
      <c r="J352" t="s">
        <v>42</v>
      </c>
      <c r="K352" t="s">
        <v>334</v>
      </c>
      <c r="L352" t="s">
        <v>44</v>
      </c>
      <c r="M352" t="s">
        <v>45</v>
      </c>
      <c r="N352">
        <v>215</v>
      </c>
      <c r="O352" t="s">
        <v>119</v>
      </c>
      <c r="P352" t="s">
        <v>30</v>
      </c>
      <c r="Q352" s="4">
        <v>44714</v>
      </c>
      <c r="R352">
        <v>1</v>
      </c>
      <c r="S352" t="s">
        <v>107</v>
      </c>
      <c r="T352" t="s">
        <v>107</v>
      </c>
      <c r="U352" t="s">
        <v>271</v>
      </c>
      <c r="V352">
        <v>0</v>
      </c>
      <c r="AD352">
        <v>1</v>
      </c>
      <c r="AF352">
        <v>26</v>
      </c>
      <c r="AI352">
        <v>118</v>
      </c>
    </row>
    <row r="353" spans="1:35" x14ac:dyDescent="0.35">
      <c r="A353" t="s">
        <v>91</v>
      </c>
      <c r="B353" t="s">
        <v>24</v>
      </c>
      <c r="C353" t="s">
        <v>33</v>
      </c>
      <c r="D353" t="s">
        <v>34</v>
      </c>
      <c r="E353" t="s">
        <v>309</v>
      </c>
      <c r="F353" t="s">
        <v>42</v>
      </c>
      <c r="G353" s="20" t="s">
        <v>43</v>
      </c>
      <c r="H353" t="s">
        <v>7</v>
      </c>
      <c r="I353" t="str">
        <f t="shared" si="10"/>
        <v>Tetragonula species</v>
      </c>
      <c r="J353" t="s">
        <v>42</v>
      </c>
      <c r="K353" t="s">
        <v>334</v>
      </c>
      <c r="L353" t="s">
        <v>44</v>
      </c>
      <c r="M353" t="s">
        <v>45</v>
      </c>
      <c r="N353">
        <v>216</v>
      </c>
      <c r="O353" t="s">
        <v>119</v>
      </c>
      <c r="P353" t="s">
        <v>30</v>
      </c>
      <c r="Q353" s="4">
        <v>44714</v>
      </c>
      <c r="R353">
        <v>0</v>
      </c>
      <c r="S353" t="s">
        <v>107</v>
      </c>
      <c r="T353" t="s">
        <v>107</v>
      </c>
      <c r="U353" t="s">
        <v>271</v>
      </c>
      <c r="V353">
        <v>0</v>
      </c>
      <c r="AD353">
        <v>1</v>
      </c>
      <c r="AF353">
        <v>26</v>
      </c>
      <c r="AI353">
        <v>119</v>
      </c>
    </row>
    <row r="354" spans="1:35" x14ac:dyDescent="0.35">
      <c r="A354" t="s">
        <v>91</v>
      </c>
      <c r="B354" t="s">
        <v>24</v>
      </c>
      <c r="C354" t="s">
        <v>33</v>
      </c>
      <c r="D354" t="s">
        <v>34</v>
      </c>
      <c r="E354" t="s">
        <v>309</v>
      </c>
      <c r="F354" t="s">
        <v>42</v>
      </c>
      <c r="G354" s="20" t="s">
        <v>43</v>
      </c>
      <c r="H354" t="s">
        <v>7</v>
      </c>
      <c r="I354" t="str">
        <f t="shared" si="10"/>
        <v>Tetragonula species</v>
      </c>
      <c r="J354" t="s">
        <v>42</v>
      </c>
      <c r="K354" t="s">
        <v>334</v>
      </c>
      <c r="L354" t="s">
        <v>44</v>
      </c>
      <c r="M354" t="s">
        <v>45</v>
      </c>
      <c r="N354">
        <v>217</v>
      </c>
      <c r="O354" t="s">
        <v>119</v>
      </c>
      <c r="P354" t="s">
        <v>30</v>
      </c>
      <c r="Q354" s="4">
        <v>44714</v>
      </c>
      <c r="R354">
        <v>1</v>
      </c>
      <c r="S354" t="s">
        <v>107</v>
      </c>
      <c r="T354" t="s">
        <v>107</v>
      </c>
      <c r="U354" t="s">
        <v>271</v>
      </c>
      <c r="V354">
        <v>0</v>
      </c>
      <c r="AD354">
        <v>1</v>
      </c>
      <c r="AF354">
        <v>45</v>
      </c>
      <c r="AI354">
        <v>120</v>
      </c>
    </row>
    <row r="355" spans="1:35" x14ac:dyDescent="0.35">
      <c r="A355" t="s">
        <v>91</v>
      </c>
      <c r="B355" t="s">
        <v>24</v>
      </c>
      <c r="C355" t="s">
        <v>33</v>
      </c>
      <c r="D355" t="s">
        <v>34</v>
      </c>
      <c r="E355" t="s">
        <v>309</v>
      </c>
      <c r="F355" t="s">
        <v>42</v>
      </c>
      <c r="G355" s="20" t="s">
        <v>43</v>
      </c>
      <c r="H355" t="s">
        <v>7</v>
      </c>
      <c r="I355" t="str">
        <f t="shared" si="10"/>
        <v>Tetragonula species</v>
      </c>
      <c r="J355" t="s">
        <v>42</v>
      </c>
      <c r="K355" t="s">
        <v>334</v>
      </c>
      <c r="L355" t="s">
        <v>44</v>
      </c>
      <c r="M355" t="s">
        <v>45</v>
      </c>
      <c r="N355">
        <v>218</v>
      </c>
      <c r="O355" t="s">
        <v>119</v>
      </c>
      <c r="P355" t="s">
        <v>30</v>
      </c>
      <c r="Q355" s="4">
        <v>44714</v>
      </c>
      <c r="R355">
        <v>0</v>
      </c>
      <c r="S355" t="s">
        <v>107</v>
      </c>
      <c r="T355" t="s">
        <v>107</v>
      </c>
      <c r="U355" t="s">
        <v>271</v>
      </c>
      <c r="V355">
        <v>0</v>
      </c>
      <c r="AD355">
        <v>1</v>
      </c>
      <c r="AF355">
        <v>45</v>
      </c>
      <c r="AI355">
        <v>121</v>
      </c>
    </row>
    <row r="356" spans="1:35" x14ac:dyDescent="0.35">
      <c r="A356" t="s">
        <v>91</v>
      </c>
      <c r="B356" t="s">
        <v>24</v>
      </c>
      <c r="C356" t="s">
        <v>33</v>
      </c>
      <c r="D356" t="s">
        <v>34</v>
      </c>
      <c r="E356" t="s">
        <v>309</v>
      </c>
      <c r="F356" t="s">
        <v>42</v>
      </c>
      <c r="G356" s="20" t="s">
        <v>43</v>
      </c>
      <c r="H356" t="s">
        <v>7</v>
      </c>
      <c r="I356" t="str">
        <f t="shared" si="10"/>
        <v>Tetragonula species</v>
      </c>
      <c r="J356" t="s">
        <v>42</v>
      </c>
      <c r="K356" t="s">
        <v>334</v>
      </c>
      <c r="L356" t="s">
        <v>44</v>
      </c>
      <c r="M356" t="s">
        <v>45</v>
      </c>
      <c r="N356">
        <v>219</v>
      </c>
      <c r="O356" t="s">
        <v>119</v>
      </c>
      <c r="P356" t="s">
        <v>30</v>
      </c>
      <c r="Q356" s="4">
        <v>44714</v>
      </c>
      <c r="R356">
        <v>1</v>
      </c>
      <c r="S356" t="s">
        <v>107</v>
      </c>
      <c r="T356" t="s">
        <v>107</v>
      </c>
      <c r="U356" t="s">
        <v>271</v>
      </c>
      <c r="V356">
        <v>0</v>
      </c>
      <c r="AD356">
        <v>1</v>
      </c>
      <c r="AF356">
        <v>45</v>
      </c>
      <c r="AI356">
        <v>122</v>
      </c>
    </row>
    <row r="357" spans="1:35" x14ac:dyDescent="0.35">
      <c r="A357" t="s">
        <v>91</v>
      </c>
      <c r="B357" t="s">
        <v>24</v>
      </c>
      <c r="C357" t="s">
        <v>33</v>
      </c>
      <c r="D357" t="s">
        <v>34</v>
      </c>
      <c r="E357" t="s">
        <v>309</v>
      </c>
      <c r="F357" t="s">
        <v>42</v>
      </c>
      <c r="G357" s="20" t="s">
        <v>43</v>
      </c>
      <c r="H357" t="s">
        <v>7</v>
      </c>
      <c r="I357" t="str">
        <f t="shared" si="10"/>
        <v>Tetragonula species</v>
      </c>
      <c r="J357" t="s">
        <v>42</v>
      </c>
      <c r="K357" t="s">
        <v>334</v>
      </c>
      <c r="L357" t="s">
        <v>44</v>
      </c>
      <c r="M357" t="s">
        <v>45</v>
      </c>
      <c r="N357">
        <v>220</v>
      </c>
      <c r="O357" t="s">
        <v>119</v>
      </c>
      <c r="P357" t="s">
        <v>30</v>
      </c>
      <c r="Q357" s="4">
        <v>44714</v>
      </c>
      <c r="R357">
        <v>1</v>
      </c>
      <c r="S357" t="s">
        <v>107</v>
      </c>
      <c r="T357" t="s">
        <v>107</v>
      </c>
      <c r="U357" t="s">
        <v>271</v>
      </c>
      <c r="V357">
        <v>0</v>
      </c>
      <c r="AD357">
        <v>1</v>
      </c>
      <c r="AF357">
        <v>45</v>
      </c>
      <c r="AI357">
        <v>123</v>
      </c>
    </row>
    <row r="358" spans="1:35" x14ac:dyDescent="0.35">
      <c r="A358" t="s">
        <v>91</v>
      </c>
      <c r="B358" t="s">
        <v>24</v>
      </c>
      <c r="C358" t="s">
        <v>33</v>
      </c>
      <c r="D358" t="s">
        <v>34</v>
      </c>
      <c r="E358" t="s">
        <v>309</v>
      </c>
      <c r="F358" t="s">
        <v>42</v>
      </c>
      <c r="G358" s="20" t="s">
        <v>43</v>
      </c>
      <c r="H358" t="s">
        <v>7</v>
      </c>
      <c r="I358" t="str">
        <f t="shared" ref="I358:I421" si="11">G358&amp;" "&amp;H358</f>
        <v>Tetragonula species</v>
      </c>
      <c r="J358" t="s">
        <v>42</v>
      </c>
      <c r="K358" t="s">
        <v>334</v>
      </c>
      <c r="L358" t="s">
        <v>44</v>
      </c>
      <c r="M358" t="s">
        <v>45</v>
      </c>
      <c r="N358">
        <v>221</v>
      </c>
      <c r="O358" t="s">
        <v>119</v>
      </c>
      <c r="P358" t="s">
        <v>30</v>
      </c>
      <c r="Q358" s="4">
        <v>44714</v>
      </c>
      <c r="R358">
        <v>1</v>
      </c>
      <c r="S358" t="s">
        <v>107</v>
      </c>
      <c r="T358" t="s">
        <v>107</v>
      </c>
      <c r="U358" t="s">
        <v>271</v>
      </c>
      <c r="V358">
        <v>0</v>
      </c>
      <c r="AD358">
        <v>1</v>
      </c>
      <c r="AF358">
        <v>45</v>
      </c>
      <c r="AI358">
        <v>124</v>
      </c>
    </row>
    <row r="359" spans="1:35" x14ac:dyDescent="0.35">
      <c r="A359" t="s">
        <v>91</v>
      </c>
      <c r="B359" t="s">
        <v>24</v>
      </c>
      <c r="C359" t="s">
        <v>33</v>
      </c>
      <c r="D359" t="s">
        <v>34</v>
      </c>
      <c r="E359" t="s">
        <v>309</v>
      </c>
      <c r="F359" t="s">
        <v>42</v>
      </c>
      <c r="G359" s="20" t="s">
        <v>43</v>
      </c>
      <c r="H359" t="s">
        <v>7</v>
      </c>
      <c r="I359" t="str">
        <f t="shared" si="11"/>
        <v>Tetragonula species</v>
      </c>
      <c r="J359" t="s">
        <v>42</v>
      </c>
      <c r="K359" t="s">
        <v>334</v>
      </c>
      <c r="L359" t="s">
        <v>44</v>
      </c>
      <c r="M359" t="s">
        <v>45</v>
      </c>
      <c r="N359">
        <v>222</v>
      </c>
      <c r="O359" t="s">
        <v>119</v>
      </c>
      <c r="P359" t="s">
        <v>30</v>
      </c>
      <c r="Q359" s="4">
        <v>44714</v>
      </c>
      <c r="R359">
        <v>0</v>
      </c>
      <c r="S359" t="s">
        <v>107</v>
      </c>
      <c r="T359" t="s">
        <v>107</v>
      </c>
      <c r="U359" t="s">
        <v>271</v>
      </c>
      <c r="V359">
        <v>0</v>
      </c>
      <c r="AD359">
        <v>1</v>
      </c>
      <c r="AF359">
        <v>45</v>
      </c>
      <c r="AI359">
        <v>125</v>
      </c>
    </row>
    <row r="360" spans="1:35" x14ac:dyDescent="0.35">
      <c r="A360" t="s">
        <v>91</v>
      </c>
      <c r="B360" t="s">
        <v>24</v>
      </c>
      <c r="C360" t="s">
        <v>33</v>
      </c>
      <c r="D360" t="s">
        <v>34</v>
      </c>
      <c r="E360" t="s">
        <v>309</v>
      </c>
      <c r="F360" t="s">
        <v>42</v>
      </c>
      <c r="G360" s="20" t="s">
        <v>43</v>
      </c>
      <c r="H360" t="s">
        <v>7</v>
      </c>
      <c r="I360" t="str">
        <f t="shared" si="11"/>
        <v>Tetragonula species</v>
      </c>
      <c r="J360" t="s">
        <v>42</v>
      </c>
      <c r="K360" t="s">
        <v>334</v>
      </c>
      <c r="L360" t="s">
        <v>44</v>
      </c>
      <c r="M360" t="s">
        <v>45</v>
      </c>
      <c r="N360">
        <v>223</v>
      </c>
      <c r="O360" t="s">
        <v>119</v>
      </c>
      <c r="P360" t="s">
        <v>30</v>
      </c>
      <c r="Q360" s="4">
        <v>44714</v>
      </c>
      <c r="R360">
        <v>1</v>
      </c>
      <c r="S360" t="s">
        <v>107</v>
      </c>
      <c r="T360" t="s">
        <v>107</v>
      </c>
      <c r="U360" t="s">
        <v>271</v>
      </c>
      <c r="V360">
        <v>0</v>
      </c>
      <c r="AD360">
        <v>1</v>
      </c>
      <c r="AF360">
        <v>45</v>
      </c>
      <c r="AI360">
        <v>126</v>
      </c>
    </row>
    <row r="361" spans="1:35" x14ac:dyDescent="0.35">
      <c r="A361" t="s">
        <v>91</v>
      </c>
      <c r="B361" t="s">
        <v>24</v>
      </c>
      <c r="C361" t="s">
        <v>33</v>
      </c>
      <c r="D361" t="s">
        <v>34</v>
      </c>
      <c r="E361" t="s">
        <v>309</v>
      </c>
      <c r="F361" t="s">
        <v>42</v>
      </c>
      <c r="G361" s="20" t="s">
        <v>43</v>
      </c>
      <c r="H361" t="s">
        <v>7</v>
      </c>
      <c r="I361" t="str">
        <f t="shared" si="11"/>
        <v>Tetragonula species</v>
      </c>
      <c r="J361" t="s">
        <v>42</v>
      </c>
      <c r="K361" t="s">
        <v>334</v>
      </c>
      <c r="L361" t="s">
        <v>44</v>
      </c>
      <c r="M361" t="s">
        <v>45</v>
      </c>
      <c r="N361">
        <v>224</v>
      </c>
      <c r="O361" t="s">
        <v>119</v>
      </c>
      <c r="P361" t="s">
        <v>30</v>
      </c>
      <c r="Q361" s="4">
        <v>44714</v>
      </c>
      <c r="R361">
        <v>1</v>
      </c>
      <c r="S361" t="s">
        <v>107</v>
      </c>
      <c r="T361" t="s">
        <v>107</v>
      </c>
      <c r="U361" t="s">
        <v>271</v>
      </c>
      <c r="V361">
        <v>0</v>
      </c>
      <c r="AD361">
        <v>1</v>
      </c>
      <c r="AF361">
        <v>45</v>
      </c>
      <c r="AI361">
        <v>127</v>
      </c>
    </row>
    <row r="362" spans="1:35" x14ac:dyDescent="0.35">
      <c r="A362" t="s">
        <v>91</v>
      </c>
      <c r="B362" t="s">
        <v>24</v>
      </c>
      <c r="C362" t="s">
        <v>33</v>
      </c>
      <c r="D362" t="s">
        <v>34</v>
      </c>
      <c r="E362" t="s">
        <v>309</v>
      </c>
      <c r="F362" t="s">
        <v>42</v>
      </c>
      <c r="G362" s="20" t="s">
        <v>43</v>
      </c>
      <c r="H362" t="s">
        <v>7</v>
      </c>
      <c r="I362" t="str">
        <f t="shared" si="11"/>
        <v>Tetragonula species</v>
      </c>
      <c r="J362" t="s">
        <v>42</v>
      </c>
      <c r="K362" t="s">
        <v>334</v>
      </c>
      <c r="L362" t="s">
        <v>44</v>
      </c>
      <c r="M362" t="s">
        <v>45</v>
      </c>
      <c r="N362">
        <v>225</v>
      </c>
      <c r="O362" t="s">
        <v>119</v>
      </c>
      <c r="P362" t="s">
        <v>30</v>
      </c>
      <c r="Q362" s="4">
        <v>44714</v>
      </c>
      <c r="R362">
        <v>1</v>
      </c>
      <c r="S362" t="s">
        <v>107</v>
      </c>
      <c r="T362" t="s">
        <v>107</v>
      </c>
      <c r="U362" t="s">
        <v>271</v>
      </c>
      <c r="V362">
        <v>0</v>
      </c>
      <c r="AD362">
        <v>1</v>
      </c>
      <c r="AF362">
        <v>45</v>
      </c>
      <c r="AI362">
        <v>128</v>
      </c>
    </row>
    <row r="363" spans="1:35" x14ac:dyDescent="0.35">
      <c r="A363" t="s">
        <v>91</v>
      </c>
      <c r="B363" t="s">
        <v>24</v>
      </c>
      <c r="C363" t="s">
        <v>33</v>
      </c>
      <c r="D363" t="s">
        <v>34</v>
      </c>
      <c r="E363" t="s">
        <v>309</v>
      </c>
      <c r="F363" t="s">
        <v>42</v>
      </c>
      <c r="G363" s="20" t="s">
        <v>43</v>
      </c>
      <c r="H363" t="s">
        <v>7</v>
      </c>
      <c r="I363" t="str">
        <f t="shared" si="11"/>
        <v>Tetragonula species</v>
      </c>
      <c r="J363" t="s">
        <v>42</v>
      </c>
      <c r="K363" t="s">
        <v>334</v>
      </c>
      <c r="L363" t="s">
        <v>44</v>
      </c>
      <c r="M363" t="s">
        <v>45</v>
      </c>
      <c r="N363">
        <v>226</v>
      </c>
      <c r="O363" t="s">
        <v>119</v>
      </c>
      <c r="P363" t="s">
        <v>30</v>
      </c>
      <c r="Q363" s="4">
        <v>44714</v>
      </c>
      <c r="R363">
        <v>0</v>
      </c>
      <c r="S363" t="s">
        <v>107</v>
      </c>
      <c r="T363" t="s">
        <v>107</v>
      </c>
      <c r="U363" t="s">
        <v>271</v>
      </c>
      <c r="V363">
        <v>0</v>
      </c>
      <c r="AD363">
        <v>1</v>
      </c>
      <c r="AF363">
        <v>45</v>
      </c>
      <c r="AI363">
        <v>129</v>
      </c>
    </row>
    <row r="364" spans="1:35" x14ac:dyDescent="0.35">
      <c r="A364" t="s">
        <v>91</v>
      </c>
      <c r="B364" t="s">
        <v>24</v>
      </c>
      <c r="C364" t="s">
        <v>33</v>
      </c>
      <c r="D364" t="s">
        <v>34</v>
      </c>
      <c r="E364" t="s">
        <v>309</v>
      </c>
      <c r="F364" t="s">
        <v>42</v>
      </c>
      <c r="G364" s="20" t="s">
        <v>43</v>
      </c>
      <c r="H364" t="s">
        <v>7</v>
      </c>
      <c r="I364" t="str">
        <f t="shared" si="11"/>
        <v>Tetragonula species</v>
      </c>
      <c r="J364" t="s">
        <v>42</v>
      </c>
      <c r="K364" t="s">
        <v>334</v>
      </c>
      <c r="L364" t="s">
        <v>44</v>
      </c>
      <c r="M364" t="s">
        <v>45</v>
      </c>
      <c r="N364">
        <v>227</v>
      </c>
      <c r="O364" t="s">
        <v>119</v>
      </c>
      <c r="P364" t="s">
        <v>30</v>
      </c>
      <c r="Q364" s="4">
        <v>44714</v>
      </c>
      <c r="R364">
        <v>1</v>
      </c>
      <c r="S364" t="s">
        <v>107</v>
      </c>
      <c r="T364" t="s">
        <v>107</v>
      </c>
      <c r="U364" t="s">
        <v>271</v>
      </c>
      <c r="V364">
        <v>0</v>
      </c>
      <c r="AD364">
        <v>1</v>
      </c>
      <c r="AF364">
        <v>45</v>
      </c>
      <c r="AI364">
        <v>130</v>
      </c>
    </row>
    <row r="365" spans="1:35" x14ac:dyDescent="0.35">
      <c r="A365" t="s">
        <v>91</v>
      </c>
      <c r="B365" t="s">
        <v>24</v>
      </c>
      <c r="C365" t="s">
        <v>33</v>
      </c>
      <c r="D365" t="s">
        <v>34</v>
      </c>
      <c r="E365" t="s">
        <v>309</v>
      </c>
      <c r="F365" t="s">
        <v>42</v>
      </c>
      <c r="G365" s="20" t="s">
        <v>43</v>
      </c>
      <c r="H365" t="s">
        <v>7</v>
      </c>
      <c r="I365" t="str">
        <f t="shared" si="11"/>
        <v>Tetragonula species</v>
      </c>
      <c r="J365" t="s">
        <v>42</v>
      </c>
      <c r="K365" t="s">
        <v>334</v>
      </c>
      <c r="L365" t="s">
        <v>44</v>
      </c>
      <c r="M365" t="s">
        <v>45</v>
      </c>
      <c r="N365">
        <v>228</v>
      </c>
      <c r="O365" t="s">
        <v>119</v>
      </c>
      <c r="P365" t="s">
        <v>30</v>
      </c>
      <c r="Q365" s="4">
        <v>44714</v>
      </c>
      <c r="R365">
        <v>0</v>
      </c>
      <c r="S365" t="s">
        <v>107</v>
      </c>
      <c r="T365" t="s">
        <v>107</v>
      </c>
      <c r="U365" t="s">
        <v>271</v>
      </c>
      <c r="V365">
        <v>0</v>
      </c>
      <c r="AD365">
        <v>1</v>
      </c>
      <c r="AF365">
        <v>45</v>
      </c>
      <c r="AI365">
        <v>131</v>
      </c>
    </row>
    <row r="366" spans="1:35" x14ac:dyDescent="0.35">
      <c r="A366" t="s">
        <v>91</v>
      </c>
      <c r="B366" t="s">
        <v>24</v>
      </c>
      <c r="C366" t="s">
        <v>33</v>
      </c>
      <c r="D366" t="s">
        <v>34</v>
      </c>
      <c r="E366" t="s">
        <v>309</v>
      </c>
      <c r="F366" t="s">
        <v>42</v>
      </c>
      <c r="G366" s="20" t="s">
        <v>43</v>
      </c>
      <c r="H366" t="s">
        <v>7</v>
      </c>
      <c r="I366" t="str">
        <f t="shared" si="11"/>
        <v>Tetragonula species</v>
      </c>
      <c r="J366" t="s">
        <v>42</v>
      </c>
      <c r="K366" t="s">
        <v>334</v>
      </c>
      <c r="L366" t="s">
        <v>44</v>
      </c>
      <c r="M366" t="s">
        <v>45</v>
      </c>
      <c r="N366">
        <v>229</v>
      </c>
      <c r="O366" t="s">
        <v>119</v>
      </c>
      <c r="P366" t="s">
        <v>30</v>
      </c>
      <c r="Q366" s="4">
        <v>44714</v>
      </c>
      <c r="R366">
        <v>1</v>
      </c>
      <c r="S366" t="s">
        <v>107</v>
      </c>
      <c r="T366" t="s">
        <v>107</v>
      </c>
      <c r="U366" t="s">
        <v>271</v>
      </c>
      <c r="V366">
        <v>0</v>
      </c>
      <c r="AD366">
        <v>1</v>
      </c>
      <c r="AF366">
        <v>45</v>
      </c>
      <c r="AI366">
        <v>132</v>
      </c>
    </row>
    <row r="367" spans="1:35" x14ac:dyDescent="0.35">
      <c r="A367" t="s">
        <v>91</v>
      </c>
      <c r="B367" t="s">
        <v>24</v>
      </c>
      <c r="C367" t="s">
        <v>33</v>
      </c>
      <c r="D367" t="s">
        <v>34</v>
      </c>
      <c r="E367" t="s">
        <v>309</v>
      </c>
      <c r="F367" t="s">
        <v>42</v>
      </c>
      <c r="G367" s="20" t="s">
        <v>43</v>
      </c>
      <c r="H367" t="s">
        <v>7</v>
      </c>
      <c r="I367" t="str">
        <f t="shared" si="11"/>
        <v>Tetragonula species</v>
      </c>
      <c r="J367" t="s">
        <v>42</v>
      </c>
      <c r="K367" t="s">
        <v>334</v>
      </c>
      <c r="L367" t="s">
        <v>44</v>
      </c>
      <c r="M367" t="s">
        <v>45</v>
      </c>
      <c r="N367">
        <v>230</v>
      </c>
      <c r="O367" t="s">
        <v>119</v>
      </c>
      <c r="P367" t="s">
        <v>30</v>
      </c>
      <c r="Q367" s="4">
        <v>44714</v>
      </c>
      <c r="R367">
        <v>1</v>
      </c>
      <c r="S367" t="s">
        <v>107</v>
      </c>
      <c r="T367" t="s">
        <v>107</v>
      </c>
      <c r="U367" t="s">
        <v>271</v>
      </c>
      <c r="V367">
        <v>0</v>
      </c>
      <c r="AD367">
        <v>1</v>
      </c>
      <c r="AF367">
        <v>45</v>
      </c>
      <c r="AI367">
        <v>133</v>
      </c>
    </row>
    <row r="368" spans="1:35" x14ac:dyDescent="0.35">
      <c r="A368" t="s">
        <v>91</v>
      </c>
      <c r="B368" t="s">
        <v>24</v>
      </c>
      <c r="C368" t="s">
        <v>33</v>
      </c>
      <c r="D368" t="s">
        <v>34</v>
      </c>
      <c r="E368" t="s">
        <v>309</v>
      </c>
      <c r="F368" t="s">
        <v>42</v>
      </c>
      <c r="G368" s="20" t="s">
        <v>43</v>
      </c>
      <c r="H368" t="s">
        <v>7</v>
      </c>
      <c r="I368" t="str">
        <f t="shared" si="11"/>
        <v>Tetragonula species</v>
      </c>
      <c r="J368" t="s">
        <v>42</v>
      </c>
      <c r="K368" t="s">
        <v>334</v>
      </c>
      <c r="L368" t="s">
        <v>44</v>
      </c>
      <c r="M368" t="s">
        <v>45</v>
      </c>
      <c r="N368">
        <v>231</v>
      </c>
      <c r="O368" t="s">
        <v>119</v>
      </c>
      <c r="P368" t="s">
        <v>30</v>
      </c>
      <c r="Q368" s="4">
        <v>44714</v>
      </c>
      <c r="R368">
        <v>1</v>
      </c>
      <c r="S368" t="s">
        <v>107</v>
      </c>
      <c r="T368" t="s">
        <v>107</v>
      </c>
      <c r="U368" t="s">
        <v>271</v>
      </c>
      <c r="V368">
        <v>0</v>
      </c>
      <c r="AD368">
        <v>1</v>
      </c>
      <c r="AF368">
        <v>45</v>
      </c>
      <c r="AI368">
        <v>134</v>
      </c>
    </row>
    <row r="369" spans="1:35" x14ac:dyDescent="0.35">
      <c r="A369" t="s">
        <v>91</v>
      </c>
      <c r="B369" t="s">
        <v>24</v>
      </c>
      <c r="C369" t="s">
        <v>33</v>
      </c>
      <c r="D369" t="s">
        <v>34</v>
      </c>
      <c r="E369" t="s">
        <v>309</v>
      </c>
      <c r="F369" t="s">
        <v>42</v>
      </c>
      <c r="G369" s="20" t="s">
        <v>43</v>
      </c>
      <c r="H369" t="s">
        <v>7</v>
      </c>
      <c r="I369" t="str">
        <f t="shared" si="11"/>
        <v>Tetragonula species</v>
      </c>
      <c r="J369" t="s">
        <v>42</v>
      </c>
      <c r="K369" t="s">
        <v>334</v>
      </c>
      <c r="L369" t="s">
        <v>44</v>
      </c>
      <c r="M369" t="s">
        <v>45</v>
      </c>
      <c r="N369">
        <v>232</v>
      </c>
      <c r="O369" t="s">
        <v>119</v>
      </c>
      <c r="P369" t="s">
        <v>30</v>
      </c>
      <c r="Q369" s="4">
        <v>44714</v>
      </c>
      <c r="R369">
        <v>0</v>
      </c>
      <c r="S369" t="s">
        <v>107</v>
      </c>
      <c r="T369" t="s">
        <v>107</v>
      </c>
      <c r="U369" t="s">
        <v>271</v>
      </c>
      <c r="V369">
        <v>0</v>
      </c>
      <c r="AD369">
        <v>1</v>
      </c>
      <c r="AF369">
        <v>45</v>
      </c>
      <c r="AI369">
        <v>135</v>
      </c>
    </row>
    <row r="370" spans="1:35" x14ac:dyDescent="0.35">
      <c r="A370" t="s">
        <v>91</v>
      </c>
      <c r="B370" t="s">
        <v>24</v>
      </c>
      <c r="C370" t="s">
        <v>33</v>
      </c>
      <c r="D370" t="s">
        <v>34</v>
      </c>
      <c r="E370" t="s">
        <v>309</v>
      </c>
      <c r="F370" t="s">
        <v>42</v>
      </c>
      <c r="G370" s="20" t="s">
        <v>43</v>
      </c>
      <c r="H370" t="s">
        <v>7</v>
      </c>
      <c r="I370" t="str">
        <f t="shared" si="11"/>
        <v>Tetragonula species</v>
      </c>
      <c r="J370" t="s">
        <v>42</v>
      </c>
      <c r="K370" t="s">
        <v>334</v>
      </c>
      <c r="L370" t="s">
        <v>44</v>
      </c>
      <c r="M370" t="s">
        <v>45</v>
      </c>
      <c r="N370">
        <v>233</v>
      </c>
      <c r="O370" t="s">
        <v>119</v>
      </c>
      <c r="P370" t="s">
        <v>30</v>
      </c>
      <c r="Q370" s="4">
        <v>44714</v>
      </c>
      <c r="R370">
        <v>0</v>
      </c>
      <c r="S370" t="s">
        <v>107</v>
      </c>
      <c r="T370" t="s">
        <v>107</v>
      </c>
      <c r="U370" t="s">
        <v>271</v>
      </c>
      <c r="V370">
        <v>0</v>
      </c>
      <c r="AD370">
        <v>1</v>
      </c>
      <c r="AF370">
        <v>45</v>
      </c>
      <c r="AI370">
        <v>136</v>
      </c>
    </row>
    <row r="371" spans="1:35" x14ac:dyDescent="0.35">
      <c r="A371" t="s">
        <v>91</v>
      </c>
      <c r="B371" t="s">
        <v>24</v>
      </c>
      <c r="C371" t="s">
        <v>33</v>
      </c>
      <c r="D371" t="s">
        <v>34</v>
      </c>
      <c r="E371" t="s">
        <v>309</v>
      </c>
      <c r="F371" t="s">
        <v>42</v>
      </c>
      <c r="G371" s="20" t="s">
        <v>43</v>
      </c>
      <c r="H371" t="s">
        <v>7</v>
      </c>
      <c r="I371" t="str">
        <f t="shared" si="11"/>
        <v>Tetragonula species</v>
      </c>
      <c r="J371" t="s">
        <v>42</v>
      </c>
      <c r="K371" t="s">
        <v>334</v>
      </c>
      <c r="L371" t="s">
        <v>44</v>
      </c>
      <c r="M371" t="s">
        <v>45</v>
      </c>
      <c r="N371">
        <v>234</v>
      </c>
      <c r="O371" t="s">
        <v>119</v>
      </c>
      <c r="P371" t="s">
        <v>30</v>
      </c>
      <c r="Q371" s="4">
        <v>44714</v>
      </c>
      <c r="R371">
        <v>0</v>
      </c>
      <c r="S371" t="s">
        <v>107</v>
      </c>
      <c r="T371" t="s">
        <v>107</v>
      </c>
      <c r="U371" t="s">
        <v>271</v>
      </c>
      <c r="V371">
        <v>0</v>
      </c>
      <c r="AD371">
        <v>1</v>
      </c>
      <c r="AF371">
        <v>45</v>
      </c>
      <c r="AI371">
        <v>137</v>
      </c>
    </row>
    <row r="372" spans="1:35" x14ac:dyDescent="0.35">
      <c r="A372" t="s">
        <v>91</v>
      </c>
      <c r="B372" t="s">
        <v>24</v>
      </c>
      <c r="C372" t="s">
        <v>33</v>
      </c>
      <c r="D372" t="s">
        <v>34</v>
      </c>
      <c r="E372" t="s">
        <v>309</v>
      </c>
      <c r="F372" t="s">
        <v>42</v>
      </c>
      <c r="G372" s="20" t="s">
        <v>43</v>
      </c>
      <c r="H372" t="s">
        <v>7</v>
      </c>
      <c r="I372" t="str">
        <f t="shared" si="11"/>
        <v>Tetragonula species</v>
      </c>
      <c r="J372" t="s">
        <v>42</v>
      </c>
      <c r="K372" t="s">
        <v>334</v>
      </c>
      <c r="L372" t="s">
        <v>44</v>
      </c>
      <c r="M372" t="s">
        <v>45</v>
      </c>
      <c r="N372">
        <v>235</v>
      </c>
      <c r="O372" t="s">
        <v>119</v>
      </c>
      <c r="P372" t="s">
        <v>30</v>
      </c>
      <c r="Q372" s="4">
        <v>44714</v>
      </c>
      <c r="R372">
        <v>0</v>
      </c>
      <c r="S372" t="s">
        <v>107</v>
      </c>
      <c r="T372" t="s">
        <v>107</v>
      </c>
      <c r="U372" t="s">
        <v>271</v>
      </c>
      <c r="V372">
        <v>0</v>
      </c>
      <c r="AD372">
        <v>1</v>
      </c>
      <c r="AF372">
        <v>45</v>
      </c>
      <c r="AI372">
        <v>138</v>
      </c>
    </row>
    <row r="373" spans="1:35" x14ac:dyDescent="0.35">
      <c r="A373" t="s">
        <v>91</v>
      </c>
      <c r="B373" t="s">
        <v>24</v>
      </c>
      <c r="C373" t="s">
        <v>33</v>
      </c>
      <c r="D373" t="s">
        <v>34</v>
      </c>
      <c r="E373" t="s">
        <v>309</v>
      </c>
      <c r="F373" t="s">
        <v>42</v>
      </c>
      <c r="G373" s="20" t="s">
        <v>43</v>
      </c>
      <c r="H373" t="s">
        <v>7</v>
      </c>
      <c r="I373" t="str">
        <f t="shared" si="11"/>
        <v>Tetragonula species</v>
      </c>
      <c r="J373" t="s">
        <v>42</v>
      </c>
      <c r="K373" t="s">
        <v>334</v>
      </c>
      <c r="L373" t="s">
        <v>44</v>
      </c>
      <c r="M373" t="s">
        <v>45</v>
      </c>
      <c r="N373">
        <v>236</v>
      </c>
      <c r="O373" t="s">
        <v>119</v>
      </c>
      <c r="P373" t="s">
        <v>30</v>
      </c>
      <c r="Q373" s="4">
        <v>44714</v>
      </c>
      <c r="R373">
        <v>0</v>
      </c>
      <c r="S373" t="s">
        <v>107</v>
      </c>
      <c r="T373" t="s">
        <v>107</v>
      </c>
      <c r="U373" t="s">
        <v>271</v>
      </c>
      <c r="V373">
        <v>0</v>
      </c>
      <c r="AD373">
        <v>1</v>
      </c>
      <c r="AF373">
        <v>45</v>
      </c>
      <c r="AI373">
        <v>139</v>
      </c>
    </row>
    <row r="374" spans="1:35" x14ac:dyDescent="0.35">
      <c r="A374" t="s">
        <v>91</v>
      </c>
      <c r="B374" t="s">
        <v>24</v>
      </c>
      <c r="C374" t="s">
        <v>33</v>
      </c>
      <c r="D374" t="s">
        <v>34</v>
      </c>
      <c r="E374" t="s">
        <v>309</v>
      </c>
      <c r="F374" t="s">
        <v>42</v>
      </c>
      <c r="G374" s="20" t="s">
        <v>43</v>
      </c>
      <c r="H374" t="s">
        <v>7</v>
      </c>
      <c r="I374" t="str">
        <f t="shared" si="11"/>
        <v>Tetragonula species</v>
      </c>
      <c r="J374" t="s">
        <v>42</v>
      </c>
      <c r="K374" t="s">
        <v>334</v>
      </c>
      <c r="L374" t="s">
        <v>44</v>
      </c>
      <c r="M374" t="s">
        <v>45</v>
      </c>
      <c r="N374">
        <v>237</v>
      </c>
      <c r="O374" t="s">
        <v>119</v>
      </c>
      <c r="P374" t="s">
        <v>30</v>
      </c>
      <c r="Q374" s="4">
        <v>44714</v>
      </c>
      <c r="R374">
        <v>0</v>
      </c>
      <c r="S374" t="s">
        <v>107</v>
      </c>
      <c r="T374" t="s">
        <v>107</v>
      </c>
      <c r="U374" t="s">
        <v>271</v>
      </c>
      <c r="V374">
        <v>0</v>
      </c>
      <c r="AD374">
        <v>1</v>
      </c>
      <c r="AF374">
        <v>45</v>
      </c>
      <c r="AI374">
        <v>140</v>
      </c>
    </row>
    <row r="375" spans="1:35" x14ac:dyDescent="0.35">
      <c r="A375" t="s">
        <v>91</v>
      </c>
      <c r="B375" t="s">
        <v>24</v>
      </c>
      <c r="C375" t="s">
        <v>33</v>
      </c>
      <c r="D375" t="s">
        <v>34</v>
      </c>
      <c r="E375" t="s">
        <v>309</v>
      </c>
      <c r="F375" t="s">
        <v>42</v>
      </c>
      <c r="G375" s="20" t="s">
        <v>43</v>
      </c>
      <c r="H375" t="s">
        <v>7</v>
      </c>
      <c r="I375" t="str">
        <f t="shared" si="11"/>
        <v>Tetragonula species</v>
      </c>
      <c r="J375" t="s">
        <v>42</v>
      </c>
      <c r="K375" t="s">
        <v>334</v>
      </c>
      <c r="L375" t="s">
        <v>44</v>
      </c>
      <c r="M375" t="s">
        <v>45</v>
      </c>
      <c r="N375">
        <v>238</v>
      </c>
      <c r="O375" t="s">
        <v>119</v>
      </c>
      <c r="P375" t="s">
        <v>30</v>
      </c>
      <c r="Q375" s="4">
        <v>44714</v>
      </c>
      <c r="R375">
        <v>0</v>
      </c>
      <c r="S375" t="s">
        <v>107</v>
      </c>
      <c r="T375" t="s">
        <v>107</v>
      </c>
      <c r="U375" t="s">
        <v>271</v>
      </c>
      <c r="V375">
        <v>0</v>
      </c>
      <c r="AD375">
        <v>1</v>
      </c>
      <c r="AF375">
        <v>45</v>
      </c>
      <c r="AI375">
        <v>141</v>
      </c>
    </row>
    <row r="376" spans="1:35" x14ac:dyDescent="0.35">
      <c r="A376" t="s">
        <v>91</v>
      </c>
      <c r="B376" t="s">
        <v>24</v>
      </c>
      <c r="C376" t="s">
        <v>33</v>
      </c>
      <c r="D376" t="s">
        <v>34</v>
      </c>
      <c r="E376" t="s">
        <v>309</v>
      </c>
      <c r="F376" t="s">
        <v>42</v>
      </c>
      <c r="G376" s="20" t="s">
        <v>43</v>
      </c>
      <c r="H376" t="s">
        <v>7</v>
      </c>
      <c r="I376" t="str">
        <f t="shared" si="11"/>
        <v>Tetragonula species</v>
      </c>
      <c r="J376" t="s">
        <v>42</v>
      </c>
      <c r="K376" t="s">
        <v>334</v>
      </c>
      <c r="L376" t="s">
        <v>44</v>
      </c>
      <c r="M376" t="s">
        <v>45</v>
      </c>
      <c r="N376">
        <v>239</v>
      </c>
      <c r="O376" t="s">
        <v>119</v>
      </c>
      <c r="P376" t="s">
        <v>30</v>
      </c>
      <c r="Q376" s="4">
        <v>44714</v>
      </c>
      <c r="R376">
        <v>0</v>
      </c>
      <c r="S376" t="s">
        <v>107</v>
      </c>
      <c r="T376" t="s">
        <v>107</v>
      </c>
      <c r="U376" t="s">
        <v>271</v>
      </c>
      <c r="V376">
        <v>0</v>
      </c>
      <c r="AD376">
        <v>1</v>
      </c>
      <c r="AF376">
        <v>45</v>
      </c>
      <c r="AI376">
        <v>142</v>
      </c>
    </row>
    <row r="377" spans="1:35" x14ac:dyDescent="0.35">
      <c r="A377" t="s">
        <v>91</v>
      </c>
      <c r="B377" t="s">
        <v>24</v>
      </c>
      <c r="C377" t="s">
        <v>33</v>
      </c>
      <c r="D377" t="s">
        <v>34</v>
      </c>
      <c r="E377" t="s">
        <v>309</v>
      </c>
      <c r="F377" t="s">
        <v>42</v>
      </c>
      <c r="G377" s="20" t="s">
        <v>43</v>
      </c>
      <c r="H377" t="s">
        <v>7</v>
      </c>
      <c r="I377" t="str">
        <f t="shared" si="11"/>
        <v>Tetragonula species</v>
      </c>
      <c r="J377" t="s">
        <v>42</v>
      </c>
      <c r="K377" t="s">
        <v>334</v>
      </c>
      <c r="L377" t="s">
        <v>44</v>
      </c>
      <c r="M377" t="s">
        <v>45</v>
      </c>
      <c r="N377">
        <v>240</v>
      </c>
      <c r="O377" t="s">
        <v>119</v>
      </c>
      <c r="P377" t="s">
        <v>30</v>
      </c>
      <c r="Q377" s="4">
        <v>44714</v>
      </c>
      <c r="R377">
        <v>0</v>
      </c>
      <c r="S377" t="s">
        <v>107</v>
      </c>
      <c r="T377" t="s">
        <v>107</v>
      </c>
      <c r="U377" t="s">
        <v>271</v>
      </c>
      <c r="V377">
        <v>0</v>
      </c>
      <c r="AD377">
        <v>1</v>
      </c>
      <c r="AF377">
        <v>45</v>
      </c>
      <c r="AI377">
        <v>143</v>
      </c>
    </row>
    <row r="378" spans="1:35" x14ac:dyDescent="0.35">
      <c r="A378" t="s">
        <v>91</v>
      </c>
      <c r="B378" t="s">
        <v>24</v>
      </c>
      <c r="C378" t="s">
        <v>33</v>
      </c>
      <c r="D378" t="s">
        <v>34</v>
      </c>
      <c r="E378" t="s">
        <v>309</v>
      </c>
      <c r="F378" t="s">
        <v>42</v>
      </c>
      <c r="G378" s="20" t="s">
        <v>43</v>
      </c>
      <c r="H378" t="s">
        <v>7</v>
      </c>
      <c r="I378" t="str">
        <f t="shared" si="11"/>
        <v>Tetragonula species</v>
      </c>
      <c r="J378" t="s">
        <v>42</v>
      </c>
      <c r="K378" t="s">
        <v>334</v>
      </c>
      <c r="L378" t="s">
        <v>44</v>
      </c>
      <c r="M378" t="s">
        <v>45</v>
      </c>
      <c r="N378">
        <v>241</v>
      </c>
      <c r="O378" t="s">
        <v>119</v>
      </c>
      <c r="P378" t="s">
        <v>30</v>
      </c>
      <c r="Q378" s="4">
        <v>44714</v>
      </c>
      <c r="R378">
        <v>0</v>
      </c>
      <c r="S378" t="s">
        <v>107</v>
      </c>
      <c r="T378" t="s">
        <v>107</v>
      </c>
      <c r="U378" t="s">
        <v>271</v>
      </c>
      <c r="V378">
        <v>0</v>
      </c>
      <c r="AD378">
        <v>1</v>
      </c>
      <c r="AF378">
        <v>45</v>
      </c>
      <c r="AI378">
        <v>144</v>
      </c>
    </row>
    <row r="379" spans="1:35" x14ac:dyDescent="0.35">
      <c r="A379" t="s">
        <v>91</v>
      </c>
      <c r="B379" t="s">
        <v>24</v>
      </c>
      <c r="C379" t="s">
        <v>33</v>
      </c>
      <c r="D379" t="s">
        <v>34</v>
      </c>
      <c r="E379" t="s">
        <v>309</v>
      </c>
      <c r="F379" t="s">
        <v>42</v>
      </c>
      <c r="G379" s="20" t="s">
        <v>43</v>
      </c>
      <c r="H379" t="s">
        <v>7</v>
      </c>
      <c r="I379" t="str">
        <f t="shared" si="11"/>
        <v>Tetragonula species</v>
      </c>
      <c r="J379" t="s">
        <v>42</v>
      </c>
      <c r="K379" t="s">
        <v>334</v>
      </c>
      <c r="L379" t="s">
        <v>44</v>
      </c>
      <c r="M379" t="s">
        <v>45</v>
      </c>
      <c r="N379">
        <v>242</v>
      </c>
      <c r="O379" t="s">
        <v>119</v>
      </c>
      <c r="P379" t="s">
        <v>30</v>
      </c>
      <c r="Q379" s="4">
        <v>44714</v>
      </c>
      <c r="R379">
        <v>0</v>
      </c>
      <c r="S379" t="s">
        <v>107</v>
      </c>
      <c r="T379" t="s">
        <v>107</v>
      </c>
      <c r="U379" t="s">
        <v>271</v>
      </c>
      <c r="V379">
        <v>0</v>
      </c>
      <c r="AD379">
        <v>1</v>
      </c>
      <c r="AF379">
        <v>45</v>
      </c>
      <c r="AI379">
        <v>145</v>
      </c>
    </row>
    <row r="380" spans="1:35" x14ac:dyDescent="0.35">
      <c r="A380" t="s">
        <v>91</v>
      </c>
      <c r="B380" t="s">
        <v>24</v>
      </c>
      <c r="C380" t="s">
        <v>33</v>
      </c>
      <c r="D380" t="s">
        <v>34</v>
      </c>
      <c r="E380" t="s">
        <v>309</v>
      </c>
      <c r="F380" t="s">
        <v>42</v>
      </c>
      <c r="G380" s="20" t="s">
        <v>43</v>
      </c>
      <c r="H380" t="s">
        <v>7</v>
      </c>
      <c r="I380" t="str">
        <f t="shared" si="11"/>
        <v>Tetragonula species</v>
      </c>
      <c r="J380" t="s">
        <v>42</v>
      </c>
      <c r="K380" t="s">
        <v>334</v>
      </c>
      <c r="L380" t="s">
        <v>44</v>
      </c>
      <c r="M380" t="s">
        <v>45</v>
      </c>
      <c r="N380">
        <v>243</v>
      </c>
      <c r="O380" t="s">
        <v>119</v>
      </c>
      <c r="P380" t="s">
        <v>30</v>
      </c>
      <c r="Q380" s="4">
        <v>44714</v>
      </c>
      <c r="R380">
        <v>1</v>
      </c>
      <c r="S380" t="s">
        <v>107</v>
      </c>
      <c r="T380" t="s">
        <v>107</v>
      </c>
      <c r="U380" t="s">
        <v>271</v>
      </c>
      <c r="V380">
        <v>0</v>
      </c>
      <c r="AD380">
        <v>1</v>
      </c>
      <c r="AF380">
        <v>45</v>
      </c>
      <c r="AI380">
        <v>146</v>
      </c>
    </row>
    <row r="381" spans="1:35" x14ac:dyDescent="0.35">
      <c r="A381" t="s">
        <v>91</v>
      </c>
      <c r="B381" t="s">
        <v>24</v>
      </c>
      <c r="C381" t="s">
        <v>33</v>
      </c>
      <c r="D381" t="s">
        <v>34</v>
      </c>
      <c r="E381" t="s">
        <v>309</v>
      </c>
      <c r="F381" t="s">
        <v>42</v>
      </c>
      <c r="G381" s="20" t="s">
        <v>43</v>
      </c>
      <c r="H381" t="s">
        <v>7</v>
      </c>
      <c r="I381" t="str">
        <f t="shared" si="11"/>
        <v>Tetragonula species</v>
      </c>
      <c r="J381" t="s">
        <v>42</v>
      </c>
      <c r="K381" t="s">
        <v>334</v>
      </c>
      <c r="L381" t="s">
        <v>44</v>
      </c>
      <c r="M381" t="s">
        <v>45</v>
      </c>
      <c r="N381">
        <v>244</v>
      </c>
      <c r="O381" t="s">
        <v>119</v>
      </c>
      <c r="P381" t="s">
        <v>30</v>
      </c>
      <c r="Q381" s="4">
        <v>44714</v>
      </c>
      <c r="R381">
        <v>1</v>
      </c>
      <c r="S381" t="s">
        <v>107</v>
      </c>
      <c r="T381" t="s">
        <v>107</v>
      </c>
      <c r="U381" t="s">
        <v>271</v>
      </c>
      <c r="V381">
        <v>0</v>
      </c>
      <c r="AD381">
        <v>1</v>
      </c>
      <c r="AF381">
        <v>30</v>
      </c>
      <c r="AI381">
        <v>147</v>
      </c>
    </row>
    <row r="382" spans="1:35" x14ac:dyDescent="0.35">
      <c r="A382" t="s">
        <v>91</v>
      </c>
      <c r="B382" t="s">
        <v>24</v>
      </c>
      <c r="C382" t="s">
        <v>33</v>
      </c>
      <c r="D382" t="s">
        <v>34</v>
      </c>
      <c r="E382" t="s">
        <v>309</v>
      </c>
      <c r="F382" t="s">
        <v>42</v>
      </c>
      <c r="G382" s="20" t="s">
        <v>43</v>
      </c>
      <c r="H382" t="s">
        <v>7</v>
      </c>
      <c r="I382" t="str">
        <f t="shared" si="11"/>
        <v>Tetragonula species</v>
      </c>
      <c r="J382" t="s">
        <v>42</v>
      </c>
      <c r="K382" t="s">
        <v>334</v>
      </c>
      <c r="L382" t="s">
        <v>44</v>
      </c>
      <c r="M382" t="s">
        <v>45</v>
      </c>
      <c r="N382">
        <v>245</v>
      </c>
      <c r="O382" t="s">
        <v>119</v>
      </c>
      <c r="P382" t="s">
        <v>30</v>
      </c>
      <c r="Q382" s="4">
        <v>44714</v>
      </c>
      <c r="R382">
        <v>0</v>
      </c>
      <c r="S382" t="s">
        <v>107</v>
      </c>
      <c r="T382" t="s">
        <v>107</v>
      </c>
      <c r="U382" t="s">
        <v>271</v>
      </c>
      <c r="V382">
        <v>0</v>
      </c>
      <c r="AD382">
        <v>1</v>
      </c>
      <c r="AF382">
        <v>30</v>
      </c>
      <c r="AI382">
        <v>148</v>
      </c>
    </row>
    <row r="383" spans="1:35" x14ac:dyDescent="0.35">
      <c r="A383" t="s">
        <v>91</v>
      </c>
      <c r="B383" t="s">
        <v>24</v>
      </c>
      <c r="C383" t="s">
        <v>33</v>
      </c>
      <c r="D383" t="s">
        <v>34</v>
      </c>
      <c r="E383" t="s">
        <v>309</v>
      </c>
      <c r="F383" t="s">
        <v>42</v>
      </c>
      <c r="G383" s="20" t="s">
        <v>43</v>
      </c>
      <c r="H383" t="s">
        <v>7</v>
      </c>
      <c r="I383" t="str">
        <f t="shared" si="11"/>
        <v>Tetragonula species</v>
      </c>
      <c r="J383" t="s">
        <v>42</v>
      </c>
      <c r="K383" t="s">
        <v>334</v>
      </c>
      <c r="L383" t="s">
        <v>44</v>
      </c>
      <c r="M383" t="s">
        <v>45</v>
      </c>
      <c r="N383">
        <v>246</v>
      </c>
      <c r="O383" t="s">
        <v>119</v>
      </c>
      <c r="P383" t="s">
        <v>30</v>
      </c>
      <c r="Q383" s="4">
        <v>44714</v>
      </c>
      <c r="R383">
        <v>0</v>
      </c>
      <c r="S383" t="s">
        <v>107</v>
      </c>
      <c r="T383" t="s">
        <v>107</v>
      </c>
      <c r="U383" t="s">
        <v>271</v>
      </c>
      <c r="V383">
        <v>0</v>
      </c>
      <c r="AD383">
        <v>1</v>
      </c>
      <c r="AF383">
        <v>30</v>
      </c>
      <c r="AI383">
        <v>149</v>
      </c>
    </row>
    <row r="384" spans="1:35" x14ac:dyDescent="0.35">
      <c r="A384" t="s">
        <v>91</v>
      </c>
      <c r="B384" t="s">
        <v>24</v>
      </c>
      <c r="C384" t="s">
        <v>33</v>
      </c>
      <c r="D384" t="s">
        <v>34</v>
      </c>
      <c r="E384" t="s">
        <v>309</v>
      </c>
      <c r="F384" t="s">
        <v>42</v>
      </c>
      <c r="G384" s="20" t="s">
        <v>43</v>
      </c>
      <c r="H384" t="s">
        <v>7</v>
      </c>
      <c r="I384" t="str">
        <f t="shared" si="11"/>
        <v>Tetragonula species</v>
      </c>
      <c r="J384" t="s">
        <v>42</v>
      </c>
      <c r="K384" t="s">
        <v>334</v>
      </c>
      <c r="L384" t="s">
        <v>44</v>
      </c>
      <c r="M384" t="s">
        <v>45</v>
      </c>
      <c r="N384">
        <v>247</v>
      </c>
      <c r="O384" t="s">
        <v>119</v>
      </c>
      <c r="P384" t="s">
        <v>30</v>
      </c>
      <c r="Q384" s="4">
        <v>44714</v>
      </c>
      <c r="R384">
        <v>0</v>
      </c>
      <c r="S384" t="s">
        <v>107</v>
      </c>
      <c r="T384" t="s">
        <v>107</v>
      </c>
      <c r="U384" t="s">
        <v>271</v>
      </c>
      <c r="V384">
        <v>0</v>
      </c>
      <c r="AD384">
        <v>1</v>
      </c>
      <c r="AF384">
        <v>30</v>
      </c>
      <c r="AI384">
        <v>150</v>
      </c>
    </row>
    <row r="385" spans="1:35" x14ac:dyDescent="0.35">
      <c r="A385" t="s">
        <v>91</v>
      </c>
      <c r="B385" t="s">
        <v>24</v>
      </c>
      <c r="C385" t="s">
        <v>33</v>
      </c>
      <c r="D385" t="s">
        <v>34</v>
      </c>
      <c r="E385" t="s">
        <v>309</v>
      </c>
      <c r="F385" t="s">
        <v>42</v>
      </c>
      <c r="G385" s="20" t="s">
        <v>43</v>
      </c>
      <c r="H385" t="s">
        <v>7</v>
      </c>
      <c r="I385" t="str">
        <f t="shared" si="11"/>
        <v>Tetragonula species</v>
      </c>
      <c r="J385" t="s">
        <v>42</v>
      </c>
      <c r="K385" t="s">
        <v>334</v>
      </c>
      <c r="L385" t="s">
        <v>44</v>
      </c>
      <c r="M385" t="s">
        <v>45</v>
      </c>
      <c r="N385">
        <v>248</v>
      </c>
      <c r="O385" t="s">
        <v>119</v>
      </c>
      <c r="P385" t="s">
        <v>30</v>
      </c>
      <c r="Q385" s="4">
        <v>44714</v>
      </c>
      <c r="R385">
        <v>0</v>
      </c>
      <c r="S385" t="s">
        <v>107</v>
      </c>
      <c r="T385" t="s">
        <v>107</v>
      </c>
      <c r="U385" t="s">
        <v>271</v>
      </c>
      <c r="V385">
        <v>0</v>
      </c>
      <c r="AD385">
        <v>1</v>
      </c>
      <c r="AF385">
        <v>30</v>
      </c>
      <c r="AI385">
        <v>151</v>
      </c>
    </row>
    <row r="386" spans="1:35" x14ac:dyDescent="0.35">
      <c r="A386" t="s">
        <v>91</v>
      </c>
      <c r="B386" t="s">
        <v>24</v>
      </c>
      <c r="C386" t="s">
        <v>33</v>
      </c>
      <c r="D386" t="s">
        <v>34</v>
      </c>
      <c r="E386" t="s">
        <v>309</v>
      </c>
      <c r="F386" t="s">
        <v>42</v>
      </c>
      <c r="G386" s="20" t="s">
        <v>43</v>
      </c>
      <c r="H386" t="s">
        <v>7</v>
      </c>
      <c r="I386" t="str">
        <f t="shared" si="11"/>
        <v>Tetragonula species</v>
      </c>
      <c r="J386" t="s">
        <v>42</v>
      </c>
      <c r="K386" t="s">
        <v>334</v>
      </c>
      <c r="L386" t="s">
        <v>44</v>
      </c>
      <c r="M386" t="s">
        <v>45</v>
      </c>
      <c r="N386">
        <v>249</v>
      </c>
      <c r="O386" t="s">
        <v>119</v>
      </c>
      <c r="P386" t="s">
        <v>30</v>
      </c>
      <c r="Q386" s="4">
        <v>44714</v>
      </c>
      <c r="R386">
        <v>0</v>
      </c>
      <c r="S386" t="s">
        <v>107</v>
      </c>
      <c r="T386" t="s">
        <v>107</v>
      </c>
      <c r="U386" t="s">
        <v>271</v>
      </c>
      <c r="V386">
        <v>0</v>
      </c>
      <c r="AD386">
        <v>1</v>
      </c>
      <c r="AF386">
        <v>30</v>
      </c>
      <c r="AI386">
        <v>152</v>
      </c>
    </row>
    <row r="387" spans="1:35" x14ac:dyDescent="0.35">
      <c r="A387" t="s">
        <v>91</v>
      </c>
      <c r="B387" t="s">
        <v>24</v>
      </c>
      <c r="C387" t="s">
        <v>33</v>
      </c>
      <c r="D387" t="s">
        <v>34</v>
      </c>
      <c r="E387" t="s">
        <v>309</v>
      </c>
      <c r="F387" t="s">
        <v>42</v>
      </c>
      <c r="G387" s="20" t="s">
        <v>43</v>
      </c>
      <c r="H387" t="s">
        <v>7</v>
      </c>
      <c r="I387" t="str">
        <f t="shared" si="11"/>
        <v>Tetragonula species</v>
      </c>
      <c r="J387" t="s">
        <v>42</v>
      </c>
      <c r="K387" t="s">
        <v>334</v>
      </c>
      <c r="L387" t="s">
        <v>44</v>
      </c>
      <c r="M387" t="s">
        <v>45</v>
      </c>
      <c r="N387">
        <v>250</v>
      </c>
      <c r="O387" t="s">
        <v>119</v>
      </c>
      <c r="P387" t="s">
        <v>30</v>
      </c>
      <c r="Q387" s="4">
        <v>44714</v>
      </c>
      <c r="R387">
        <v>0</v>
      </c>
      <c r="S387" t="s">
        <v>107</v>
      </c>
      <c r="T387" t="s">
        <v>107</v>
      </c>
      <c r="U387" t="s">
        <v>271</v>
      </c>
      <c r="V387">
        <v>0</v>
      </c>
      <c r="AD387">
        <v>1</v>
      </c>
      <c r="AF387">
        <v>30</v>
      </c>
      <c r="AI387">
        <v>153</v>
      </c>
    </row>
    <row r="388" spans="1:35" x14ac:dyDescent="0.35">
      <c r="A388" t="s">
        <v>91</v>
      </c>
      <c r="B388" t="s">
        <v>24</v>
      </c>
      <c r="C388" t="s">
        <v>33</v>
      </c>
      <c r="D388" t="s">
        <v>34</v>
      </c>
      <c r="E388" t="s">
        <v>309</v>
      </c>
      <c r="F388" t="s">
        <v>42</v>
      </c>
      <c r="G388" s="20" t="s">
        <v>43</v>
      </c>
      <c r="H388" t="s">
        <v>7</v>
      </c>
      <c r="I388" t="str">
        <f t="shared" si="11"/>
        <v>Tetragonula species</v>
      </c>
      <c r="J388" t="s">
        <v>42</v>
      </c>
      <c r="K388" t="s">
        <v>334</v>
      </c>
      <c r="L388" t="s">
        <v>44</v>
      </c>
      <c r="M388" t="s">
        <v>45</v>
      </c>
      <c r="N388">
        <v>251</v>
      </c>
      <c r="O388" t="s">
        <v>119</v>
      </c>
      <c r="P388" t="s">
        <v>30</v>
      </c>
      <c r="Q388" s="4">
        <v>44714</v>
      </c>
      <c r="R388">
        <v>0</v>
      </c>
      <c r="S388" t="s">
        <v>107</v>
      </c>
      <c r="T388" t="s">
        <v>107</v>
      </c>
      <c r="U388" t="s">
        <v>271</v>
      </c>
      <c r="V388">
        <v>0</v>
      </c>
      <c r="AD388">
        <v>1</v>
      </c>
      <c r="AF388">
        <v>30</v>
      </c>
      <c r="AI388">
        <v>154</v>
      </c>
    </row>
    <row r="389" spans="1:35" x14ac:dyDescent="0.35">
      <c r="A389" t="s">
        <v>91</v>
      </c>
      <c r="B389" t="s">
        <v>24</v>
      </c>
      <c r="C389" t="s">
        <v>33</v>
      </c>
      <c r="D389" t="s">
        <v>34</v>
      </c>
      <c r="E389" t="s">
        <v>309</v>
      </c>
      <c r="F389" t="s">
        <v>42</v>
      </c>
      <c r="G389" s="20" t="s">
        <v>43</v>
      </c>
      <c r="H389" t="s">
        <v>7</v>
      </c>
      <c r="I389" t="str">
        <f t="shared" si="11"/>
        <v>Tetragonula species</v>
      </c>
      <c r="J389" t="s">
        <v>42</v>
      </c>
      <c r="K389" t="s">
        <v>334</v>
      </c>
      <c r="L389" t="s">
        <v>44</v>
      </c>
      <c r="M389" t="s">
        <v>45</v>
      </c>
      <c r="N389">
        <v>252</v>
      </c>
      <c r="O389" t="s">
        <v>119</v>
      </c>
      <c r="P389" t="s">
        <v>30</v>
      </c>
      <c r="Q389" s="4">
        <v>44714</v>
      </c>
      <c r="R389">
        <v>0</v>
      </c>
      <c r="S389" t="s">
        <v>107</v>
      </c>
      <c r="T389" t="s">
        <v>107</v>
      </c>
      <c r="U389" t="s">
        <v>271</v>
      </c>
      <c r="V389">
        <v>0</v>
      </c>
      <c r="AD389">
        <v>1</v>
      </c>
      <c r="AF389">
        <v>30</v>
      </c>
      <c r="AI389">
        <v>155</v>
      </c>
    </row>
    <row r="390" spans="1:35" x14ac:dyDescent="0.35">
      <c r="A390" t="s">
        <v>91</v>
      </c>
      <c r="B390" t="s">
        <v>24</v>
      </c>
      <c r="C390" t="s">
        <v>33</v>
      </c>
      <c r="D390" t="s">
        <v>34</v>
      </c>
      <c r="E390" t="s">
        <v>309</v>
      </c>
      <c r="F390" t="s">
        <v>42</v>
      </c>
      <c r="G390" s="20" t="s">
        <v>43</v>
      </c>
      <c r="H390" t="s">
        <v>7</v>
      </c>
      <c r="I390" t="str">
        <f t="shared" si="11"/>
        <v>Tetragonula species</v>
      </c>
      <c r="J390" t="s">
        <v>42</v>
      </c>
      <c r="K390" t="s">
        <v>334</v>
      </c>
      <c r="L390" t="s">
        <v>44</v>
      </c>
      <c r="M390" t="s">
        <v>45</v>
      </c>
      <c r="N390">
        <v>253</v>
      </c>
      <c r="O390" t="s">
        <v>119</v>
      </c>
      <c r="P390" t="s">
        <v>30</v>
      </c>
      <c r="Q390" s="4">
        <v>44714</v>
      </c>
      <c r="R390">
        <v>0</v>
      </c>
      <c r="S390" t="s">
        <v>107</v>
      </c>
      <c r="T390" t="s">
        <v>107</v>
      </c>
      <c r="U390" t="s">
        <v>271</v>
      </c>
      <c r="V390">
        <v>0</v>
      </c>
      <c r="AD390">
        <v>1</v>
      </c>
      <c r="AF390">
        <v>30</v>
      </c>
      <c r="AI390">
        <v>156</v>
      </c>
    </row>
    <row r="391" spans="1:35" x14ac:dyDescent="0.35">
      <c r="A391" t="s">
        <v>91</v>
      </c>
      <c r="B391" t="s">
        <v>24</v>
      </c>
      <c r="C391" t="s">
        <v>33</v>
      </c>
      <c r="D391" t="s">
        <v>34</v>
      </c>
      <c r="E391" t="s">
        <v>309</v>
      </c>
      <c r="F391" t="s">
        <v>42</v>
      </c>
      <c r="G391" s="20" t="s">
        <v>43</v>
      </c>
      <c r="H391" t="s">
        <v>7</v>
      </c>
      <c r="I391" t="str">
        <f t="shared" si="11"/>
        <v>Tetragonula species</v>
      </c>
      <c r="J391" t="s">
        <v>42</v>
      </c>
      <c r="K391" t="s">
        <v>334</v>
      </c>
      <c r="L391" t="s">
        <v>44</v>
      </c>
      <c r="M391" t="s">
        <v>45</v>
      </c>
      <c r="N391">
        <v>254</v>
      </c>
      <c r="O391" t="s">
        <v>119</v>
      </c>
      <c r="P391" t="s">
        <v>30</v>
      </c>
      <c r="Q391" s="4">
        <v>44714</v>
      </c>
      <c r="R391">
        <v>1</v>
      </c>
      <c r="S391" t="s">
        <v>107</v>
      </c>
      <c r="T391" t="s">
        <v>107</v>
      </c>
      <c r="U391" t="s">
        <v>271</v>
      </c>
      <c r="V391">
        <v>0</v>
      </c>
      <c r="AD391">
        <v>1</v>
      </c>
      <c r="AF391">
        <v>30</v>
      </c>
      <c r="AI391">
        <v>157</v>
      </c>
    </row>
    <row r="392" spans="1:35" x14ac:dyDescent="0.35">
      <c r="A392" t="s">
        <v>91</v>
      </c>
      <c r="B392" t="s">
        <v>24</v>
      </c>
      <c r="C392" t="s">
        <v>33</v>
      </c>
      <c r="D392" t="s">
        <v>34</v>
      </c>
      <c r="E392" t="s">
        <v>309</v>
      </c>
      <c r="F392" t="s">
        <v>42</v>
      </c>
      <c r="G392" s="20" t="s">
        <v>43</v>
      </c>
      <c r="H392" t="s">
        <v>7</v>
      </c>
      <c r="I392" t="str">
        <f t="shared" si="11"/>
        <v>Tetragonula species</v>
      </c>
      <c r="J392" t="s">
        <v>42</v>
      </c>
      <c r="K392" t="s">
        <v>334</v>
      </c>
      <c r="L392" t="s">
        <v>44</v>
      </c>
      <c r="M392" t="s">
        <v>45</v>
      </c>
      <c r="N392">
        <v>255</v>
      </c>
      <c r="O392" t="s">
        <v>119</v>
      </c>
      <c r="P392" t="s">
        <v>30</v>
      </c>
      <c r="Q392" s="4">
        <v>44714</v>
      </c>
      <c r="R392">
        <v>0</v>
      </c>
      <c r="S392" t="s">
        <v>107</v>
      </c>
      <c r="T392" t="s">
        <v>107</v>
      </c>
      <c r="U392" t="s">
        <v>271</v>
      </c>
      <c r="V392">
        <v>0</v>
      </c>
      <c r="AD392">
        <v>1</v>
      </c>
      <c r="AF392">
        <v>30</v>
      </c>
      <c r="AI392">
        <v>158</v>
      </c>
    </row>
    <row r="393" spans="1:35" x14ac:dyDescent="0.35">
      <c r="A393" t="s">
        <v>91</v>
      </c>
      <c r="B393" t="s">
        <v>24</v>
      </c>
      <c r="C393" t="s">
        <v>33</v>
      </c>
      <c r="D393" t="s">
        <v>34</v>
      </c>
      <c r="E393" t="s">
        <v>309</v>
      </c>
      <c r="F393" t="s">
        <v>42</v>
      </c>
      <c r="G393" s="20" t="s">
        <v>43</v>
      </c>
      <c r="H393" t="s">
        <v>7</v>
      </c>
      <c r="I393" t="str">
        <f t="shared" si="11"/>
        <v>Tetragonula species</v>
      </c>
      <c r="J393" t="s">
        <v>42</v>
      </c>
      <c r="K393" t="s">
        <v>334</v>
      </c>
      <c r="L393" t="s">
        <v>44</v>
      </c>
      <c r="M393" t="s">
        <v>45</v>
      </c>
      <c r="N393">
        <v>256</v>
      </c>
      <c r="O393" t="s">
        <v>119</v>
      </c>
      <c r="P393" t="s">
        <v>30</v>
      </c>
      <c r="Q393" s="4">
        <v>44714</v>
      </c>
      <c r="R393">
        <v>0</v>
      </c>
      <c r="S393" t="s">
        <v>107</v>
      </c>
      <c r="T393" t="s">
        <v>107</v>
      </c>
      <c r="U393" t="s">
        <v>271</v>
      </c>
      <c r="V393">
        <v>0</v>
      </c>
      <c r="AD393">
        <v>1</v>
      </c>
      <c r="AF393">
        <v>30</v>
      </c>
      <c r="AI393">
        <v>159</v>
      </c>
    </row>
    <row r="394" spans="1:35" x14ac:dyDescent="0.35">
      <c r="A394" t="s">
        <v>91</v>
      </c>
      <c r="B394" t="s">
        <v>24</v>
      </c>
      <c r="C394" t="s">
        <v>33</v>
      </c>
      <c r="D394" t="s">
        <v>34</v>
      </c>
      <c r="E394" t="s">
        <v>309</v>
      </c>
      <c r="F394" t="s">
        <v>42</v>
      </c>
      <c r="G394" s="20" t="s">
        <v>43</v>
      </c>
      <c r="H394" t="s">
        <v>7</v>
      </c>
      <c r="I394" t="str">
        <f t="shared" si="11"/>
        <v>Tetragonula species</v>
      </c>
      <c r="J394" t="s">
        <v>42</v>
      </c>
      <c r="K394" t="s">
        <v>334</v>
      </c>
      <c r="L394" t="s">
        <v>44</v>
      </c>
      <c r="M394" t="s">
        <v>45</v>
      </c>
      <c r="N394">
        <v>257</v>
      </c>
      <c r="O394" t="s">
        <v>119</v>
      </c>
      <c r="P394" t="s">
        <v>30</v>
      </c>
      <c r="Q394" s="4">
        <v>44714</v>
      </c>
      <c r="R394">
        <v>0</v>
      </c>
      <c r="S394" t="s">
        <v>107</v>
      </c>
      <c r="T394" t="s">
        <v>107</v>
      </c>
      <c r="U394" t="s">
        <v>271</v>
      </c>
      <c r="V394">
        <v>0</v>
      </c>
      <c r="AD394">
        <v>1</v>
      </c>
      <c r="AF394">
        <v>30</v>
      </c>
      <c r="AI394">
        <v>160</v>
      </c>
    </row>
    <row r="395" spans="1:35" x14ac:dyDescent="0.35">
      <c r="A395" t="s">
        <v>91</v>
      </c>
      <c r="B395" t="s">
        <v>24</v>
      </c>
      <c r="C395" t="s">
        <v>33</v>
      </c>
      <c r="D395" t="s">
        <v>34</v>
      </c>
      <c r="E395" t="s">
        <v>309</v>
      </c>
      <c r="F395" t="s">
        <v>42</v>
      </c>
      <c r="G395" s="20" t="s">
        <v>43</v>
      </c>
      <c r="H395" t="s">
        <v>7</v>
      </c>
      <c r="I395" t="str">
        <f t="shared" si="11"/>
        <v>Tetragonula species</v>
      </c>
      <c r="J395" t="s">
        <v>42</v>
      </c>
      <c r="K395" t="s">
        <v>334</v>
      </c>
      <c r="L395" t="s">
        <v>44</v>
      </c>
      <c r="M395" t="s">
        <v>45</v>
      </c>
      <c r="N395">
        <v>258</v>
      </c>
      <c r="O395" t="s">
        <v>119</v>
      </c>
      <c r="P395" t="s">
        <v>30</v>
      </c>
      <c r="Q395" s="4">
        <v>44714</v>
      </c>
      <c r="R395">
        <v>0</v>
      </c>
      <c r="S395" t="s">
        <v>107</v>
      </c>
      <c r="T395" t="s">
        <v>107</v>
      </c>
      <c r="U395" t="s">
        <v>271</v>
      </c>
      <c r="V395">
        <v>0</v>
      </c>
      <c r="AD395">
        <v>1</v>
      </c>
      <c r="AF395">
        <v>30</v>
      </c>
      <c r="AI395">
        <v>161</v>
      </c>
    </row>
    <row r="396" spans="1:35" x14ac:dyDescent="0.35">
      <c r="A396" t="s">
        <v>91</v>
      </c>
      <c r="B396" t="s">
        <v>24</v>
      </c>
      <c r="C396" t="s">
        <v>33</v>
      </c>
      <c r="D396" t="s">
        <v>34</v>
      </c>
      <c r="E396" t="s">
        <v>309</v>
      </c>
      <c r="F396" t="s">
        <v>42</v>
      </c>
      <c r="G396" s="20" t="s">
        <v>43</v>
      </c>
      <c r="H396" t="s">
        <v>7</v>
      </c>
      <c r="I396" t="str">
        <f t="shared" si="11"/>
        <v>Tetragonula species</v>
      </c>
      <c r="J396" t="s">
        <v>42</v>
      </c>
      <c r="K396" t="s">
        <v>334</v>
      </c>
      <c r="L396" t="s">
        <v>44</v>
      </c>
      <c r="M396" t="s">
        <v>45</v>
      </c>
      <c r="N396">
        <v>259</v>
      </c>
      <c r="O396" t="s">
        <v>119</v>
      </c>
      <c r="P396" t="s">
        <v>30</v>
      </c>
      <c r="Q396" s="4">
        <v>44714</v>
      </c>
      <c r="R396">
        <v>0</v>
      </c>
      <c r="S396" t="s">
        <v>107</v>
      </c>
      <c r="T396" t="s">
        <v>107</v>
      </c>
      <c r="U396" t="s">
        <v>271</v>
      </c>
      <c r="V396">
        <v>0</v>
      </c>
      <c r="AD396">
        <v>1</v>
      </c>
      <c r="AF396">
        <v>30</v>
      </c>
      <c r="AI396">
        <v>162</v>
      </c>
    </row>
    <row r="397" spans="1:35" x14ac:dyDescent="0.35">
      <c r="A397" t="s">
        <v>91</v>
      </c>
      <c r="B397" t="s">
        <v>24</v>
      </c>
      <c r="C397" t="s">
        <v>33</v>
      </c>
      <c r="D397" t="s">
        <v>34</v>
      </c>
      <c r="E397" t="s">
        <v>309</v>
      </c>
      <c r="F397" t="s">
        <v>42</v>
      </c>
      <c r="G397" s="20" t="s">
        <v>43</v>
      </c>
      <c r="H397" t="s">
        <v>7</v>
      </c>
      <c r="I397" t="str">
        <f t="shared" si="11"/>
        <v>Tetragonula species</v>
      </c>
      <c r="J397" t="s">
        <v>42</v>
      </c>
      <c r="K397" t="s">
        <v>334</v>
      </c>
      <c r="L397" t="s">
        <v>44</v>
      </c>
      <c r="M397" t="s">
        <v>45</v>
      </c>
      <c r="N397">
        <v>260</v>
      </c>
      <c r="O397" t="s">
        <v>119</v>
      </c>
      <c r="P397" t="s">
        <v>30</v>
      </c>
      <c r="Q397" s="4">
        <v>44714</v>
      </c>
      <c r="R397">
        <v>0</v>
      </c>
      <c r="S397" t="s">
        <v>107</v>
      </c>
      <c r="T397" t="s">
        <v>107</v>
      </c>
      <c r="U397" t="s">
        <v>271</v>
      </c>
      <c r="V397">
        <v>0</v>
      </c>
      <c r="AD397">
        <v>1</v>
      </c>
      <c r="AF397">
        <v>30</v>
      </c>
      <c r="AI397">
        <v>163</v>
      </c>
    </row>
    <row r="398" spans="1:35" x14ac:dyDescent="0.35">
      <c r="A398" t="s">
        <v>91</v>
      </c>
      <c r="B398" t="s">
        <v>24</v>
      </c>
      <c r="C398" t="s">
        <v>33</v>
      </c>
      <c r="D398" t="s">
        <v>34</v>
      </c>
      <c r="E398" t="s">
        <v>309</v>
      </c>
      <c r="F398" t="s">
        <v>42</v>
      </c>
      <c r="G398" s="20" t="s">
        <v>43</v>
      </c>
      <c r="H398" t="s">
        <v>7</v>
      </c>
      <c r="I398" t="str">
        <f t="shared" si="11"/>
        <v>Tetragonula species</v>
      </c>
      <c r="J398" t="s">
        <v>42</v>
      </c>
      <c r="K398" t="s">
        <v>334</v>
      </c>
      <c r="L398" t="s">
        <v>44</v>
      </c>
      <c r="M398" t="s">
        <v>45</v>
      </c>
      <c r="N398">
        <v>261</v>
      </c>
      <c r="O398" t="s">
        <v>119</v>
      </c>
      <c r="P398" t="s">
        <v>30</v>
      </c>
      <c r="Q398" s="4">
        <v>44714</v>
      </c>
      <c r="R398">
        <v>1</v>
      </c>
      <c r="S398" t="s">
        <v>107</v>
      </c>
      <c r="T398" t="s">
        <v>107</v>
      </c>
      <c r="U398" t="s">
        <v>271</v>
      </c>
      <c r="V398">
        <v>0</v>
      </c>
      <c r="AD398">
        <v>1</v>
      </c>
      <c r="AF398">
        <v>19</v>
      </c>
      <c r="AI398">
        <v>164</v>
      </c>
    </row>
    <row r="399" spans="1:35" x14ac:dyDescent="0.35">
      <c r="A399" t="s">
        <v>91</v>
      </c>
      <c r="B399" t="s">
        <v>24</v>
      </c>
      <c r="C399" t="s">
        <v>33</v>
      </c>
      <c r="D399" t="s">
        <v>34</v>
      </c>
      <c r="E399" t="s">
        <v>309</v>
      </c>
      <c r="F399" t="s">
        <v>42</v>
      </c>
      <c r="G399" s="20" t="s">
        <v>43</v>
      </c>
      <c r="H399" t="s">
        <v>7</v>
      </c>
      <c r="I399" t="str">
        <f t="shared" si="11"/>
        <v>Tetragonula species</v>
      </c>
      <c r="J399" t="s">
        <v>42</v>
      </c>
      <c r="K399" t="s">
        <v>334</v>
      </c>
      <c r="L399" t="s">
        <v>44</v>
      </c>
      <c r="M399" t="s">
        <v>45</v>
      </c>
      <c r="N399">
        <v>262</v>
      </c>
      <c r="O399" t="s">
        <v>119</v>
      </c>
      <c r="P399" t="s">
        <v>30</v>
      </c>
      <c r="Q399" s="4">
        <v>44714</v>
      </c>
      <c r="R399">
        <v>0</v>
      </c>
      <c r="S399" t="s">
        <v>107</v>
      </c>
      <c r="T399" t="s">
        <v>107</v>
      </c>
      <c r="U399" t="s">
        <v>271</v>
      </c>
      <c r="V399">
        <v>0</v>
      </c>
      <c r="AD399">
        <v>1</v>
      </c>
      <c r="AF399">
        <v>19</v>
      </c>
      <c r="AI399">
        <v>165</v>
      </c>
    </row>
    <row r="400" spans="1:35" x14ac:dyDescent="0.35">
      <c r="A400" t="s">
        <v>91</v>
      </c>
      <c r="B400" t="s">
        <v>24</v>
      </c>
      <c r="C400" t="s">
        <v>33</v>
      </c>
      <c r="D400" t="s">
        <v>34</v>
      </c>
      <c r="E400" t="s">
        <v>309</v>
      </c>
      <c r="F400" t="s">
        <v>42</v>
      </c>
      <c r="G400" s="20" t="s">
        <v>43</v>
      </c>
      <c r="H400" t="s">
        <v>7</v>
      </c>
      <c r="I400" t="str">
        <f t="shared" si="11"/>
        <v>Tetragonula species</v>
      </c>
      <c r="J400" t="s">
        <v>42</v>
      </c>
      <c r="K400" t="s">
        <v>334</v>
      </c>
      <c r="L400" t="s">
        <v>44</v>
      </c>
      <c r="M400" t="s">
        <v>45</v>
      </c>
      <c r="N400">
        <v>263</v>
      </c>
      <c r="O400" t="s">
        <v>119</v>
      </c>
      <c r="P400" t="s">
        <v>30</v>
      </c>
      <c r="Q400" s="4">
        <v>44714</v>
      </c>
      <c r="R400">
        <v>0</v>
      </c>
      <c r="S400" t="s">
        <v>107</v>
      </c>
      <c r="T400" t="s">
        <v>107</v>
      </c>
      <c r="U400" t="s">
        <v>271</v>
      </c>
      <c r="V400">
        <v>0</v>
      </c>
      <c r="AD400">
        <v>1</v>
      </c>
      <c r="AF400">
        <v>19</v>
      </c>
      <c r="AI400">
        <v>166</v>
      </c>
    </row>
    <row r="401" spans="1:35" x14ac:dyDescent="0.35">
      <c r="A401" t="s">
        <v>91</v>
      </c>
      <c r="B401" t="s">
        <v>24</v>
      </c>
      <c r="C401" t="s">
        <v>33</v>
      </c>
      <c r="D401" t="s">
        <v>34</v>
      </c>
      <c r="E401" t="s">
        <v>309</v>
      </c>
      <c r="F401" t="s">
        <v>42</v>
      </c>
      <c r="G401" s="20" t="s">
        <v>43</v>
      </c>
      <c r="H401" t="s">
        <v>7</v>
      </c>
      <c r="I401" t="str">
        <f t="shared" si="11"/>
        <v>Tetragonula species</v>
      </c>
      <c r="J401" t="s">
        <v>42</v>
      </c>
      <c r="K401" t="s">
        <v>334</v>
      </c>
      <c r="L401" t="s">
        <v>44</v>
      </c>
      <c r="M401" t="s">
        <v>45</v>
      </c>
      <c r="N401">
        <v>264</v>
      </c>
      <c r="O401" t="s">
        <v>119</v>
      </c>
      <c r="P401" t="s">
        <v>30</v>
      </c>
      <c r="Q401" s="4">
        <v>44714</v>
      </c>
      <c r="R401">
        <v>0</v>
      </c>
      <c r="S401" t="s">
        <v>107</v>
      </c>
      <c r="T401" t="s">
        <v>107</v>
      </c>
      <c r="U401" t="s">
        <v>271</v>
      </c>
      <c r="V401">
        <v>0</v>
      </c>
      <c r="AD401">
        <v>1</v>
      </c>
      <c r="AF401">
        <v>19</v>
      </c>
      <c r="AI401">
        <v>167</v>
      </c>
    </row>
    <row r="402" spans="1:35" x14ac:dyDescent="0.35">
      <c r="A402" t="s">
        <v>91</v>
      </c>
      <c r="B402" t="s">
        <v>24</v>
      </c>
      <c r="C402" t="s">
        <v>33</v>
      </c>
      <c r="D402" t="s">
        <v>34</v>
      </c>
      <c r="E402" t="s">
        <v>309</v>
      </c>
      <c r="F402" t="s">
        <v>42</v>
      </c>
      <c r="G402" s="20" t="s">
        <v>43</v>
      </c>
      <c r="H402" t="s">
        <v>7</v>
      </c>
      <c r="I402" t="str">
        <f t="shared" si="11"/>
        <v>Tetragonula species</v>
      </c>
      <c r="J402" t="s">
        <v>42</v>
      </c>
      <c r="K402" t="s">
        <v>334</v>
      </c>
      <c r="L402" t="s">
        <v>44</v>
      </c>
      <c r="M402" t="s">
        <v>45</v>
      </c>
      <c r="N402">
        <v>265</v>
      </c>
      <c r="O402" t="s">
        <v>119</v>
      </c>
      <c r="P402" t="s">
        <v>30</v>
      </c>
      <c r="Q402" s="4">
        <v>44714</v>
      </c>
      <c r="R402">
        <v>0</v>
      </c>
      <c r="S402" t="s">
        <v>107</v>
      </c>
      <c r="T402" t="s">
        <v>107</v>
      </c>
      <c r="U402" t="s">
        <v>271</v>
      </c>
      <c r="V402">
        <v>0</v>
      </c>
      <c r="AD402">
        <v>1</v>
      </c>
      <c r="AF402">
        <v>19</v>
      </c>
      <c r="AI402">
        <v>168</v>
      </c>
    </row>
    <row r="403" spans="1:35" x14ac:dyDescent="0.35">
      <c r="A403" t="s">
        <v>91</v>
      </c>
      <c r="B403" t="s">
        <v>24</v>
      </c>
      <c r="C403" t="s">
        <v>33</v>
      </c>
      <c r="D403" t="s">
        <v>34</v>
      </c>
      <c r="E403" t="s">
        <v>309</v>
      </c>
      <c r="F403" t="s">
        <v>42</v>
      </c>
      <c r="G403" s="20" t="s">
        <v>43</v>
      </c>
      <c r="H403" t="s">
        <v>7</v>
      </c>
      <c r="I403" t="str">
        <f t="shared" si="11"/>
        <v>Tetragonula species</v>
      </c>
      <c r="J403" t="s">
        <v>42</v>
      </c>
      <c r="K403" t="s">
        <v>334</v>
      </c>
      <c r="L403" t="s">
        <v>44</v>
      </c>
      <c r="M403" t="s">
        <v>45</v>
      </c>
      <c r="N403">
        <v>266</v>
      </c>
      <c r="O403" t="s">
        <v>119</v>
      </c>
      <c r="P403" t="s">
        <v>30</v>
      </c>
      <c r="Q403" s="4">
        <v>44714</v>
      </c>
      <c r="R403">
        <v>0</v>
      </c>
      <c r="S403" t="s">
        <v>107</v>
      </c>
      <c r="T403" t="s">
        <v>107</v>
      </c>
      <c r="U403" t="s">
        <v>271</v>
      </c>
      <c r="V403">
        <v>0</v>
      </c>
      <c r="AD403">
        <v>1</v>
      </c>
      <c r="AF403">
        <v>19</v>
      </c>
      <c r="AI403">
        <v>169</v>
      </c>
    </row>
    <row r="404" spans="1:35" x14ac:dyDescent="0.35">
      <c r="A404" t="s">
        <v>91</v>
      </c>
      <c r="B404" t="s">
        <v>24</v>
      </c>
      <c r="C404" t="s">
        <v>33</v>
      </c>
      <c r="D404" t="s">
        <v>34</v>
      </c>
      <c r="E404" t="s">
        <v>309</v>
      </c>
      <c r="F404" t="s">
        <v>42</v>
      </c>
      <c r="G404" s="20" t="s">
        <v>43</v>
      </c>
      <c r="H404" t="s">
        <v>7</v>
      </c>
      <c r="I404" t="str">
        <f t="shared" si="11"/>
        <v>Tetragonula species</v>
      </c>
      <c r="J404" t="s">
        <v>42</v>
      </c>
      <c r="K404" t="s">
        <v>334</v>
      </c>
      <c r="L404" t="s">
        <v>44</v>
      </c>
      <c r="M404" t="s">
        <v>45</v>
      </c>
      <c r="N404">
        <v>267</v>
      </c>
      <c r="O404" t="s">
        <v>119</v>
      </c>
      <c r="P404" t="s">
        <v>30</v>
      </c>
      <c r="Q404" s="4">
        <v>44714</v>
      </c>
      <c r="R404">
        <v>0</v>
      </c>
      <c r="S404" t="s">
        <v>107</v>
      </c>
      <c r="T404" t="s">
        <v>107</v>
      </c>
      <c r="U404" t="s">
        <v>271</v>
      </c>
      <c r="V404">
        <v>0</v>
      </c>
      <c r="AD404">
        <v>1</v>
      </c>
      <c r="AF404">
        <v>19</v>
      </c>
      <c r="AI404">
        <v>170</v>
      </c>
    </row>
    <row r="405" spans="1:35" x14ac:dyDescent="0.35">
      <c r="A405" t="s">
        <v>91</v>
      </c>
      <c r="B405" t="s">
        <v>24</v>
      </c>
      <c r="C405" t="s">
        <v>33</v>
      </c>
      <c r="D405" t="s">
        <v>34</v>
      </c>
      <c r="E405" t="s">
        <v>309</v>
      </c>
      <c r="F405" t="s">
        <v>42</v>
      </c>
      <c r="G405" s="20" t="s">
        <v>43</v>
      </c>
      <c r="H405" t="s">
        <v>7</v>
      </c>
      <c r="I405" t="str">
        <f t="shared" si="11"/>
        <v>Tetragonula species</v>
      </c>
      <c r="J405" t="s">
        <v>42</v>
      </c>
      <c r="K405" t="s">
        <v>334</v>
      </c>
      <c r="L405" t="s">
        <v>44</v>
      </c>
      <c r="M405" t="s">
        <v>45</v>
      </c>
      <c r="N405">
        <v>268</v>
      </c>
      <c r="O405" t="s">
        <v>119</v>
      </c>
      <c r="P405" t="s">
        <v>30</v>
      </c>
      <c r="Q405" s="4">
        <v>44714</v>
      </c>
      <c r="R405">
        <v>1</v>
      </c>
      <c r="S405" t="s">
        <v>107</v>
      </c>
      <c r="T405" t="s">
        <v>107</v>
      </c>
      <c r="U405" t="s">
        <v>271</v>
      </c>
      <c r="V405">
        <v>0</v>
      </c>
      <c r="AD405">
        <v>1</v>
      </c>
      <c r="AF405">
        <v>19</v>
      </c>
      <c r="AI405">
        <v>171</v>
      </c>
    </row>
    <row r="406" spans="1:35" x14ac:dyDescent="0.35">
      <c r="A406" t="s">
        <v>91</v>
      </c>
      <c r="B406" t="s">
        <v>24</v>
      </c>
      <c r="C406" t="s">
        <v>33</v>
      </c>
      <c r="D406" t="s">
        <v>34</v>
      </c>
      <c r="E406" t="s">
        <v>309</v>
      </c>
      <c r="F406" t="s">
        <v>42</v>
      </c>
      <c r="G406" s="20" t="s">
        <v>43</v>
      </c>
      <c r="H406" t="s">
        <v>7</v>
      </c>
      <c r="I406" t="str">
        <f t="shared" si="11"/>
        <v>Tetragonula species</v>
      </c>
      <c r="J406" t="s">
        <v>42</v>
      </c>
      <c r="K406" t="s">
        <v>334</v>
      </c>
      <c r="L406" t="s">
        <v>44</v>
      </c>
      <c r="M406" t="s">
        <v>45</v>
      </c>
      <c r="N406">
        <v>269</v>
      </c>
      <c r="O406" t="s">
        <v>119</v>
      </c>
      <c r="P406" t="s">
        <v>30</v>
      </c>
      <c r="Q406" s="4">
        <v>44714</v>
      </c>
      <c r="R406">
        <v>0</v>
      </c>
      <c r="S406" t="s">
        <v>107</v>
      </c>
      <c r="T406" t="s">
        <v>107</v>
      </c>
      <c r="U406" t="s">
        <v>271</v>
      </c>
      <c r="V406">
        <v>0</v>
      </c>
      <c r="AD406">
        <v>1</v>
      </c>
      <c r="AF406">
        <v>19</v>
      </c>
      <c r="AI406">
        <v>172</v>
      </c>
    </row>
    <row r="407" spans="1:35" x14ac:dyDescent="0.35">
      <c r="A407" t="s">
        <v>91</v>
      </c>
      <c r="B407" t="s">
        <v>24</v>
      </c>
      <c r="C407" t="s">
        <v>33</v>
      </c>
      <c r="D407" t="s">
        <v>34</v>
      </c>
      <c r="E407" t="s">
        <v>309</v>
      </c>
      <c r="F407" t="s">
        <v>42</v>
      </c>
      <c r="G407" s="20" t="s">
        <v>43</v>
      </c>
      <c r="H407" t="s">
        <v>7</v>
      </c>
      <c r="I407" t="str">
        <f t="shared" si="11"/>
        <v>Tetragonula species</v>
      </c>
      <c r="J407" t="s">
        <v>42</v>
      </c>
      <c r="K407" t="s">
        <v>334</v>
      </c>
      <c r="L407" t="s">
        <v>44</v>
      </c>
      <c r="M407" t="s">
        <v>45</v>
      </c>
      <c r="N407">
        <v>270</v>
      </c>
      <c r="O407" t="s">
        <v>119</v>
      </c>
      <c r="P407" t="s">
        <v>30</v>
      </c>
      <c r="Q407" s="4">
        <v>44714</v>
      </c>
      <c r="R407">
        <v>1</v>
      </c>
      <c r="S407" t="s">
        <v>107</v>
      </c>
      <c r="T407" t="s">
        <v>107</v>
      </c>
      <c r="U407" t="s">
        <v>271</v>
      </c>
      <c r="V407">
        <v>0</v>
      </c>
      <c r="AD407">
        <v>1</v>
      </c>
      <c r="AF407">
        <v>19</v>
      </c>
      <c r="AI407">
        <v>173</v>
      </c>
    </row>
    <row r="408" spans="1:35" x14ac:dyDescent="0.35">
      <c r="A408" t="s">
        <v>91</v>
      </c>
      <c r="B408" t="s">
        <v>24</v>
      </c>
      <c r="C408" t="s">
        <v>33</v>
      </c>
      <c r="D408" t="s">
        <v>34</v>
      </c>
      <c r="E408" t="s">
        <v>309</v>
      </c>
      <c r="F408" t="s">
        <v>42</v>
      </c>
      <c r="G408" s="20" t="s">
        <v>43</v>
      </c>
      <c r="H408" t="s">
        <v>7</v>
      </c>
      <c r="I408" t="str">
        <f t="shared" si="11"/>
        <v>Tetragonula species</v>
      </c>
      <c r="J408" t="s">
        <v>42</v>
      </c>
      <c r="K408" t="s">
        <v>334</v>
      </c>
      <c r="L408" t="s">
        <v>44</v>
      </c>
      <c r="M408" t="s">
        <v>45</v>
      </c>
      <c r="N408">
        <v>271</v>
      </c>
      <c r="O408" t="s">
        <v>119</v>
      </c>
      <c r="P408" t="s">
        <v>30</v>
      </c>
      <c r="Q408" s="4">
        <v>44714</v>
      </c>
      <c r="R408">
        <v>0</v>
      </c>
      <c r="S408" t="s">
        <v>107</v>
      </c>
      <c r="T408" t="s">
        <v>107</v>
      </c>
      <c r="U408" t="s">
        <v>271</v>
      </c>
      <c r="V408">
        <v>0</v>
      </c>
      <c r="AD408">
        <v>1</v>
      </c>
      <c r="AF408">
        <v>42</v>
      </c>
      <c r="AI408">
        <v>174</v>
      </c>
    </row>
    <row r="409" spans="1:35" x14ac:dyDescent="0.35">
      <c r="A409" t="s">
        <v>91</v>
      </c>
      <c r="B409" t="s">
        <v>24</v>
      </c>
      <c r="C409" t="s">
        <v>33</v>
      </c>
      <c r="D409" t="s">
        <v>34</v>
      </c>
      <c r="E409" t="s">
        <v>309</v>
      </c>
      <c r="F409" t="s">
        <v>42</v>
      </c>
      <c r="G409" s="20" t="s">
        <v>43</v>
      </c>
      <c r="H409" t="s">
        <v>7</v>
      </c>
      <c r="I409" t="str">
        <f t="shared" si="11"/>
        <v>Tetragonula species</v>
      </c>
      <c r="J409" t="s">
        <v>42</v>
      </c>
      <c r="K409" t="s">
        <v>334</v>
      </c>
      <c r="L409" t="s">
        <v>44</v>
      </c>
      <c r="M409" t="s">
        <v>45</v>
      </c>
      <c r="N409">
        <v>272</v>
      </c>
      <c r="O409" t="s">
        <v>119</v>
      </c>
      <c r="P409" t="s">
        <v>30</v>
      </c>
      <c r="Q409" s="4">
        <v>44714</v>
      </c>
      <c r="R409">
        <v>1</v>
      </c>
      <c r="S409" t="s">
        <v>107</v>
      </c>
      <c r="T409" t="s">
        <v>107</v>
      </c>
      <c r="U409" t="s">
        <v>271</v>
      </c>
      <c r="V409">
        <v>0</v>
      </c>
      <c r="AD409">
        <v>1</v>
      </c>
      <c r="AF409">
        <v>42</v>
      </c>
      <c r="AI409">
        <v>175</v>
      </c>
    </row>
    <row r="410" spans="1:35" x14ac:dyDescent="0.35">
      <c r="A410" t="s">
        <v>91</v>
      </c>
      <c r="B410" t="s">
        <v>24</v>
      </c>
      <c r="C410" t="s">
        <v>33</v>
      </c>
      <c r="D410" t="s">
        <v>34</v>
      </c>
      <c r="E410" t="s">
        <v>309</v>
      </c>
      <c r="F410" t="s">
        <v>42</v>
      </c>
      <c r="G410" s="20" t="s">
        <v>43</v>
      </c>
      <c r="H410" t="s">
        <v>7</v>
      </c>
      <c r="I410" t="str">
        <f t="shared" si="11"/>
        <v>Tetragonula species</v>
      </c>
      <c r="J410" t="s">
        <v>42</v>
      </c>
      <c r="K410" t="s">
        <v>334</v>
      </c>
      <c r="L410" t="s">
        <v>44</v>
      </c>
      <c r="M410" t="s">
        <v>45</v>
      </c>
      <c r="N410">
        <v>273</v>
      </c>
      <c r="O410" t="s">
        <v>119</v>
      </c>
      <c r="P410" t="s">
        <v>30</v>
      </c>
      <c r="Q410" s="4">
        <v>44714</v>
      </c>
      <c r="R410">
        <v>0</v>
      </c>
      <c r="S410" t="s">
        <v>107</v>
      </c>
      <c r="T410" t="s">
        <v>107</v>
      </c>
      <c r="U410" t="s">
        <v>271</v>
      </c>
      <c r="V410">
        <v>0</v>
      </c>
      <c r="AD410">
        <v>1</v>
      </c>
      <c r="AF410">
        <v>42</v>
      </c>
      <c r="AI410">
        <v>176</v>
      </c>
    </row>
    <row r="411" spans="1:35" x14ac:dyDescent="0.35">
      <c r="A411" t="s">
        <v>91</v>
      </c>
      <c r="B411" t="s">
        <v>24</v>
      </c>
      <c r="C411" t="s">
        <v>33</v>
      </c>
      <c r="D411" t="s">
        <v>34</v>
      </c>
      <c r="E411" t="s">
        <v>309</v>
      </c>
      <c r="F411" t="s">
        <v>42</v>
      </c>
      <c r="G411" s="20" t="s">
        <v>43</v>
      </c>
      <c r="H411" t="s">
        <v>7</v>
      </c>
      <c r="I411" t="str">
        <f t="shared" si="11"/>
        <v>Tetragonula species</v>
      </c>
      <c r="J411" t="s">
        <v>42</v>
      </c>
      <c r="K411" t="s">
        <v>334</v>
      </c>
      <c r="L411" t="s">
        <v>44</v>
      </c>
      <c r="M411" t="s">
        <v>45</v>
      </c>
      <c r="N411">
        <v>274</v>
      </c>
      <c r="O411" t="s">
        <v>119</v>
      </c>
      <c r="P411" t="s">
        <v>30</v>
      </c>
      <c r="Q411" s="4">
        <v>44714</v>
      </c>
      <c r="R411">
        <v>0</v>
      </c>
      <c r="S411" t="s">
        <v>107</v>
      </c>
      <c r="T411" t="s">
        <v>107</v>
      </c>
      <c r="U411" t="s">
        <v>271</v>
      </c>
      <c r="V411">
        <v>0</v>
      </c>
      <c r="AD411">
        <v>1</v>
      </c>
      <c r="AF411">
        <v>42</v>
      </c>
      <c r="AI411">
        <v>177</v>
      </c>
    </row>
    <row r="412" spans="1:35" x14ac:dyDescent="0.35">
      <c r="A412" t="s">
        <v>91</v>
      </c>
      <c r="B412" t="s">
        <v>24</v>
      </c>
      <c r="C412" t="s">
        <v>33</v>
      </c>
      <c r="D412" t="s">
        <v>34</v>
      </c>
      <c r="E412" t="s">
        <v>309</v>
      </c>
      <c r="F412" t="s">
        <v>42</v>
      </c>
      <c r="G412" s="20" t="s">
        <v>43</v>
      </c>
      <c r="H412" t="s">
        <v>7</v>
      </c>
      <c r="I412" t="str">
        <f t="shared" si="11"/>
        <v>Tetragonula species</v>
      </c>
      <c r="J412" t="s">
        <v>42</v>
      </c>
      <c r="K412" t="s">
        <v>334</v>
      </c>
      <c r="L412" t="s">
        <v>44</v>
      </c>
      <c r="M412" t="s">
        <v>45</v>
      </c>
      <c r="N412">
        <v>275</v>
      </c>
      <c r="O412" t="s">
        <v>119</v>
      </c>
      <c r="P412" t="s">
        <v>30</v>
      </c>
      <c r="Q412" s="4">
        <v>44714</v>
      </c>
      <c r="R412">
        <v>0</v>
      </c>
      <c r="S412" t="s">
        <v>107</v>
      </c>
      <c r="T412" t="s">
        <v>107</v>
      </c>
      <c r="U412" t="s">
        <v>271</v>
      </c>
      <c r="V412">
        <v>0</v>
      </c>
      <c r="AD412">
        <v>1</v>
      </c>
      <c r="AF412">
        <v>42</v>
      </c>
      <c r="AI412">
        <v>178</v>
      </c>
    </row>
    <row r="413" spans="1:35" x14ac:dyDescent="0.35">
      <c r="A413" t="s">
        <v>91</v>
      </c>
      <c r="B413" t="s">
        <v>24</v>
      </c>
      <c r="C413" t="s">
        <v>33</v>
      </c>
      <c r="D413" t="s">
        <v>34</v>
      </c>
      <c r="E413" t="s">
        <v>309</v>
      </c>
      <c r="F413" t="s">
        <v>42</v>
      </c>
      <c r="G413" s="20" t="s">
        <v>43</v>
      </c>
      <c r="H413" t="s">
        <v>7</v>
      </c>
      <c r="I413" t="str">
        <f t="shared" si="11"/>
        <v>Tetragonula species</v>
      </c>
      <c r="J413" t="s">
        <v>42</v>
      </c>
      <c r="K413" t="s">
        <v>334</v>
      </c>
      <c r="L413" t="s">
        <v>44</v>
      </c>
      <c r="M413" t="s">
        <v>45</v>
      </c>
      <c r="N413">
        <v>276</v>
      </c>
      <c r="O413" t="s">
        <v>119</v>
      </c>
      <c r="P413" t="s">
        <v>30</v>
      </c>
      <c r="Q413" s="4">
        <v>44714</v>
      </c>
      <c r="R413">
        <v>0</v>
      </c>
      <c r="S413" t="s">
        <v>107</v>
      </c>
      <c r="T413" t="s">
        <v>107</v>
      </c>
      <c r="U413" t="s">
        <v>271</v>
      </c>
      <c r="V413">
        <v>0</v>
      </c>
      <c r="AD413">
        <v>1</v>
      </c>
      <c r="AF413">
        <v>42</v>
      </c>
      <c r="AI413">
        <v>179</v>
      </c>
    </row>
    <row r="414" spans="1:35" x14ac:dyDescent="0.35">
      <c r="A414" t="s">
        <v>91</v>
      </c>
      <c r="B414" t="s">
        <v>24</v>
      </c>
      <c r="C414" t="s">
        <v>33</v>
      </c>
      <c r="D414" t="s">
        <v>34</v>
      </c>
      <c r="E414" t="s">
        <v>309</v>
      </c>
      <c r="F414" t="s">
        <v>42</v>
      </c>
      <c r="G414" s="20" t="s">
        <v>43</v>
      </c>
      <c r="H414" t="s">
        <v>7</v>
      </c>
      <c r="I414" t="str">
        <f t="shared" si="11"/>
        <v>Tetragonula species</v>
      </c>
      <c r="J414" t="s">
        <v>42</v>
      </c>
      <c r="K414" t="s">
        <v>334</v>
      </c>
      <c r="L414" t="s">
        <v>44</v>
      </c>
      <c r="M414" t="s">
        <v>45</v>
      </c>
      <c r="N414">
        <v>277</v>
      </c>
      <c r="O414" t="s">
        <v>119</v>
      </c>
      <c r="P414" t="s">
        <v>30</v>
      </c>
      <c r="Q414" s="4">
        <v>44714</v>
      </c>
      <c r="R414">
        <v>0</v>
      </c>
      <c r="U414" t="s">
        <v>225</v>
      </c>
      <c r="V414">
        <v>0</v>
      </c>
      <c r="AD414">
        <v>1</v>
      </c>
      <c r="AF414">
        <v>19</v>
      </c>
      <c r="AI414">
        <v>180</v>
      </c>
    </row>
    <row r="415" spans="1:35" x14ac:dyDescent="0.35">
      <c r="A415" t="s">
        <v>91</v>
      </c>
      <c r="B415" t="s">
        <v>24</v>
      </c>
      <c r="C415" t="s">
        <v>33</v>
      </c>
      <c r="D415" t="s">
        <v>34</v>
      </c>
      <c r="E415" t="s">
        <v>309</v>
      </c>
      <c r="F415" t="s">
        <v>42</v>
      </c>
      <c r="G415" s="20" t="s">
        <v>43</v>
      </c>
      <c r="H415" t="s">
        <v>7</v>
      </c>
      <c r="I415" t="str">
        <f t="shared" si="11"/>
        <v>Tetragonula species</v>
      </c>
      <c r="J415" t="s">
        <v>42</v>
      </c>
      <c r="K415" t="s">
        <v>334</v>
      </c>
      <c r="L415" t="s">
        <v>44</v>
      </c>
      <c r="M415" t="s">
        <v>45</v>
      </c>
      <c r="N415">
        <v>278</v>
      </c>
      <c r="O415" t="s">
        <v>119</v>
      </c>
      <c r="P415" t="s">
        <v>30</v>
      </c>
      <c r="Q415" s="4">
        <v>44714</v>
      </c>
      <c r="R415">
        <v>1</v>
      </c>
      <c r="S415" t="s">
        <v>107</v>
      </c>
      <c r="T415" t="s">
        <v>107</v>
      </c>
      <c r="U415" t="s">
        <v>271</v>
      </c>
      <c r="V415">
        <v>0</v>
      </c>
      <c r="AD415">
        <v>1</v>
      </c>
      <c r="AF415">
        <v>19</v>
      </c>
      <c r="AI415">
        <v>181</v>
      </c>
    </row>
    <row r="416" spans="1:35" x14ac:dyDescent="0.35">
      <c r="A416" t="s">
        <v>91</v>
      </c>
      <c r="B416" t="s">
        <v>24</v>
      </c>
      <c r="C416" t="s">
        <v>33</v>
      </c>
      <c r="D416" t="s">
        <v>34</v>
      </c>
      <c r="E416" t="s">
        <v>309</v>
      </c>
      <c r="F416" t="s">
        <v>42</v>
      </c>
      <c r="G416" s="20" t="s">
        <v>43</v>
      </c>
      <c r="H416" t="s">
        <v>7</v>
      </c>
      <c r="I416" t="str">
        <f t="shared" si="11"/>
        <v>Tetragonula species</v>
      </c>
      <c r="J416" t="s">
        <v>42</v>
      </c>
      <c r="K416" t="s">
        <v>334</v>
      </c>
      <c r="L416" t="s">
        <v>44</v>
      </c>
      <c r="M416" t="s">
        <v>45</v>
      </c>
      <c r="N416">
        <v>279</v>
      </c>
      <c r="O416" t="s">
        <v>119</v>
      </c>
      <c r="P416" t="s">
        <v>30</v>
      </c>
      <c r="Q416" s="4">
        <v>44714</v>
      </c>
      <c r="R416">
        <v>0</v>
      </c>
      <c r="S416" t="s">
        <v>107</v>
      </c>
      <c r="T416" t="s">
        <v>107</v>
      </c>
      <c r="U416" t="s">
        <v>271</v>
      </c>
      <c r="V416">
        <v>0</v>
      </c>
      <c r="AD416">
        <v>1</v>
      </c>
      <c r="AF416">
        <v>19</v>
      </c>
      <c r="AI416">
        <v>182</v>
      </c>
    </row>
    <row r="417" spans="1:35" x14ac:dyDescent="0.35">
      <c r="A417" t="s">
        <v>91</v>
      </c>
      <c r="B417" t="s">
        <v>24</v>
      </c>
      <c r="C417" t="s">
        <v>33</v>
      </c>
      <c r="D417" t="s">
        <v>34</v>
      </c>
      <c r="E417" t="s">
        <v>309</v>
      </c>
      <c r="F417" t="s">
        <v>42</v>
      </c>
      <c r="G417" s="20" t="s">
        <v>43</v>
      </c>
      <c r="H417" t="s">
        <v>7</v>
      </c>
      <c r="I417" t="str">
        <f t="shared" si="11"/>
        <v>Tetragonula species</v>
      </c>
      <c r="J417" t="s">
        <v>42</v>
      </c>
      <c r="K417" t="s">
        <v>334</v>
      </c>
      <c r="L417" t="s">
        <v>44</v>
      </c>
      <c r="M417" t="s">
        <v>45</v>
      </c>
      <c r="N417">
        <v>280</v>
      </c>
      <c r="O417" t="s">
        <v>119</v>
      </c>
      <c r="P417" t="s">
        <v>30</v>
      </c>
      <c r="Q417" s="4">
        <v>44714</v>
      </c>
      <c r="R417">
        <v>0</v>
      </c>
      <c r="S417" t="s">
        <v>107</v>
      </c>
      <c r="T417" t="s">
        <v>107</v>
      </c>
      <c r="U417" t="s">
        <v>271</v>
      </c>
      <c r="V417">
        <v>0</v>
      </c>
      <c r="AD417">
        <v>1</v>
      </c>
      <c r="AF417">
        <v>19</v>
      </c>
      <c r="AI417">
        <v>183</v>
      </c>
    </row>
    <row r="418" spans="1:35" x14ac:dyDescent="0.35">
      <c r="A418" t="s">
        <v>91</v>
      </c>
      <c r="B418" t="s">
        <v>24</v>
      </c>
      <c r="C418" t="s">
        <v>33</v>
      </c>
      <c r="D418" t="s">
        <v>34</v>
      </c>
      <c r="E418" t="s">
        <v>309</v>
      </c>
      <c r="F418" t="s">
        <v>42</v>
      </c>
      <c r="G418" s="20" t="s">
        <v>43</v>
      </c>
      <c r="H418" t="s">
        <v>7</v>
      </c>
      <c r="I418" t="str">
        <f t="shared" si="11"/>
        <v>Tetragonula species</v>
      </c>
      <c r="J418" t="s">
        <v>42</v>
      </c>
      <c r="K418" t="s">
        <v>334</v>
      </c>
      <c r="L418" t="s">
        <v>44</v>
      </c>
      <c r="M418" t="s">
        <v>45</v>
      </c>
      <c r="N418">
        <v>281</v>
      </c>
      <c r="O418" t="s">
        <v>119</v>
      </c>
      <c r="P418" t="s">
        <v>30</v>
      </c>
      <c r="Q418" s="4">
        <v>44714</v>
      </c>
      <c r="R418">
        <v>1</v>
      </c>
      <c r="S418" t="s">
        <v>107</v>
      </c>
      <c r="T418" t="s">
        <v>107</v>
      </c>
      <c r="U418" t="s">
        <v>271</v>
      </c>
      <c r="V418">
        <v>0</v>
      </c>
      <c r="AD418">
        <v>1</v>
      </c>
      <c r="AF418">
        <v>19</v>
      </c>
      <c r="AI418">
        <v>184</v>
      </c>
    </row>
    <row r="419" spans="1:35" x14ac:dyDescent="0.35">
      <c r="A419" t="s">
        <v>91</v>
      </c>
      <c r="B419" t="s">
        <v>24</v>
      </c>
      <c r="C419" t="s">
        <v>33</v>
      </c>
      <c r="D419" t="s">
        <v>34</v>
      </c>
      <c r="E419" t="s">
        <v>309</v>
      </c>
      <c r="F419" t="s">
        <v>42</v>
      </c>
      <c r="G419" s="20" t="s">
        <v>43</v>
      </c>
      <c r="H419" t="s">
        <v>7</v>
      </c>
      <c r="I419" t="str">
        <f t="shared" si="11"/>
        <v>Tetragonula species</v>
      </c>
      <c r="J419" t="s">
        <v>42</v>
      </c>
      <c r="K419" t="s">
        <v>334</v>
      </c>
      <c r="L419" t="s">
        <v>44</v>
      </c>
      <c r="M419" t="s">
        <v>45</v>
      </c>
      <c r="N419">
        <v>282</v>
      </c>
      <c r="O419" t="s">
        <v>119</v>
      </c>
      <c r="P419" t="s">
        <v>30</v>
      </c>
      <c r="Q419" s="4">
        <v>44714</v>
      </c>
      <c r="R419">
        <v>0</v>
      </c>
      <c r="S419" t="s">
        <v>107</v>
      </c>
      <c r="T419" t="s">
        <v>107</v>
      </c>
      <c r="U419" t="s">
        <v>271</v>
      </c>
      <c r="V419">
        <v>0</v>
      </c>
      <c r="AD419">
        <v>1</v>
      </c>
      <c r="AF419">
        <v>19</v>
      </c>
      <c r="AI419">
        <v>185</v>
      </c>
    </row>
    <row r="420" spans="1:35" x14ac:dyDescent="0.35">
      <c r="A420" t="s">
        <v>91</v>
      </c>
      <c r="B420" t="s">
        <v>24</v>
      </c>
      <c r="C420" t="s">
        <v>33</v>
      </c>
      <c r="D420" t="s">
        <v>34</v>
      </c>
      <c r="E420" t="s">
        <v>309</v>
      </c>
      <c r="F420" t="s">
        <v>42</v>
      </c>
      <c r="G420" s="20" t="s">
        <v>43</v>
      </c>
      <c r="H420" t="s">
        <v>7</v>
      </c>
      <c r="I420" t="str">
        <f t="shared" si="11"/>
        <v>Tetragonula species</v>
      </c>
      <c r="J420" t="s">
        <v>42</v>
      </c>
      <c r="K420" t="s">
        <v>334</v>
      </c>
      <c r="L420" t="s">
        <v>44</v>
      </c>
      <c r="M420" t="s">
        <v>45</v>
      </c>
      <c r="N420">
        <v>283</v>
      </c>
      <c r="O420" t="s">
        <v>119</v>
      </c>
      <c r="P420" t="s">
        <v>30</v>
      </c>
      <c r="Q420" s="4">
        <v>44714</v>
      </c>
      <c r="R420">
        <v>1</v>
      </c>
      <c r="S420" t="s">
        <v>107</v>
      </c>
      <c r="T420" t="s">
        <v>107</v>
      </c>
      <c r="U420" t="s">
        <v>271</v>
      </c>
      <c r="V420">
        <v>0</v>
      </c>
      <c r="AD420">
        <v>1</v>
      </c>
      <c r="AF420">
        <v>19</v>
      </c>
      <c r="AI420">
        <v>186</v>
      </c>
    </row>
    <row r="421" spans="1:35" x14ac:dyDescent="0.35">
      <c r="A421" t="s">
        <v>91</v>
      </c>
      <c r="B421" t="s">
        <v>24</v>
      </c>
      <c r="C421" t="s">
        <v>33</v>
      </c>
      <c r="D421" t="s">
        <v>34</v>
      </c>
      <c r="E421" t="s">
        <v>309</v>
      </c>
      <c r="F421" t="s">
        <v>42</v>
      </c>
      <c r="G421" s="20" t="s">
        <v>43</v>
      </c>
      <c r="H421" t="s">
        <v>7</v>
      </c>
      <c r="I421" t="str">
        <f t="shared" si="11"/>
        <v>Tetragonula species</v>
      </c>
      <c r="J421" t="s">
        <v>42</v>
      </c>
      <c r="K421" t="s">
        <v>334</v>
      </c>
      <c r="L421" t="s">
        <v>44</v>
      </c>
      <c r="M421" t="s">
        <v>45</v>
      </c>
      <c r="N421">
        <v>284</v>
      </c>
      <c r="O421" t="s">
        <v>119</v>
      </c>
      <c r="P421" t="s">
        <v>30</v>
      </c>
      <c r="Q421" s="4">
        <v>44714</v>
      </c>
      <c r="R421">
        <v>0</v>
      </c>
      <c r="S421" t="s">
        <v>107</v>
      </c>
      <c r="T421" t="s">
        <v>107</v>
      </c>
      <c r="U421" t="s">
        <v>271</v>
      </c>
      <c r="V421">
        <v>0</v>
      </c>
      <c r="AD421">
        <v>1</v>
      </c>
      <c r="AF421">
        <v>19</v>
      </c>
      <c r="AI421">
        <v>187</v>
      </c>
    </row>
    <row r="422" spans="1:35" x14ac:dyDescent="0.35">
      <c r="A422" t="s">
        <v>91</v>
      </c>
      <c r="B422" t="s">
        <v>24</v>
      </c>
      <c r="C422" t="s">
        <v>33</v>
      </c>
      <c r="D422" t="s">
        <v>34</v>
      </c>
      <c r="E422" t="s">
        <v>309</v>
      </c>
      <c r="F422" t="s">
        <v>42</v>
      </c>
      <c r="G422" s="20" t="s">
        <v>43</v>
      </c>
      <c r="H422" t="s">
        <v>7</v>
      </c>
      <c r="I422" t="str">
        <f t="shared" ref="I422:I485" si="12">G422&amp;" "&amp;H422</f>
        <v>Tetragonula species</v>
      </c>
      <c r="J422" t="s">
        <v>42</v>
      </c>
      <c r="K422" t="s">
        <v>334</v>
      </c>
      <c r="L422" t="s">
        <v>44</v>
      </c>
      <c r="M422" t="s">
        <v>45</v>
      </c>
      <c r="N422">
        <v>285</v>
      </c>
      <c r="O422" t="s">
        <v>119</v>
      </c>
      <c r="P422" t="s">
        <v>30</v>
      </c>
      <c r="Q422" s="4">
        <v>44714</v>
      </c>
      <c r="R422">
        <v>1</v>
      </c>
      <c r="S422" t="s">
        <v>107</v>
      </c>
      <c r="T422" t="s">
        <v>107</v>
      </c>
      <c r="U422" t="s">
        <v>271</v>
      </c>
      <c r="V422">
        <v>0</v>
      </c>
      <c r="AD422">
        <v>1</v>
      </c>
      <c r="AF422">
        <v>19</v>
      </c>
      <c r="AI422">
        <v>188</v>
      </c>
    </row>
    <row r="423" spans="1:35" x14ac:dyDescent="0.35">
      <c r="A423" t="s">
        <v>91</v>
      </c>
      <c r="B423" t="s">
        <v>24</v>
      </c>
      <c r="C423" t="s">
        <v>33</v>
      </c>
      <c r="D423" t="s">
        <v>34</v>
      </c>
      <c r="E423" t="s">
        <v>309</v>
      </c>
      <c r="F423" t="s">
        <v>42</v>
      </c>
      <c r="G423" s="20" t="s">
        <v>43</v>
      </c>
      <c r="H423" t="s">
        <v>7</v>
      </c>
      <c r="I423" t="str">
        <f t="shared" si="12"/>
        <v>Tetragonula species</v>
      </c>
      <c r="J423" t="s">
        <v>42</v>
      </c>
      <c r="K423" t="s">
        <v>334</v>
      </c>
      <c r="L423" t="s">
        <v>44</v>
      </c>
      <c r="M423" t="s">
        <v>45</v>
      </c>
      <c r="N423">
        <v>286</v>
      </c>
      <c r="O423" t="s">
        <v>119</v>
      </c>
      <c r="P423" t="s">
        <v>30</v>
      </c>
      <c r="Q423" s="4">
        <v>44714</v>
      </c>
      <c r="R423">
        <v>0</v>
      </c>
      <c r="S423" t="s">
        <v>107</v>
      </c>
      <c r="T423" t="s">
        <v>107</v>
      </c>
      <c r="U423" t="s">
        <v>271</v>
      </c>
      <c r="V423">
        <v>0</v>
      </c>
      <c r="AD423">
        <v>1</v>
      </c>
      <c r="AF423">
        <v>19</v>
      </c>
      <c r="AI423">
        <v>189</v>
      </c>
    </row>
    <row r="424" spans="1:35" x14ac:dyDescent="0.35">
      <c r="A424" t="s">
        <v>91</v>
      </c>
      <c r="B424" t="s">
        <v>24</v>
      </c>
      <c r="C424" t="s">
        <v>33</v>
      </c>
      <c r="D424" t="s">
        <v>34</v>
      </c>
      <c r="E424" t="s">
        <v>309</v>
      </c>
      <c r="F424" t="s">
        <v>42</v>
      </c>
      <c r="G424" s="20" t="s">
        <v>43</v>
      </c>
      <c r="H424" t="s">
        <v>7</v>
      </c>
      <c r="I424" t="str">
        <f t="shared" si="12"/>
        <v>Tetragonula species</v>
      </c>
      <c r="J424" t="s">
        <v>42</v>
      </c>
      <c r="K424" t="s">
        <v>334</v>
      </c>
      <c r="L424" t="s">
        <v>44</v>
      </c>
      <c r="M424" t="s">
        <v>45</v>
      </c>
      <c r="N424">
        <v>287</v>
      </c>
      <c r="O424" t="s">
        <v>119</v>
      </c>
      <c r="P424" t="s">
        <v>30</v>
      </c>
      <c r="Q424" s="4">
        <v>44714</v>
      </c>
      <c r="R424">
        <v>0</v>
      </c>
      <c r="S424" t="s">
        <v>107</v>
      </c>
      <c r="T424" t="s">
        <v>107</v>
      </c>
      <c r="U424" t="s">
        <v>271</v>
      </c>
      <c r="V424">
        <v>0</v>
      </c>
      <c r="AD424">
        <v>1</v>
      </c>
      <c r="AF424">
        <v>19</v>
      </c>
      <c r="AI424">
        <v>190</v>
      </c>
    </row>
    <row r="425" spans="1:35" x14ac:dyDescent="0.35">
      <c r="A425" t="s">
        <v>91</v>
      </c>
      <c r="B425" t="s">
        <v>24</v>
      </c>
      <c r="C425" t="s">
        <v>33</v>
      </c>
      <c r="D425" t="s">
        <v>34</v>
      </c>
      <c r="E425" t="s">
        <v>309</v>
      </c>
      <c r="F425" t="s">
        <v>42</v>
      </c>
      <c r="G425" s="20" t="s">
        <v>43</v>
      </c>
      <c r="H425" t="s">
        <v>7</v>
      </c>
      <c r="I425" t="str">
        <f t="shared" si="12"/>
        <v>Tetragonula species</v>
      </c>
      <c r="J425" t="s">
        <v>42</v>
      </c>
      <c r="K425" t="s">
        <v>334</v>
      </c>
      <c r="L425" t="s">
        <v>44</v>
      </c>
      <c r="M425" t="s">
        <v>45</v>
      </c>
      <c r="N425">
        <v>288</v>
      </c>
      <c r="O425" t="s">
        <v>119</v>
      </c>
      <c r="P425" t="s">
        <v>30</v>
      </c>
      <c r="Q425" s="4">
        <v>44714</v>
      </c>
      <c r="R425">
        <v>0</v>
      </c>
      <c r="S425" t="s">
        <v>107</v>
      </c>
      <c r="T425" t="s">
        <v>107</v>
      </c>
      <c r="U425" t="s">
        <v>271</v>
      </c>
      <c r="V425">
        <v>0</v>
      </c>
      <c r="AD425">
        <v>1</v>
      </c>
      <c r="AF425">
        <v>19</v>
      </c>
      <c r="AI425">
        <v>191</v>
      </c>
    </row>
    <row r="426" spans="1:35" x14ac:dyDescent="0.35">
      <c r="A426" t="s">
        <v>91</v>
      </c>
      <c r="B426" t="s">
        <v>24</v>
      </c>
      <c r="C426" t="s">
        <v>33</v>
      </c>
      <c r="D426" t="s">
        <v>34</v>
      </c>
      <c r="E426" t="s">
        <v>309</v>
      </c>
      <c r="F426" t="s">
        <v>42</v>
      </c>
      <c r="G426" s="20" t="s">
        <v>43</v>
      </c>
      <c r="H426" t="s">
        <v>7</v>
      </c>
      <c r="I426" t="str">
        <f t="shared" si="12"/>
        <v>Tetragonula species</v>
      </c>
      <c r="J426" t="s">
        <v>42</v>
      </c>
      <c r="K426" t="s">
        <v>334</v>
      </c>
      <c r="L426" t="s">
        <v>44</v>
      </c>
      <c r="M426" t="s">
        <v>45</v>
      </c>
      <c r="N426">
        <v>289</v>
      </c>
      <c r="O426" t="s">
        <v>119</v>
      </c>
      <c r="P426" t="s">
        <v>30</v>
      </c>
      <c r="Q426" s="4">
        <v>44714</v>
      </c>
      <c r="R426">
        <v>0</v>
      </c>
      <c r="S426" t="s">
        <v>107</v>
      </c>
      <c r="T426" t="s">
        <v>107</v>
      </c>
      <c r="U426" t="s">
        <v>271</v>
      </c>
      <c r="V426">
        <v>0</v>
      </c>
      <c r="AD426">
        <v>1</v>
      </c>
      <c r="AF426">
        <v>19</v>
      </c>
      <c r="AI426">
        <v>192</v>
      </c>
    </row>
    <row r="427" spans="1:35" x14ac:dyDescent="0.35">
      <c r="A427" t="s">
        <v>91</v>
      </c>
      <c r="B427" t="s">
        <v>24</v>
      </c>
      <c r="C427" t="s">
        <v>33</v>
      </c>
      <c r="D427" t="s">
        <v>34</v>
      </c>
      <c r="E427" t="s">
        <v>309</v>
      </c>
      <c r="F427" t="s">
        <v>42</v>
      </c>
      <c r="G427" s="20" t="s">
        <v>43</v>
      </c>
      <c r="H427" t="s">
        <v>7</v>
      </c>
      <c r="I427" t="str">
        <f t="shared" si="12"/>
        <v>Tetragonula species</v>
      </c>
      <c r="J427" t="s">
        <v>42</v>
      </c>
      <c r="K427" t="s">
        <v>334</v>
      </c>
      <c r="L427" t="s">
        <v>44</v>
      </c>
      <c r="M427" t="s">
        <v>45</v>
      </c>
      <c r="N427">
        <v>290</v>
      </c>
      <c r="O427" t="s">
        <v>119</v>
      </c>
      <c r="P427" t="s">
        <v>30</v>
      </c>
      <c r="Q427" s="4">
        <v>44714</v>
      </c>
      <c r="R427">
        <v>0</v>
      </c>
      <c r="S427" t="s">
        <v>107</v>
      </c>
      <c r="T427" t="s">
        <v>107</v>
      </c>
      <c r="U427" t="s">
        <v>271</v>
      </c>
      <c r="V427">
        <v>0</v>
      </c>
      <c r="AD427">
        <v>1</v>
      </c>
      <c r="AF427">
        <v>19</v>
      </c>
      <c r="AI427">
        <v>193</v>
      </c>
    </row>
    <row r="428" spans="1:35" x14ac:dyDescent="0.35">
      <c r="A428" t="s">
        <v>91</v>
      </c>
      <c r="B428" t="s">
        <v>24</v>
      </c>
      <c r="C428" t="s">
        <v>33</v>
      </c>
      <c r="D428" t="s">
        <v>34</v>
      </c>
      <c r="E428" t="s">
        <v>309</v>
      </c>
      <c r="F428" t="s">
        <v>42</v>
      </c>
      <c r="G428" s="20" t="s">
        <v>43</v>
      </c>
      <c r="H428" t="s">
        <v>7</v>
      </c>
      <c r="I428" t="str">
        <f t="shared" si="12"/>
        <v>Tetragonula species</v>
      </c>
      <c r="J428" t="s">
        <v>42</v>
      </c>
      <c r="K428" t="s">
        <v>334</v>
      </c>
      <c r="L428" t="s">
        <v>44</v>
      </c>
      <c r="M428" t="s">
        <v>45</v>
      </c>
      <c r="N428">
        <v>291</v>
      </c>
      <c r="O428" t="s">
        <v>119</v>
      </c>
      <c r="P428" t="s">
        <v>30</v>
      </c>
      <c r="Q428" s="4">
        <v>44714</v>
      </c>
      <c r="R428">
        <v>0</v>
      </c>
      <c r="S428" t="s">
        <v>107</v>
      </c>
      <c r="T428" t="s">
        <v>107</v>
      </c>
      <c r="U428" t="s">
        <v>271</v>
      </c>
      <c r="V428">
        <v>0</v>
      </c>
      <c r="AD428">
        <v>1</v>
      </c>
      <c r="AF428">
        <v>19</v>
      </c>
      <c r="AI428">
        <v>194</v>
      </c>
    </row>
    <row r="429" spans="1:35" x14ac:dyDescent="0.35">
      <c r="A429" t="s">
        <v>91</v>
      </c>
      <c r="B429" t="s">
        <v>24</v>
      </c>
      <c r="C429" t="s">
        <v>33</v>
      </c>
      <c r="D429" t="s">
        <v>34</v>
      </c>
      <c r="E429" t="s">
        <v>309</v>
      </c>
      <c r="F429" t="s">
        <v>42</v>
      </c>
      <c r="G429" s="20" t="s">
        <v>43</v>
      </c>
      <c r="H429" t="s">
        <v>7</v>
      </c>
      <c r="I429" t="str">
        <f t="shared" si="12"/>
        <v>Tetragonula species</v>
      </c>
      <c r="J429" t="s">
        <v>42</v>
      </c>
      <c r="K429" t="s">
        <v>334</v>
      </c>
      <c r="L429" t="s">
        <v>44</v>
      </c>
      <c r="M429" t="s">
        <v>45</v>
      </c>
      <c r="N429">
        <v>292</v>
      </c>
      <c r="O429" t="s">
        <v>119</v>
      </c>
      <c r="P429" t="s">
        <v>30</v>
      </c>
      <c r="Q429" s="4">
        <v>44714</v>
      </c>
      <c r="R429">
        <v>0</v>
      </c>
      <c r="S429" t="s">
        <v>107</v>
      </c>
      <c r="T429" t="s">
        <v>107</v>
      </c>
      <c r="U429" t="s">
        <v>271</v>
      </c>
      <c r="V429">
        <v>0</v>
      </c>
      <c r="AD429">
        <v>1</v>
      </c>
      <c r="AF429">
        <v>19</v>
      </c>
      <c r="AI429">
        <v>195</v>
      </c>
    </row>
    <row r="430" spans="1:35" x14ac:dyDescent="0.35">
      <c r="A430" t="s">
        <v>91</v>
      </c>
      <c r="B430" t="s">
        <v>24</v>
      </c>
      <c r="C430" t="s">
        <v>33</v>
      </c>
      <c r="D430" t="s">
        <v>34</v>
      </c>
      <c r="E430" t="s">
        <v>309</v>
      </c>
      <c r="F430" t="s">
        <v>42</v>
      </c>
      <c r="G430" s="20" t="s">
        <v>43</v>
      </c>
      <c r="H430" t="s">
        <v>7</v>
      </c>
      <c r="I430" t="str">
        <f t="shared" si="12"/>
        <v>Tetragonula species</v>
      </c>
      <c r="J430" t="s">
        <v>42</v>
      </c>
      <c r="K430" t="s">
        <v>334</v>
      </c>
      <c r="L430" t="s">
        <v>44</v>
      </c>
      <c r="M430" t="s">
        <v>45</v>
      </c>
      <c r="N430">
        <v>293</v>
      </c>
      <c r="O430" t="s">
        <v>119</v>
      </c>
      <c r="P430" t="s">
        <v>30</v>
      </c>
      <c r="Q430" s="4">
        <v>44714</v>
      </c>
      <c r="R430">
        <v>0</v>
      </c>
      <c r="S430" t="s">
        <v>107</v>
      </c>
      <c r="T430" t="s">
        <v>107</v>
      </c>
      <c r="U430" t="s">
        <v>271</v>
      </c>
      <c r="V430">
        <v>0</v>
      </c>
      <c r="AD430">
        <v>1</v>
      </c>
      <c r="AF430">
        <v>19</v>
      </c>
      <c r="AI430">
        <v>196</v>
      </c>
    </row>
    <row r="431" spans="1:35" x14ac:dyDescent="0.35">
      <c r="A431" t="s">
        <v>91</v>
      </c>
      <c r="B431" t="s">
        <v>24</v>
      </c>
      <c r="C431" t="s">
        <v>33</v>
      </c>
      <c r="D431" t="s">
        <v>34</v>
      </c>
      <c r="E431" t="s">
        <v>309</v>
      </c>
      <c r="F431" t="s">
        <v>42</v>
      </c>
      <c r="G431" s="20" t="s">
        <v>43</v>
      </c>
      <c r="H431" t="s">
        <v>7</v>
      </c>
      <c r="I431" t="str">
        <f t="shared" si="12"/>
        <v>Tetragonula species</v>
      </c>
      <c r="J431" t="s">
        <v>42</v>
      </c>
      <c r="K431" t="s">
        <v>334</v>
      </c>
      <c r="L431" t="s">
        <v>44</v>
      </c>
      <c r="M431" t="s">
        <v>45</v>
      </c>
      <c r="N431">
        <v>294</v>
      </c>
      <c r="O431" t="s">
        <v>119</v>
      </c>
      <c r="P431" t="s">
        <v>30</v>
      </c>
      <c r="Q431" s="4">
        <v>44714</v>
      </c>
      <c r="R431">
        <v>0</v>
      </c>
      <c r="S431" t="s">
        <v>107</v>
      </c>
      <c r="T431" t="s">
        <v>107</v>
      </c>
      <c r="U431" t="s">
        <v>271</v>
      </c>
      <c r="V431">
        <v>0</v>
      </c>
      <c r="AD431">
        <v>1</v>
      </c>
      <c r="AF431">
        <v>19</v>
      </c>
      <c r="AI431">
        <v>197</v>
      </c>
    </row>
    <row r="432" spans="1:35" x14ac:dyDescent="0.35">
      <c r="A432" t="s">
        <v>91</v>
      </c>
      <c r="B432" t="s">
        <v>24</v>
      </c>
      <c r="C432" t="s">
        <v>33</v>
      </c>
      <c r="D432" t="s">
        <v>34</v>
      </c>
      <c r="E432" t="s">
        <v>309</v>
      </c>
      <c r="F432" t="s">
        <v>42</v>
      </c>
      <c r="G432" s="20" t="s">
        <v>43</v>
      </c>
      <c r="H432" t="s">
        <v>7</v>
      </c>
      <c r="I432" t="str">
        <f t="shared" si="12"/>
        <v>Tetragonula species</v>
      </c>
      <c r="J432" t="s">
        <v>42</v>
      </c>
      <c r="K432" t="s">
        <v>334</v>
      </c>
      <c r="L432" t="s">
        <v>44</v>
      </c>
      <c r="M432" t="s">
        <v>45</v>
      </c>
      <c r="N432">
        <v>295</v>
      </c>
      <c r="O432" t="s">
        <v>119</v>
      </c>
      <c r="P432" t="s">
        <v>30</v>
      </c>
      <c r="Q432" s="4">
        <v>44714</v>
      </c>
      <c r="R432">
        <v>0</v>
      </c>
      <c r="S432" t="s">
        <v>107</v>
      </c>
      <c r="T432" t="s">
        <v>107</v>
      </c>
      <c r="U432" t="s">
        <v>271</v>
      </c>
      <c r="V432">
        <v>0</v>
      </c>
      <c r="AD432">
        <v>1</v>
      </c>
      <c r="AF432">
        <v>19</v>
      </c>
      <c r="AI432">
        <v>198</v>
      </c>
    </row>
    <row r="433" spans="1:35" x14ac:dyDescent="0.35">
      <c r="A433" t="s">
        <v>91</v>
      </c>
      <c r="B433" t="s">
        <v>24</v>
      </c>
      <c r="C433" t="s">
        <v>33</v>
      </c>
      <c r="D433" t="s">
        <v>34</v>
      </c>
      <c r="E433" t="s">
        <v>309</v>
      </c>
      <c r="F433" t="s">
        <v>42</v>
      </c>
      <c r="G433" s="20" t="s">
        <v>43</v>
      </c>
      <c r="H433" t="s">
        <v>7</v>
      </c>
      <c r="I433" t="str">
        <f t="shared" si="12"/>
        <v>Tetragonula species</v>
      </c>
      <c r="J433" t="s">
        <v>42</v>
      </c>
      <c r="K433" t="s">
        <v>334</v>
      </c>
      <c r="L433" t="s">
        <v>44</v>
      </c>
      <c r="M433" t="s">
        <v>45</v>
      </c>
      <c r="N433">
        <v>296</v>
      </c>
      <c r="O433" t="s">
        <v>119</v>
      </c>
      <c r="P433" t="s">
        <v>30</v>
      </c>
      <c r="Q433" s="4">
        <v>44714</v>
      </c>
      <c r="R433">
        <v>1</v>
      </c>
      <c r="S433" t="s">
        <v>164</v>
      </c>
      <c r="T433" t="s">
        <v>107</v>
      </c>
      <c r="U433" t="s">
        <v>271</v>
      </c>
      <c r="V433">
        <v>0</v>
      </c>
      <c r="AD433">
        <v>1</v>
      </c>
      <c r="AF433">
        <v>19</v>
      </c>
      <c r="AI433">
        <v>199</v>
      </c>
    </row>
    <row r="434" spans="1:35" x14ac:dyDescent="0.35">
      <c r="A434" t="s">
        <v>91</v>
      </c>
      <c r="B434" t="s">
        <v>24</v>
      </c>
      <c r="C434" t="s">
        <v>33</v>
      </c>
      <c r="D434" t="s">
        <v>34</v>
      </c>
      <c r="E434" t="s">
        <v>309</v>
      </c>
      <c r="F434" t="s">
        <v>42</v>
      </c>
      <c r="G434" s="20" t="s">
        <v>43</v>
      </c>
      <c r="H434" t="s">
        <v>7</v>
      </c>
      <c r="I434" t="str">
        <f t="shared" si="12"/>
        <v>Tetragonula species</v>
      </c>
      <c r="J434" t="s">
        <v>42</v>
      </c>
      <c r="K434" t="s">
        <v>334</v>
      </c>
      <c r="L434" t="s">
        <v>44</v>
      </c>
      <c r="M434" t="s">
        <v>45</v>
      </c>
      <c r="N434">
        <v>297</v>
      </c>
      <c r="O434" t="s">
        <v>119</v>
      </c>
      <c r="P434" t="s">
        <v>30</v>
      </c>
      <c r="Q434" s="4">
        <v>44714</v>
      </c>
      <c r="R434">
        <v>0</v>
      </c>
      <c r="S434" t="s">
        <v>164</v>
      </c>
      <c r="T434" t="s">
        <v>107</v>
      </c>
      <c r="U434" t="s">
        <v>271</v>
      </c>
      <c r="V434">
        <v>0</v>
      </c>
      <c r="AD434">
        <v>1</v>
      </c>
      <c r="AF434">
        <v>19</v>
      </c>
      <c r="AI434">
        <v>200</v>
      </c>
    </row>
    <row r="435" spans="1:35" x14ac:dyDescent="0.35">
      <c r="A435" t="s">
        <v>91</v>
      </c>
      <c r="B435" t="s">
        <v>24</v>
      </c>
      <c r="C435" t="s">
        <v>33</v>
      </c>
      <c r="D435" t="s">
        <v>34</v>
      </c>
      <c r="E435" t="s">
        <v>309</v>
      </c>
      <c r="F435" t="s">
        <v>42</v>
      </c>
      <c r="G435" s="20" t="s">
        <v>43</v>
      </c>
      <c r="H435" t="s">
        <v>7</v>
      </c>
      <c r="I435" t="str">
        <f t="shared" si="12"/>
        <v>Tetragonula species</v>
      </c>
      <c r="J435" t="s">
        <v>42</v>
      </c>
      <c r="K435" t="s">
        <v>334</v>
      </c>
      <c r="L435" t="s">
        <v>44</v>
      </c>
      <c r="M435" t="s">
        <v>45</v>
      </c>
      <c r="N435">
        <v>298</v>
      </c>
      <c r="O435" t="s">
        <v>119</v>
      </c>
      <c r="P435" t="s">
        <v>30</v>
      </c>
      <c r="Q435" s="4">
        <v>44714</v>
      </c>
      <c r="R435">
        <v>1</v>
      </c>
      <c r="S435" t="s">
        <v>164</v>
      </c>
      <c r="T435" t="s">
        <v>107</v>
      </c>
      <c r="U435" t="s">
        <v>271</v>
      </c>
      <c r="V435">
        <v>0</v>
      </c>
      <c r="AD435">
        <v>1</v>
      </c>
      <c r="AF435">
        <v>19</v>
      </c>
      <c r="AI435">
        <v>201</v>
      </c>
    </row>
    <row r="436" spans="1:35" x14ac:dyDescent="0.35">
      <c r="A436" t="s">
        <v>91</v>
      </c>
      <c r="B436" t="s">
        <v>24</v>
      </c>
      <c r="C436" t="s">
        <v>33</v>
      </c>
      <c r="D436" t="s">
        <v>34</v>
      </c>
      <c r="E436" t="s">
        <v>309</v>
      </c>
      <c r="F436" t="s">
        <v>42</v>
      </c>
      <c r="G436" s="20" t="s">
        <v>43</v>
      </c>
      <c r="H436" t="s">
        <v>7</v>
      </c>
      <c r="I436" t="str">
        <f t="shared" si="12"/>
        <v>Tetragonula species</v>
      </c>
      <c r="J436" t="s">
        <v>42</v>
      </c>
      <c r="K436" t="s">
        <v>334</v>
      </c>
      <c r="L436" t="s">
        <v>44</v>
      </c>
      <c r="M436" t="s">
        <v>45</v>
      </c>
      <c r="N436">
        <v>299</v>
      </c>
      <c r="O436" t="s">
        <v>119</v>
      </c>
      <c r="P436" t="s">
        <v>30</v>
      </c>
      <c r="Q436" s="4">
        <v>44714</v>
      </c>
      <c r="R436">
        <v>0</v>
      </c>
      <c r="S436" t="s">
        <v>164</v>
      </c>
      <c r="T436" t="s">
        <v>107</v>
      </c>
      <c r="U436" t="s">
        <v>271</v>
      </c>
      <c r="V436">
        <v>0</v>
      </c>
      <c r="AD436">
        <v>1</v>
      </c>
      <c r="AF436">
        <v>19</v>
      </c>
      <c r="AI436">
        <v>202</v>
      </c>
    </row>
    <row r="437" spans="1:35" x14ac:dyDescent="0.35">
      <c r="A437" t="s">
        <v>91</v>
      </c>
      <c r="B437" t="s">
        <v>24</v>
      </c>
      <c r="C437" t="s">
        <v>33</v>
      </c>
      <c r="D437" t="s">
        <v>34</v>
      </c>
      <c r="E437" t="s">
        <v>309</v>
      </c>
      <c r="F437" t="s">
        <v>42</v>
      </c>
      <c r="G437" s="20" t="s">
        <v>43</v>
      </c>
      <c r="H437" t="s">
        <v>7</v>
      </c>
      <c r="I437" t="str">
        <f t="shared" si="12"/>
        <v>Tetragonula species</v>
      </c>
      <c r="J437" t="s">
        <v>42</v>
      </c>
      <c r="K437" t="s">
        <v>334</v>
      </c>
      <c r="L437" t="s">
        <v>44</v>
      </c>
      <c r="M437" t="s">
        <v>45</v>
      </c>
      <c r="N437">
        <v>300</v>
      </c>
      <c r="O437" t="s">
        <v>119</v>
      </c>
      <c r="P437" t="s">
        <v>30</v>
      </c>
      <c r="Q437" s="4">
        <v>44714</v>
      </c>
      <c r="R437">
        <v>1</v>
      </c>
      <c r="S437" t="s">
        <v>164</v>
      </c>
      <c r="T437" t="s">
        <v>107</v>
      </c>
      <c r="U437" t="s">
        <v>271</v>
      </c>
      <c r="V437">
        <v>0</v>
      </c>
      <c r="AD437">
        <v>1</v>
      </c>
      <c r="AF437">
        <v>19</v>
      </c>
      <c r="AI437">
        <v>203</v>
      </c>
    </row>
    <row r="438" spans="1:35" x14ac:dyDescent="0.35">
      <c r="A438" t="s">
        <v>91</v>
      </c>
      <c r="B438" t="s">
        <v>24</v>
      </c>
      <c r="C438" t="s">
        <v>33</v>
      </c>
      <c r="D438" t="s">
        <v>34</v>
      </c>
      <c r="E438" t="s">
        <v>309</v>
      </c>
      <c r="F438" t="s">
        <v>42</v>
      </c>
      <c r="G438" s="20" t="s">
        <v>43</v>
      </c>
      <c r="H438" t="s">
        <v>7</v>
      </c>
      <c r="I438" t="str">
        <f t="shared" si="12"/>
        <v>Tetragonula species</v>
      </c>
      <c r="J438" t="s">
        <v>42</v>
      </c>
      <c r="K438" t="s">
        <v>334</v>
      </c>
      <c r="L438" t="s">
        <v>44</v>
      </c>
      <c r="M438" t="s">
        <v>45</v>
      </c>
      <c r="N438">
        <v>301</v>
      </c>
      <c r="O438" t="s">
        <v>119</v>
      </c>
      <c r="P438" t="s">
        <v>30</v>
      </c>
      <c r="Q438" s="4">
        <v>44714</v>
      </c>
      <c r="R438">
        <v>0</v>
      </c>
      <c r="S438" t="s">
        <v>164</v>
      </c>
      <c r="T438" t="s">
        <v>107</v>
      </c>
      <c r="U438" t="s">
        <v>271</v>
      </c>
      <c r="V438">
        <v>0</v>
      </c>
      <c r="AD438">
        <v>1</v>
      </c>
      <c r="AF438">
        <v>13</v>
      </c>
      <c r="AI438">
        <v>204</v>
      </c>
    </row>
    <row r="439" spans="1:35" x14ac:dyDescent="0.35">
      <c r="A439" t="s">
        <v>91</v>
      </c>
      <c r="B439" t="s">
        <v>24</v>
      </c>
      <c r="C439" t="s">
        <v>33</v>
      </c>
      <c r="D439" t="s">
        <v>34</v>
      </c>
      <c r="E439" t="s">
        <v>309</v>
      </c>
      <c r="F439" t="s">
        <v>42</v>
      </c>
      <c r="G439" s="20" t="s">
        <v>43</v>
      </c>
      <c r="H439" t="s">
        <v>7</v>
      </c>
      <c r="I439" t="str">
        <f t="shared" si="12"/>
        <v>Tetragonula species</v>
      </c>
      <c r="J439" t="s">
        <v>42</v>
      </c>
      <c r="K439" t="s">
        <v>334</v>
      </c>
      <c r="L439" t="s">
        <v>44</v>
      </c>
      <c r="M439" t="s">
        <v>45</v>
      </c>
      <c r="N439">
        <v>302</v>
      </c>
      <c r="O439" t="s">
        <v>119</v>
      </c>
      <c r="P439" t="s">
        <v>30</v>
      </c>
      <c r="Q439" s="4">
        <v>44714</v>
      </c>
      <c r="R439">
        <v>1</v>
      </c>
      <c r="S439" t="s">
        <v>164</v>
      </c>
      <c r="T439" t="s">
        <v>107</v>
      </c>
      <c r="U439" t="s">
        <v>271</v>
      </c>
      <c r="V439">
        <v>0</v>
      </c>
      <c r="AD439">
        <v>1</v>
      </c>
      <c r="AF439">
        <v>13</v>
      </c>
      <c r="AI439">
        <v>205</v>
      </c>
    </row>
    <row r="440" spans="1:35" x14ac:dyDescent="0.35">
      <c r="A440" t="s">
        <v>91</v>
      </c>
      <c r="B440" t="s">
        <v>24</v>
      </c>
      <c r="C440" t="s">
        <v>33</v>
      </c>
      <c r="D440" t="s">
        <v>34</v>
      </c>
      <c r="E440" t="s">
        <v>309</v>
      </c>
      <c r="F440" t="s">
        <v>42</v>
      </c>
      <c r="G440" s="20" t="s">
        <v>43</v>
      </c>
      <c r="H440" t="s">
        <v>7</v>
      </c>
      <c r="I440" t="str">
        <f t="shared" si="12"/>
        <v>Tetragonula species</v>
      </c>
      <c r="J440" t="s">
        <v>42</v>
      </c>
      <c r="K440" t="s">
        <v>334</v>
      </c>
      <c r="L440" t="s">
        <v>44</v>
      </c>
      <c r="M440" t="s">
        <v>45</v>
      </c>
      <c r="N440">
        <v>303</v>
      </c>
      <c r="O440" t="s">
        <v>119</v>
      </c>
      <c r="P440" t="s">
        <v>30</v>
      </c>
      <c r="Q440" s="4">
        <v>44714</v>
      </c>
      <c r="R440">
        <v>0</v>
      </c>
      <c r="S440" t="s">
        <v>164</v>
      </c>
      <c r="T440" t="s">
        <v>107</v>
      </c>
      <c r="U440" t="s">
        <v>271</v>
      </c>
      <c r="V440">
        <v>0</v>
      </c>
      <c r="AD440">
        <v>1</v>
      </c>
      <c r="AF440">
        <v>13</v>
      </c>
      <c r="AI440">
        <v>206</v>
      </c>
    </row>
    <row r="441" spans="1:35" x14ac:dyDescent="0.35">
      <c r="A441" t="s">
        <v>91</v>
      </c>
      <c r="B441" t="s">
        <v>24</v>
      </c>
      <c r="C441" t="s">
        <v>33</v>
      </c>
      <c r="D441" t="s">
        <v>34</v>
      </c>
      <c r="E441" t="s">
        <v>309</v>
      </c>
      <c r="F441" t="s">
        <v>42</v>
      </c>
      <c r="G441" s="20" t="s">
        <v>43</v>
      </c>
      <c r="H441" t="s">
        <v>7</v>
      </c>
      <c r="I441" t="str">
        <f t="shared" si="12"/>
        <v>Tetragonula species</v>
      </c>
      <c r="J441" t="s">
        <v>42</v>
      </c>
      <c r="K441" t="s">
        <v>334</v>
      </c>
      <c r="L441" t="s">
        <v>44</v>
      </c>
      <c r="M441" t="s">
        <v>45</v>
      </c>
      <c r="N441">
        <v>304</v>
      </c>
      <c r="O441" t="s">
        <v>119</v>
      </c>
      <c r="P441" t="s">
        <v>30</v>
      </c>
      <c r="Q441" s="4">
        <v>44714</v>
      </c>
      <c r="R441">
        <v>1</v>
      </c>
      <c r="S441" t="s">
        <v>164</v>
      </c>
      <c r="T441" t="s">
        <v>107</v>
      </c>
      <c r="U441" t="s">
        <v>271</v>
      </c>
      <c r="V441">
        <v>0</v>
      </c>
      <c r="AD441">
        <v>1</v>
      </c>
      <c r="AF441">
        <v>13</v>
      </c>
      <c r="AI441">
        <v>207</v>
      </c>
    </row>
    <row r="442" spans="1:35" x14ac:dyDescent="0.35">
      <c r="A442" t="s">
        <v>91</v>
      </c>
      <c r="B442" t="s">
        <v>24</v>
      </c>
      <c r="C442" t="s">
        <v>33</v>
      </c>
      <c r="D442" t="s">
        <v>34</v>
      </c>
      <c r="E442" t="s">
        <v>309</v>
      </c>
      <c r="F442" t="s">
        <v>42</v>
      </c>
      <c r="G442" s="20" t="s">
        <v>43</v>
      </c>
      <c r="H442" t="s">
        <v>7</v>
      </c>
      <c r="I442" t="str">
        <f t="shared" si="12"/>
        <v>Tetragonula species</v>
      </c>
      <c r="J442" t="s">
        <v>42</v>
      </c>
      <c r="K442" t="s">
        <v>334</v>
      </c>
      <c r="L442" t="s">
        <v>44</v>
      </c>
      <c r="M442" t="s">
        <v>45</v>
      </c>
      <c r="N442">
        <v>305</v>
      </c>
      <c r="O442" t="s">
        <v>119</v>
      </c>
      <c r="P442" t="s">
        <v>30</v>
      </c>
      <c r="Q442" s="4">
        <v>44714</v>
      </c>
      <c r="R442">
        <v>0</v>
      </c>
      <c r="S442" t="s">
        <v>164</v>
      </c>
      <c r="T442" t="s">
        <v>107</v>
      </c>
      <c r="U442" t="s">
        <v>271</v>
      </c>
      <c r="V442">
        <v>0</v>
      </c>
      <c r="AD442">
        <v>1</v>
      </c>
      <c r="AF442">
        <v>13</v>
      </c>
      <c r="AI442">
        <v>208</v>
      </c>
    </row>
    <row r="443" spans="1:35" x14ac:dyDescent="0.35">
      <c r="A443" t="s">
        <v>91</v>
      </c>
      <c r="B443" t="s">
        <v>24</v>
      </c>
      <c r="C443" t="s">
        <v>33</v>
      </c>
      <c r="D443" t="s">
        <v>34</v>
      </c>
      <c r="E443" t="s">
        <v>309</v>
      </c>
      <c r="F443" t="s">
        <v>42</v>
      </c>
      <c r="G443" s="20" t="s">
        <v>43</v>
      </c>
      <c r="H443" t="s">
        <v>7</v>
      </c>
      <c r="I443" t="str">
        <f t="shared" si="12"/>
        <v>Tetragonula species</v>
      </c>
      <c r="J443" t="s">
        <v>42</v>
      </c>
      <c r="K443" t="s">
        <v>334</v>
      </c>
      <c r="L443" t="s">
        <v>44</v>
      </c>
      <c r="M443" t="s">
        <v>45</v>
      </c>
      <c r="N443">
        <v>306</v>
      </c>
      <c r="O443" t="s">
        <v>119</v>
      </c>
      <c r="P443" t="s">
        <v>30</v>
      </c>
      <c r="Q443" s="4">
        <v>44714</v>
      </c>
      <c r="R443">
        <v>0</v>
      </c>
      <c r="S443" t="s">
        <v>164</v>
      </c>
      <c r="T443" t="s">
        <v>107</v>
      </c>
      <c r="U443" t="s">
        <v>271</v>
      </c>
      <c r="V443">
        <v>0</v>
      </c>
      <c r="AD443">
        <v>1</v>
      </c>
      <c r="AF443">
        <v>13</v>
      </c>
      <c r="AI443">
        <v>209</v>
      </c>
    </row>
    <row r="444" spans="1:35" x14ac:dyDescent="0.35">
      <c r="A444" t="s">
        <v>91</v>
      </c>
      <c r="B444" t="s">
        <v>24</v>
      </c>
      <c r="C444" t="s">
        <v>33</v>
      </c>
      <c r="D444" t="s">
        <v>34</v>
      </c>
      <c r="E444" t="s">
        <v>309</v>
      </c>
      <c r="F444" t="s">
        <v>42</v>
      </c>
      <c r="G444" s="20" t="s">
        <v>43</v>
      </c>
      <c r="H444" t="s">
        <v>7</v>
      </c>
      <c r="I444" t="str">
        <f t="shared" si="12"/>
        <v>Tetragonula species</v>
      </c>
      <c r="J444" t="s">
        <v>42</v>
      </c>
      <c r="K444" t="s">
        <v>334</v>
      </c>
      <c r="L444" t="s">
        <v>44</v>
      </c>
      <c r="M444" t="s">
        <v>45</v>
      </c>
      <c r="N444">
        <v>307</v>
      </c>
      <c r="O444" t="s">
        <v>119</v>
      </c>
      <c r="P444" t="s">
        <v>30</v>
      </c>
      <c r="Q444" s="4">
        <v>44714</v>
      </c>
      <c r="R444">
        <v>1</v>
      </c>
      <c r="S444" t="s">
        <v>164</v>
      </c>
      <c r="T444" t="s">
        <v>107</v>
      </c>
      <c r="U444" t="s">
        <v>271</v>
      </c>
      <c r="V444">
        <v>0</v>
      </c>
      <c r="AD444">
        <v>1</v>
      </c>
      <c r="AF444">
        <v>13</v>
      </c>
      <c r="AI444">
        <v>210</v>
      </c>
    </row>
    <row r="445" spans="1:35" x14ac:dyDescent="0.35">
      <c r="A445" t="s">
        <v>91</v>
      </c>
      <c r="B445" t="s">
        <v>24</v>
      </c>
      <c r="C445" t="s">
        <v>33</v>
      </c>
      <c r="D445" t="s">
        <v>34</v>
      </c>
      <c r="E445" t="s">
        <v>309</v>
      </c>
      <c r="F445" t="s">
        <v>42</v>
      </c>
      <c r="G445" s="20" t="s">
        <v>43</v>
      </c>
      <c r="H445" t="s">
        <v>7</v>
      </c>
      <c r="I445" t="str">
        <f t="shared" si="12"/>
        <v>Tetragonula species</v>
      </c>
      <c r="J445" t="s">
        <v>42</v>
      </c>
      <c r="K445" t="s">
        <v>334</v>
      </c>
      <c r="L445" t="s">
        <v>44</v>
      </c>
      <c r="M445" t="s">
        <v>45</v>
      </c>
      <c r="N445">
        <v>308</v>
      </c>
      <c r="O445" t="s">
        <v>119</v>
      </c>
      <c r="P445" t="s">
        <v>30</v>
      </c>
      <c r="Q445" s="4">
        <v>44714</v>
      </c>
      <c r="R445">
        <v>0</v>
      </c>
      <c r="S445" t="s">
        <v>164</v>
      </c>
      <c r="T445" t="s">
        <v>107</v>
      </c>
      <c r="U445" t="s">
        <v>271</v>
      </c>
      <c r="V445">
        <v>0</v>
      </c>
      <c r="AD445">
        <v>1</v>
      </c>
      <c r="AF445">
        <v>13</v>
      </c>
      <c r="AI445">
        <v>211</v>
      </c>
    </row>
    <row r="446" spans="1:35" x14ac:dyDescent="0.35">
      <c r="A446" t="s">
        <v>91</v>
      </c>
      <c r="B446" t="s">
        <v>24</v>
      </c>
      <c r="C446" t="s">
        <v>33</v>
      </c>
      <c r="D446" t="s">
        <v>34</v>
      </c>
      <c r="E446" t="s">
        <v>309</v>
      </c>
      <c r="F446" t="s">
        <v>42</v>
      </c>
      <c r="G446" s="20" t="s">
        <v>43</v>
      </c>
      <c r="H446" t="s">
        <v>7</v>
      </c>
      <c r="I446" t="str">
        <f t="shared" si="12"/>
        <v>Tetragonula species</v>
      </c>
      <c r="J446" t="s">
        <v>42</v>
      </c>
      <c r="K446" t="s">
        <v>334</v>
      </c>
      <c r="L446" t="s">
        <v>44</v>
      </c>
      <c r="M446" t="s">
        <v>45</v>
      </c>
      <c r="N446">
        <v>309</v>
      </c>
      <c r="O446" t="s">
        <v>119</v>
      </c>
      <c r="P446" t="s">
        <v>30</v>
      </c>
      <c r="Q446" s="4">
        <v>44714</v>
      </c>
      <c r="R446">
        <v>0</v>
      </c>
      <c r="S446" t="s">
        <v>164</v>
      </c>
      <c r="T446" t="s">
        <v>107</v>
      </c>
      <c r="U446" t="s">
        <v>271</v>
      </c>
      <c r="V446">
        <v>0</v>
      </c>
      <c r="AD446">
        <v>1</v>
      </c>
      <c r="AF446">
        <v>23</v>
      </c>
      <c r="AI446">
        <v>212</v>
      </c>
    </row>
    <row r="447" spans="1:35" x14ac:dyDescent="0.35">
      <c r="A447" t="s">
        <v>91</v>
      </c>
      <c r="B447" t="s">
        <v>24</v>
      </c>
      <c r="C447" t="s">
        <v>33</v>
      </c>
      <c r="D447" t="s">
        <v>34</v>
      </c>
      <c r="E447" t="s">
        <v>309</v>
      </c>
      <c r="F447" t="s">
        <v>42</v>
      </c>
      <c r="G447" s="20" t="s">
        <v>43</v>
      </c>
      <c r="H447" t="s">
        <v>7</v>
      </c>
      <c r="I447" t="str">
        <f t="shared" si="12"/>
        <v>Tetragonula species</v>
      </c>
      <c r="J447" t="s">
        <v>42</v>
      </c>
      <c r="K447" t="s">
        <v>334</v>
      </c>
      <c r="L447" t="s">
        <v>44</v>
      </c>
      <c r="M447" t="s">
        <v>45</v>
      </c>
      <c r="N447">
        <v>310</v>
      </c>
      <c r="O447" t="s">
        <v>119</v>
      </c>
      <c r="P447" t="s">
        <v>30</v>
      </c>
      <c r="Q447" s="4">
        <v>44714</v>
      </c>
      <c r="R447">
        <v>0</v>
      </c>
      <c r="S447" t="s">
        <v>164</v>
      </c>
      <c r="T447" t="s">
        <v>107</v>
      </c>
      <c r="U447" t="s">
        <v>271</v>
      </c>
      <c r="V447">
        <v>0</v>
      </c>
      <c r="AD447">
        <v>1</v>
      </c>
      <c r="AF447">
        <v>23</v>
      </c>
      <c r="AI447">
        <v>213</v>
      </c>
    </row>
    <row r="448" spans="1:35" x14ac:dyDescent="0.35">
      <c r="A448" t="s">
        <v>91</v>
      </c>
      <c r="B448" t="s">
        <v>24</v>
      </c>
      <c r="C448" t="s">
        <v>33</v>
      </c>
      <c r="D448" t="s">
        <v>34</v>
      </c>
      <c r="E448" t="s">
        <v>309</v>
      </c>
      <c r="F448" t="s">
        <v>42</v>
      </c>
      <c r="G448" s="20" t="s">
        <v>43</v>
      </c>
      <c r="H448" t="s">
        <v>7</v>
      </c>
      <c r="I448" t="str">
        <f t="shared" si="12"/>
        <v>Tetragonula species</v>
      </c>
      <c r="J448" t="s">
        <v>42</v>
      </c>
      <c r="K448" t="s">
        <v>334</v>
      </c>
      <c r="L448" t="s">
        <v>44</v>
      </c>
      <c r="M448" t="s">
        <v>45</v>
      </c>
      <c r="N448">
        <v>311</v>
      </c>
      <c r="O448" t="s">
        <v>119</v>
      </c>
      <c r="P448" t="s">
        <v>30</v>
      </c>
      <c r="Q448" s="4">
        <v>44714</v>
      </c>
      <c r="R448">
        <v>1</v>
      </c>
      <c r="S448" t="s">
        <v>164</v>
      </c>
      <c r="T448" t="s">
        <v>107</v>
      </c>
      <c r="U448" t="s">
        <v>271</v>
      </c>
      <c r="V448">
        <v>0</v>
      </c>
      <c r="AD448">
        <v>1</v>
      </c>
      <c r="AF448">
        <v>23</v>
      </c>
      <c r="AI448">
        <v>214</v>
      </c>
    </row>
    <row r="449" spans="1:35" x14ac:dyDescent="0.35">
      <c r="A449" t="s">
        <v>91</v>
      </c>
      <c r="B449" t="s">
        <v>24</v>
      </c>
      <c r="C449" t="s">
        <v>33</v>
      </c>
      <c r="D449" t="s">
        <v>34</v>
      </c>
      <c r="E449" t="s">
        <v>309</v>
      </c>
      <c r="F449" t="s">
        <v>42</v>
      </c>
      <c r="G449" s="20" t="s">
        <v>43</v>
      </c>
      <c r="H449" t="s">
        <v>7</v>
      </c>
      <c r="I449" t="str">
        <f t="shared" si="12"/>
        <v>Tetragonula species</v>
      </c>
      <c r="J449" t="s">
        <v>42</v>
      </c>
      <c r="K449" t="s">
        <v>334</v>
      </c>
      <c r="L449" t="s">
        <v>44</v>
      </c>
      <c r="M449" t="s">
        <v>45</v>
      </c>
      <c r="N449">
        <v>312</v>
      </c>
      <c r="O449" t="s">
        <v>119</v>
      </c>
      <c r="P449" t="s">
        <v>30</v>
      </c>
      <c r="Q449" s="4">
        <v>44714</v>
      </c>
      <c r="R449">
        <v>0</v>
      </c>
      <c r="S449" t="s">
        <v>78</v>
      </c>
      <c r="T449" t="s">
        <v>78</v>
      </c>
      <c r="U449" t="s">
        <v>271</v>
      </c>
      <c r="V449">
        <v>0</v>
      </c>
      <c r="AD449">
        <v>1</v>
      </c>
      <c r="AF449">
        <v>23</v>
      </c>
      <c r="AI449">
        <v>215</v>
      </c>
    </row>
    <row r="450" spans="1:35" x14ac:dyDescent="0.35">
      <c r="A450" t="s">
        <v>91</v>
      </c>
      <c r="B450" t="s">
        <v>24</v>
      </c>
      <c r="C450" t="s">
        <v>33</v>
      </c>
      <c r="D450" t="s">
        <v>34</v>
      </c>
      <c r="E450" t="s">
        <v>309</v>
      </c>
      <c r="F450" t="s">
        <v>42</v>
      </c>
      <c r="G450" s="20" t="s">
        <v>43</v>
      </c>
      <c r="H450" t="s">
        <v>7</v>
      </c>
      <c r="I450" t="str">
        <f t="shared" si="12"/>
        <v>Tetragonula species</v>
      </c>
      <c r="J450" t="s">
        <v>42</v>
      </c>
      <c r="K450" t="s">
        <v>334</v>
      </c>
      <c r="L450" t="s">
        <v>44</v>
      </c>
      <c r="M450" t="s">
        <v>45</v>
      </c>
      <c r="N450">
        <v>313</v>
      </c>
      <c r="O450" t="s">
        <v>119</v>
      </c>
      <c r="P450" t="s">
        <v>30</v>
      </c>
      <c r="Q450" s="4">
        <v>44714</v>
      </c>
      <c r="R450">
        <v>0</v>
      </c>
      <c r="S450" t="s">
        <v>78</v>
      </c>
      <c r="T450" t="s">
        <v>78</v>
      </c>
      <c r="U450" t="s">
        <v>271</v>
      </c>
      <c r="V450">
        <v>0</v>
      </c>
      <c r="AD450">
        <v>1</v>
      </c>
      <c r="AF450">
        <v>23</v>
      </c>
      <c r="AI450">
        <v>216</v>
      </c>
    </row>
    <row r="451" spans="1:35" x14ac:dyDescent="0.35">
      <c r="A451" t="s">
        <v>91</v>
      </c>
      <c r="B451" t="s">
        <v>24</v>
      </c>
      <c r="C451" t="s">
        <v>33</v>
      </c>
      <c r="D451" t="s">
        <v>34</v>
      </c>
      <c r="E451" t="s">
        <v>309</v>
      </c>
      <c r="F451" t="s">
        <v>42</v>
      </c>
      <c r="G451" s="20" t="s">
        <v>43</v>
      </c>
      <c r="H451" t="s">
        <v>7</v>
      </c>
      <c r="I451" t="str">
        <f t="shared" si="12"/>
        <v>Tetragonula species</v>
      </c>
      <c r="J451" t="s">
        <v>42</v>
      </c>
      <c r="K451" t="s">
        <v>334</v>
      </c>
      <c r="L451" t="s">
        <v>44</v>
      </c>
      <c r="M451" t="s">
        <v>45</v>
      </c>
      <c r="N451">
        <v>314</v>
      </c>
      <c r="O451" t="s">
        <v>119</v>
      </c>
      <c r="P451" t="s">
        <v>30</v>
      </c>
      <c r="Q451" s="4">
        <v>44714</v>
      </c>
      <c r="R451">
        <v>0</v>
      </c>
      <c r="S451" t="s">
        <v>78</v>
      </c>
      <c r="T451" t="s">
        <v>78</v>
      </c>
      <c r="U451" t="s">
        <v>271</v>
      </c>
      <c r="V451">
        <v>0</v>
      </c>
      <c r="AD451">
        <v>1</v>
      </c>
      <c r="AF451">
        <v>23</v>
      </c>
      <c r="AI451">
        <v>217</v>
      </c>
    </row>
    <row r="452" spans="1:35" x14ac:dyDescent="0.35">
      <c r="A452" t="s">
        <v>91</v>
      </c>
      <c r="B452" t="s">
        <v>24</v>
      </c>
      <c r="C452" t="s">
        <v>33</v>
      </c>
      <c r="D452" t="s">
        <v>34</v>
      </c>
      <c r="E452" t="s">
        <v>309</v>
      </c>
      <c r="F452" t="s">
        <v>42</v>
      </c>
      <c r="G452" s="20" t="s">
        <v>43</v>
      </c>
      <c r="H452" t="s">
        <v>7</v>
      </c>
      <c r="I452" t="str">
        <f t="shared" si="12"/>
        <v>Tetragonula species</v>
      </c>
      <c r="J452" t="s">
        <v>42</v>
      </c>
      <c r="K452" t="s">
        <v>334</v>
      </c>
      <c r="L452" t="s">
        <v>44</v>
      </c>
      <c r="M452" t="s">
        <v>45</v>
      </c>
      <c r="N452">
        <v>315</v>
      </c>
      <c r="O452" t="s">
        <v>119</v>
      </c>
      <c r="P452" t="s">
        <v>30</v>
      </c>
      <c r="Q452" s="4">
        <v>44714</v>
      </c>
      <c r="R452">
        <v>0</v>
      </c>
      <c r="S452" t="s">
        <v>78</v>
      </c>
      <c r="T452" t="s">
        <v>78</v>
      </c>
      <c r="U452" t="s">
        <v>271</v>
      </c>
      <c r="V452">
        <v>0</v>
      </c>
      <c r="AD452">
        <v>1</v>
      </c>
      <c r="AF452">
        <v>23</v>
      </c>
      <c r="AI452">
        <v>218</v>
      </c>
    </row>
    <row r="453" spans="1:35" x14ac:dyDescent="0.35">
      <c r="A453" t="s">
        <v>91</v>
      </c>
      <c r="B453" t="s">
        <v>24</v>
      </c>
      <c r="C453" t="s">
        <v>33</v>
      </c>
      <c r="D453" t="s">
        <v>34</v>
      </c>
      <c r="E453" t="s">
        <v>309</v>
      </c>
      <c r="F453" t="s">
        <v>42</v>
      </c>
      <c r="G453" s="20" t="s">
        <v>43</v>
      </c>
      <c r="H453" t="s">
        <v>7</v>
      </c>
      <c r="I453" t="str">
        <f t="shared" si="12"/>
        <v>Tetragonula species</v>
      </c>
      <c r="J453" t="s">
        <v>42</v>
      </c>
      <c r="K453" t="s">
        <v>334</v>
      </c>
      <c r="L453" t="s">
        <v>44</v>
      </c>
      <c r="M453" t="s">
        <v>45</v>
      </c>
      <c r="N453">
        <v>316</v>
      </c>
      <c r="O453" t="s">
        <v>119</v>
      </c>
      <c r="P453" t="s">
        <v>30</v>
      </c>
      <c r="Q453" s="4">
        <v>44714</v>
      </c>
      <c r="R453">
        <v>0</v>
      </c>
      <c r="S453" t="s">
        <v>78</v>
      </c>
      <c r="T453" t="s">
        <v>78</v>
      </c>
      <c r="U453" t="s">
        <v>271</v>
      </c>
      <c r="V453">
        <v>0</v>
      </c>
      <c r="AD453">
        <v>1</v>
      </c>
      <c r="AF453">
        <v>23</v>
      </c>
      <c r="AI453">
        <v>219</v>
      </c>
    </row>
    <row r="454" spans="1:35" x14ac:dyDescent="0.35">
      <c r="A454" t="s">
        <v>91</v>
      </c>
      <c r="B454" t="s">
        <v>24</v>
      </c>
      <c r="C454" t="s">
        <v>33</v>
      </c>
      <c r="D454" t="s">
        <v>34</v>
      </c>
      <c r="E454" t="s">
        <v>309</v>
      </c>
      <c r="F454" t="s">
        <v>42</v>
      </c>
      <c r="G454" s="20" t="s">
        <v>43</v>
      </c>
      <c r="H454" t="s">
        <v>7</v>
      </c>
      <c r="I454" t="str">
        <f t="shared" si="12"/>
        <v>Tetragonula species</v>
      </c>
      <c r="J454" t="s">
        <v>42</v>
      </c>
      <c r="K454" t="s">
        <v>334</v>
      </c>
      <c r="L454" t="s">
        <v>44</v>
      </c>
      <c r="M454" t="s">
        <v>45</v>
      </c>
      <c r="N454">
        <v>317</v>
      </c>
      <c r="O454" t="s">
        <v>119</v>
      </c>
      <c r="P454" t="s">
        <v>30</v>
      </c>
      <c r="Q454" s="4">
        <v>44714</v>
      </c>
      <c r="R454">
        <v>0</v>
      </c>
      <c r="S454" t="s">
        <v>78</v>
      </c>
      <c r="T454" t="s">
        <v>78</v>
      </c>
      <c r="U454" t="s">
        <v>271</v>
      </c>
      <c r="V454">
        <v>0</v>
      </c>
      <c r="AD454">
        <v>1</v>
      </c>
      <c r="AF454">
        <v>23</v>
      </c>
      <c r="AI454">
        <v>220</v>
      </c>
    </row>
    <row r="455" spans="1:35" x14ac:dyDescent="0.35">
      <c r="A455" t="s">
        <v>91</v>
      </c>
      <c r="B455" t="s">
        <v>24</v>
      </c>
      <c r="C455" t="s">
        <v>33</v>
      </c>
      <c r="D455" t="s">
        <v>34</v>
      </c>
      <c r="E455" t="s">
        <v>309</v>
      </c>
      <c r="F455" t="s">
        <v>42</v>
      </c>
      <c r="G455" s="20" t="s">
        <v>43</v>
      </c>
      <c r="H455" t="s">
        <v>7</v>
      </c>
      <c r="I455" t="str">
        <f t="shared" si="12"/>
        <v>Tetragonula species</v>
      </c>
      <c r="J455" t="s">
        <v>42</v>
      </c>
      <c r="K455" t="s">
        <v>334</v>
      </c>
      <c r="L455" t="s">
        <v>44</v>
      </c>
      <c r="M455" t="s">
        <v>45</v>
      </c>
      <c r="N455">
        <v>318</v>
      </c>
      <c r="O455" t="s">
        <v>119</v>
      </c>
      <c r="P455" t="s">
        <v>30</v>
      </c>
      <c r="Q455" s="4">
        <v>44714</v>
      </c>
      <c r="R455">
        <v>0</v>
      </c>
      <c r="S455" t="s">
        <v>78</v>
      </c>
      <c r="T455" t="s">
        <v>78</v>
      </c>
      <c r="U455" t="s">
        <v>271</v>
      </c>
      <c r="V455">
        <v>0</v>
      </c>
      <c r="AD455">
        <v>1</v>
      </c>
      <c r="AF455">
        <v>23</v>
      </c>
      <c r="AI455">
        <v>221</v>
      </c>
    </row>
    <row r="456" spans="1:35" x14ac:dyDescent="0.35">
      <c r="A456" t="s">
        <v>91</v>
      </c>
      <c r="B456" t="s">
        <v>24</v>
      </c>
      <c r="C456" t="s">
        <v>33</v>
      </c>
      <c r="D456" t="s">
        <v>34</v>
      </c>
      <c r="E456" t="s">
        <v>309</v>
      </c>
      <c r="F456" t="s">
        <v>42</v>
      </c>
      <c r="G456" s="20" t="s">
        <v>43</v>
      </c>
      <c r="H456" t="s">
        <v>7</v>
      </c>
      <c r="I456" t="str">
        <f t="shared" si="12"/>
        <v>Tetragonula species</v>
      </c>
      <c r="J456" t="s">
        <v>42</v>
      </c>
      <c r="K456" t="s">
        <v>334</v>
      </c>
      <c r="L456" t="s">
        <v>44</v>
      </c>
      <c r="M456" t="s">
        <v>45</v>
      </c>
      <c r="N456">
        <v>319</v>
      </c>
      <c r="O456" t="s">
        <v>119</v>
      </c>
      <c r="P456" t="s">
        <v>30</v>
      </c>
      <c r="Q456" s="4">
        <v>44714</v>
      </c>
      <c r="R456">
        <v>1</v>
      </c>
      <c r="S456" t="s">
        <v>78</v>
      </c>
      <c r="T456" t="s">
        <v>78</v>
      </c>
      <c r="U456" t="s">
        <v>271</v>
      </c>
      <c r="V456">
        <v>0</v>
      </c>
      <c r="AD456">
        <v>1</v>
      </c>
      <c r="AF456">
        <v>23</v>
      </c>
      <c r="AI456">
        <v>222</v>
      </c>
    </row>
    <row r="457" spans="1:35" x14ac:dyDescent="0.35">
      <c r="A457" t="s">
        <v>91</v>
      </c>
      <c r="B457" t="s">
        <v>24</v>
      </c>
      <c r="C457" t="s">
        <v>33</v>
      </c>
      <c r="D457" t="s">
        <v>34</v>
      </c>
      <c r="E457" t="s">
        <v>309</v>
      </c>
      <c r="F457" t="s">
        <v>42</v>
      </c>
      <c r="G457" s="20" t="s">
        <v>43</v>
      </c>
      <c r="H457" t="s">
        <v>7</v>
      </c>
      <c r="I457" t="str">
        <f t="shared" si="12"/>
        <v>Tetragonula species</v>
      </c>
      <c r="J457" t="s">
        <v>42</v>
      </c>
      <c r="K457" t="s">
        <v>334</v>
      </c>
      <c r="L457" t="s">
        <v>44</v>
      </c>
      <c r="M457" t="s">
        <v>45</v>
      </c>
      <c r="N457">
        <v>320</v>
      </c>
      <c r="O457" t="s">
        <v>119</v>
      </c>
      <c r="P457" t="s">
        <v>30</v>
      </c>
      <c r="Q457" s="4">
        <v>44714</v>
      </c>
      <c r="R457">
        <v>0</v>
      </c>
      <c r="S457" t="s">
        <v>78</v>
      </c>
      <c r="T457" t="s">
        <v>78</v>
      </c>
      <c r="U457" t="s">
        <v>271</v>
      </c>
      <c r="V457">
        <v>0</v>
      </c>
      <c r="AD457">
        <v>1</v>
      </c>
      <c r="AF457">
        <v>23</v>
      </c>
      <c r="AI457">
        <v>223</v>
      </c>
    </row>
    <row r="458" spans="1:35" x14ac:dyDescent="0.35">
      <c r="A458" t="s">
        <v>91</v>
      </c>
      <c r="B458" t="s">
        <v>24</v>
      </c>
      <c r="C458" t="s">
        <v>33</v>
      </c>
      <c r="D458" t="s">
        <v>34</v>
      </c>
      <c r="E458" t="s">
        <v>309</v>
      </c>
      <c r="F458" t="s">
        <v>42</v>
      </c>
      <c r="G458" s="20" t="s">
        <v>43</v>
      </c>
      <c r="H458" t="s">
        <v>7</v>
      </c>
      <c r="I458" t="str">
        <f t="shared" si="12"/>
        <v>Tetragonula species</v>
      </c>
      <c r="J458" t="s">
        <v>42</v>
      </c>
      <c r="K458" t="s">
        <v>334</v>
      </c>
      <c r="L458" t="s">
        <v>44</v>
      </c>
      <c r="M458" t="s">
        <v>45</v>
      </c>
      <c r="N458">
        <v>321</v>
      </c>
      <c r="O458" t="s">
        <v>119</v>
      </c>
      <c r="P458" t="s">
        <v>30</v>
      </c>
      <c r="Q458" s="4">
        <v>44714</v>
      </c>
      <c r="R458">
        <v>1</v>
      </c>
      <c r="U458" t="s">
        <v>225</v>
      </c>
      <c r="V458">
        <v>0</v>
      </c>
      <c r="AD458">
        <v>1</v>
      </c>
      <c r="AF458">
        <v>13</v>
      </c>
      <c r="AI458">
        <v>224</v>
      </c>
    </row>
    <row r="459" spans="1:35" x14ac:dyDescent="0.35">
      <c r="A459" t="s">
        <v>91</v>
      </c>
      <c r="B459" t="s">
        <v>24</v>
      </c>
      <c r="C459" t="s">
        <v>33</v>
      </c>
      <c r="D459" t="s">
        <v>34</v>
      </c>
      <c r="E459" t="s">
        <v>309</v>
      </c>
      <c r="F459" t="s">
        <v>42</v>
      </c>
      <c r="G459" s="20" t="s">
        <v>43</v>
      </c>
      <c r="H459" t="s">
        <v>7</v>
      </c>
      <c r="I459" t="str">
        <f t="shared" si="12"/>
        <v>Tetragonula species</v>
      </c>
      <c r="J459" t="s">
        <v>42</v>
      </c>
      <c r="K459" t="s">
        <v>334</v>
      </c>
      <c r="L459" t="s">
        <v>44</v>
      </c>
      <c r="M459" t="s">
        <v>45</v>
      </c>
      <c r="N459">
        <v>322</v>
      </c>
      <c r="O459" t="s">
        <v>119</v>
      </c>
      <c r="P459" t="s">
        <v>30</v>
      </c>
      <c r="Q459" s="4">
        <v>44714</v>
      </c>
      <c r="R459">
        <v>0</v>
      </c>
      <c r="U459" t="s">
        <v>225</v>
      </c>
      <c r="V459">
        <v>0</v>
      </c>
      <c r="AD459">
        <v>1</v>
      </c>
      <c r="AF459">
        <v>13</v>
      </c>
      <c r="AI459">
        <v>225</v>
      </c>
    </row>
    <row r="460" spans="1:35" x14ac:dyDescent="0.35">
      <c r="A460" t="s">
        <v>91</v>
      </c>
      <c r="B460" t="s">
        <v>24</v>
      </c>
      <c r="C460" t="s">
        <v>33</v>
      </c>
      <c r="D460" t="s">
        <v>34</v>
      </c>
      <c r="E460" t="s">
        <v>309</v>
      </c>
      <c r="F460" t="s">
        <v>42</v>
      </c>
      <c r="G460" s="20" t="s">
        <v>43</v>
      </c>
      <c r="H460" t="s">
        <v>7</v>
      </c>
      <c r="I460" t="str">
        <f t="shared" si="12"/>
        <v>Tetragonula species</v>
      </c>
      <c r="J460" t="s">
        <v>42</v>
      </c>
      <c r="K460" t="s">
        <v>334</v>
      </c>
      <c r="L460" t="s">
        <v>44</v>
      </c>
      <c r="M460" t="s">
        <v>45</v>
      </c>
      <c r="N460">
        <v>323</v>
      </c>
      <c r="O460" t="s">
        <v>119</v>
      </c>
      <c r="P460" t="s">
        <v>30</v>
      </c>
      <c r="Q460" s="4">
        <v>44714</v>
      </c>
      <c r="R460">
        <v>0</v>
      </c>
      <c r="U460" t="s">
        <v>225</v>
      </c>
      <c r="V460">
        <v>0</v>
      </c>
      <c r="AD460">
        <v>1</v>
      </c>
      <c r="AF460">
        <v>13</v>
      </c>
      <c r="AI460">
        <v>226</v>
      </c>
    </row>
    <row r="461" spans="1:35" x14ac:dyDescent="0.35">
      <c r="A461" t="s">
        <v>91</v>
      </c>
      <c r="B461" t="s">
        <v>24</v>
      </c>
      <c r="C461" t="s">
        <v>33</v>
      </c>
      <c r="D461" t="s">
        <v>34</v>
      </c>
      <c r="E461" t="s">
        <v>309</v>
      </c>
      <c r="F461" t="s">
        <v>42</v>
      </c>
      <c r="G461" s="20" t="s">
        <v>43</v>
      </c>
      <c r="H461" t="s">
        <v>7</v>
      </c>
      <c r="I461" t="str">
        <f t="shared" si="12"/>
        <v>Tetragonula species</v>
      </c>
      <c r="J461" t="s">
        <v>42</v>
      </c>
      <c r="K461" t="s">
        <v>334</v>
      </c>
      <c r="L461" t="s">
        <v>44</v>
      </c>
      <c r="M461" t="s">
        <v>45</v>
      </c>
      <c r="N461">
        <v>324</v>
      </c>
      <c r="O461" t="s">
        <v>119</v>
      </c>
      <c r="P461" t="s">
        <v>30</v>
      </c>
      <c r="Q461" s="4">
        <v>44714</v>
      </c>
      <c r="R461">
        <v>1</v>
      </c>
      <c r="U461" t="s">
        <v>225</v>
      </c>
      <c r="V461">
        <v>0</v>
      </c>
      <c r="AD461">
        <v>1</v>
      </c>
      <c r="AF461">
        <v>15</v>
      </c>
      <c r="AI461">
        <v>227</v>
      </c>
    </row>
    <row r="462" spans="1:35" x14ac:dyDescent="0.35">
      <c r="A462" t="s">
        <v>91</v>
      </c>
      <c r="B462" t="s">
        <v>24</v>
      </c>
      <c r="C462" t="s">
        <v>33</v>
      </c>
      <c r="D462" t="s">
        <v>34</v>
      </c>
      <c r="E462" t="s">
        <v>309</v>
      </c>
      <c r="F462" t="s">
        <v>42</v>
      </c>
      <c r="G462" s="20" t="s">
        <v>43</v>
      </c>
      <c r="H462" t="s">
        <v>7</v>
      </c>
      <c r="I462" t="str">
        <f t="shared" si="12"/>
        <v>Tetragonula species</v>
      </c>
      <c r="J462" t="s">
        <v>42</v>
      </c>
      <c r="K462" t="s">
        <v>334</v>
      </c>
      <c r="L462" t="s">
        <v>44</v>
      </c>
      <c r="M462" t="s">
        <v>45</v>
      </c>
      <c r="N462">
        <v>325</v>
      </c>
      <c r="O462" t="s">
        <v>119</v>
      </c>
      <c r="P462" t="s">
        <v>30</v>
      </c>
      <c r="Q462" s="4">
        <v>44714</v>
      </c>
      <c r="R462">
        <v>0</v>
      </c>
      <c r="U462" t="s">
        <v>225</v>
      </c>
      <c r="V462">
        <v>0</v>
      </c>
      <c r="AD462">
        <v>1</v>
      </c>
      <c r="AF462">
        <v>15</v>
      </c>
      <c r="AI462">
        <v>228</v>
      </c>
    </row>
    <row r="463" spans="1:35" x14ac:dyDescent="0.35">
      <c r="A463" t="s">
        <v>91</v>
      </c>
      <c r="B463" t="s">
        <v>24</v>
      </c>
      <c r="C463" t="s">
        <v>33</v>
      </c>
      <c r="D463" t="s">
        <v>34</v>
      </c>
      <c r="E463" t="s">
        <v>309</v>
      </c>
      <c r="F463" t="s">
        <v>42</v>
      </c>
      <c r="G463" s="20" t="s">
        <v>43</v>
      </c>
      <c r="H463" t="s">
        <v>7</v>
      </c>
      <c r="I463" t="str">
        <f t="shared" si="12"/>
        <v>Tetragonula species</v>
      </c>
      <c r="J463" t="s">
        <v>42</v>
      </c>
      <c r="K463" t="s">
        <v>334</v>
      </c>
      <c r="L463" t="s">
        <v>44</v>
      </c>
      <c r="M463" t="s">
        <v>45</v>
      </c>
      <c r="N463">
        <v>326</v>
      </c>
      <c r="O463" t="s">
        <v>119</v>
      </c>
      <c r="P463" t="s">
        <v>30</v>
      </c>
      <c r="Q463" s="4">
        <v>44714</v>
      </c>
      <c r="R463">
        <v>0</v>
      </c>
      <c r="U463" t="s">
        <v>225</v>
      </c>
      <c r="V463">
        <v>0</v>
      </c>
      <c r="AD463">
        <v>1</v>
      </c>
      <c r="AF463">
        <v>15</v>
      </c>
      <c r="AI463">
        <v>229</v>
      </c>
    </row>
    <row r="464" spans="1:35" x14ac:dyDescent="0.35">
      <c r="A464" t="s">
        <v>91</v>
      </c>
      <c r="B464" t="s">
        <v>24</v>
      </c>
      <c r="C464" t="s">
        <v>33</v>
      </c>
      <c r="D464" t="s">
        <v>34</v>
      </c>
      <c r="E464" t="s">
        <v>309</v>
      </c>
      <c r="F464" t="s">
        <v>42</v>
      </c>
      <c r="G464" s="20" t="s">
        <v>43</v>
      </c>
      <c r="H464" t="s">
        <v>7</v>
      </c>
      <c r="I464" t="str">
        <f t="shared" si="12"/>
        <v>Tetragonula species</v>
      </c>
      <c r="J464" t="s">
        <v>42</v>
      </c>
      <c r="K464" t="s">
        <v>334</v>
      </c>
      <c r="L464" t="s">
        <v>44</v>
      </c>
      <c r="M464" t="s">
        <v>45</v>
      </c>
      <c r="N464">
        <v>327</v>
      </c>
      <c r="O464" t="s">
        <v>119</v>
      </c>
      <c r="P464" t="s">
        <v>30</v>
      </c>
      <c r="Q464" s="4">
        <v>44714</v>
      </c>
      <c r="R464">
        <v>1</v>
      </c>
      <c r="U464" t="s">
        <v>225</v>
      </c>
      <c r="V464">
        <v>0</v>
      </c>
      <c r="AD464">
        <v>1</v>
      </c>
      <c r="AF464">
        <v>15</v>
      </c>
      <c r="AI464">
        <v>230</v>
      </c>
    </row>
    <row r="465" spans="1:35" x14ac:dyDescent="0.35">
      <c r="A465" t="s">
        <v>91</v>
      </c>
      <c r="B465" t="s">
        <v>24</v>
      </c>
      <c r="C465" t="s">
        <v>33</v>
      </c>
      <c r="D465" t="s">
        <v>34</v>
      </c>
      <c r="E465" t="s">
        <v>309</v>
      </c>
      <c r="F465" t="s">
        <v>42</v>
      </c>
      <c r="G465" s="20" t="s">
        <v>43</v>
      </c>
      <c r="H465" t="s">
        <v>7</v>
      </c>
      <c r="I465" t="str">
        <f t="shared" si="12"/>
        <v>Tetragonula species</v>
      </c>
      <c r="J465" t="s">
        <v>42</v>
      </c>
      <c r="K465" t="s">
        <v>334</v>
      </c>
      <c r="L465" t="s">
        <v>44</v>
      </c>
      <c r="M465" t="s">
        <v>45</v>
      </c>
      <c r="N465">
        <v>328</v>
      </c>
      <c r="O465" t="s">
        <v>119</v>
      </c>
      <c r="P465" t="s">
        <v>30</v>
      </c>
      <c r="Q465" s="4">
        <v>44714</v>
      </c>
      <c r="R465">
        <v>0</v>
      </c>
      <c r="U465" t="s">
        <v>225</v>
      </c>
      <c r="V465">
        <v>0</v>
      </c>
      <c r="AD465">
        <v>1</v>
      </c>
      <c r="AF465">
        <v>15</v>
      </c>
      <c r="AI465">
        <v>231</v>
      </c>
    </row>
    <row r="466" spans="1:35" x14ac:dyDescent="0.35">
      <c r="A466" t="s">
        <v>91</v>
      </c>
      <c r="B466" t="s">
        <v>24</v>
      </c>
      <c r="C466" t="s">
        <v>33</v>
      </c>
      <c r="D466" t="s">
        <v>34</v>
      </c>
      <c r="E466" t="s">
        <v>309</v>
      </c>
      <c r="F466" t="s">
        <v>42</v>
      </c>
      <c r="G466" s="20" t="s">
        <v>43</v>
      </c>
      <c r="H466" t="s">
        <v>7</v>
      </c>
      <c r="I466" t="str">
        <f t="shared" si="12"/>
        <v>Tetragonula species</v>
      </c>
      <c r="J466" t="s">
        <v>42</v>
      </c>
      <c r="K466" t="s">
        <v>334</v>
      </c>
      <c r="L466" t="s">
        <v>44</v>
      </c>
      <c r="M466" t="s">
        <v>45</v>
      </c>
      <c r="N466">
        <v>329</v>
      </c>
      <c r="O466" t="s">
        <v>119</v>
      </c>
      <c r="P466" t="s">
        <v>30</v>
      </c>
      <c r="Q466" s="4">
        <v>44714</v>
      </c>
      <c r="R466">
        <v>0</v>
      </c>
      <c r="U466" t="s">
        <v>225</v>
      </c>
      <c r="V466">
        <v>0</v>
      </c>
      <c r="AD466">
        <v>1</v>
      </c>
      <c r="AF466">
        <v>15</v>
      </c>
      <c r="AI466">
        <v>232</v>
      </c>
    </row>
    <row r="467" spans="1:35" x14ac:dyDescent="0.35">
      <c r="A467" t="s">
        <v>91</v>
      </c>
      <c r="B467" t="s">
        <v>24</v>
      </c>
      <c r="C467" t="s">
        <v>33</v>
      </c>
      <c r="D467" t="s">
        <v>34</v>
      </c>
      <c r="E467" t="s">
        <v>309</v>
      </c>
      <c r="F467" t="s">
        <v>42</v>
      </c>
      <c r="G467" s="20" t="s">
        <v>43</v>
      </c>
      <c r="H467" t="s">
        <v>7</v>
      </c>
      <c r="I467" t="str">
        <f t="shared" si="12"/>
        <v>Tetragonula species</v>
      </c>
      <c r="J467" t="s">
        <v>42</v>
      </c>
      <c r="K467" t="s">
        <v>334</v>
      </c>
      <c r="L467" t="s">
        <v>44</v>
      </c>
      <c r="M467" t="s">
        <v>45</v>
      </c>
      <c r="N467">
        <v>330</v>
      </c>
      <c r="O467" t="s">
        <v>119</v>
      </c>
      <c r="P467" t="s">
        <v>30</v>
      </c>
      <c r="Q467" s="4">
        <v>44714</v>
      </c>
      <c r="R467">
        <v>0</v>
      </c>
      <c r="U467" t="s">
        <v>225</v>
      </c>
      <c r="V467">
        <v>0</v>
      </c>
      <c r="AD467">
        <v>1</v>
      </c>
      <c r="AF467">
        <v>15</v>
      </c>
      <c r="AI467">
        <v>233</v>
      </c>
    </row>
    <row r="468" spans="1:35" x14ac:dyDescent="0.35">
      <c r="A468" t="s">
        <v>91</v>
      </c>
      <c r="B468" t="s">
        <v>24</v>
      </c>
      <c r="C468" t="s">
        <v>33</v>
      </c>
      <c r="D468" t="s">
        <v>34</v>
      </c>
      <c r="E468" t="s">
        <v>309</v>
      </c>
      <c r="F468" t="s">
        <v>42</v>
      </c>
      <c r="G468" s="20" t="s">
        <v>43</v>
      </c>
      <c r="H468" t="s">
        <v>7</v>
      </c>
      <c r="I468" t="str">
        <f t="shared" si="12"/>
        <v>Tetragonula species</v>
      </c>
      <c r="J468" t="s">
        <v>42</v>
      </c>
      <c r="K468" t="s">
        <v>334</v>
      </c>
      <c r="L468" t="s">
        <v>44</v>
      </c>
      <c r="M468" t="s">
        <v>45</v>
      </c>
      <c r="N468">
        <v>331</v>
      </c>
      <c r="O468" t="s">
        <v>119</v>
      </c>
      <c r="P468" t="s">
        <v>30</v>
      </c>
      <c r="Q468" s="4">
        <v>44714</v>
      </c>
      <c r="R468">
        <v>0</v>
      </c>
      <c r="U468" t="s">
        <v>225</v>
      </c>
      <c r="V468">
        <v>0</v>
      </c>
      <c r="AD468">
        <v>1</v>
      </c>
      <c r="AF468">
        <v>15</v>
      </c>
      <c r="AI468">
        <v>234</v>
      </c>
    </row>
    <row r="469" spans="1:35" x14ac:dyDescent="0.35">
      <c r="A469" t="s">
        <v>91</v>
      </c>
      <c r="B469" t="s">
        <v>24</v>
      </c>
      <c r="C469" t="s">
        <v>33</v>
      </c>
      <c r="D469" t="s">
        <v>34</v>
      </c>
      <c r="E469" t="s">
        <v>309</v>
      </c>
      <c r="F469" t="s">
        <v>42</v>
      </c>
      <c r="G469" s="20" t="s">
        <v>43</v>
      </c>
      <c r="H469" t="s">
        <v>7</v>
      </c>
      <c r="I469" t="str">
        <f t="shared" si="12"/>
        <v>Tetragonula species</v>
      </c>
      <c r="J469" t="s">
        <v>42</v>
      </c>
      <c r="K469" t="s">
        <v>334</v>
      </c>
      <c r="L469" t="s">
        <v>44</v>
      </c>
      <c r="M469" t="s">
        <v>45</v>
      </c>
      <c r="N469">
        <v>332</v>
      </c>
      <c r="O469" t="s">
        <v>119</v>
      </c>
      <c r="P469" t="s">
        <v>30</v>
      </c>
      <c r="Q469" s="4">
        <v>44714</v>
      </c>
      <c r="R469">
        <v>0</v>
      </c>
      <c r="U469" t="s">
        <v>225</v>
      </c>
      <c r="V469">
        <v>0</v>
      </c>
      <c r="AD469">
        <v>1</v>
      </c>
      <c r="AF469">
        <v>15</v>
      </c>
      <c r="AI469">
        <v>235</v>
      </c>
    </row>
    <row r="470" spans="1:35" x14ac:dyDescent="0.35">
      <c r="A470" t="s">
        <v>91</v>
      </c>
      <c r="B470" t="s">
        <v>24</v>
      </c>
      <c r="C470" t="s">
        <v>33</v>
      </c>
      <c r="D470" t="s">
        <v>34</v>
      </c>
      <c r="E470" t="s">
        <v>309</v>
      </c>
      <c r="F470" t="s">
        <v>42</v>
      </c>
      <c r="G470" s="20" t="s">
        <v>43</v>
      </c>
      <c r="H470" t="s">
        <v>7</v>
      </c>
      <c r="I470" t="str">
        <f t="shared" si="12"/>
        <v>Tetragonula species</v>
      </c>
      <c r="J470" t="s">
        <v>42</v>
      </c>
      <c r="K470" t="s">
        <v>334</v>
      </c>
      <c r="L470" t="s">
        <v>44</v>
      </c>
      <c r="M470" t="s">
        <v>45</v>
      </c>
      <c r="N470">
        <v>333</v>
      </c>
      <c r="O470" t="s">
        <v>119</v>
      </c>
      <c r="P470" t="s">
        <v>30</v>
      </c>
      <c r="Q470" s="4">
        <v>44714</v>
      </c>
      <c r="R470">
        <v>0</v>
      </c>
      <c r="U470" t="s">
        <v>225</v>
      </c>
      <c r="V470">
        <v>0</v>
      </c>
      <c r="AD470">
        <v>1</v>
      </c>
      <c r="AF470">
        <v>15</v>
      </c>
      <c r="AI470">
        <v>236</v>
      </c>
    </row>
    <row r="471" spans="1:35" x14ac:dyDescent="0.35">
      <c r="A471" t="s">
        <v>91</v>
      </c>
      <c r="B471" t="s">
        <v>24</v>
      </c>
      <c r="C471" t="s">
        <v>33</v>
      </c>
      <c r="D471" t="s">
        <v>34</v>
      </c>
      <c r="E471" t="s">
        <v>309</v>
      </c>
      <c r="F471" t="s">
        <v>42</v>
      </c>
      <c r="G471" s="20" t="s">
        <v>43</v>
      </c>
      <c r="H471" t="s">
        <v>7</v>
      </c>
      <c r="I471" t="str">
        <f t="shared" si="12"/>
        <v>Tetragonula species</v>
      </c>
      <c r="J471" t="s">
        <v>42</v>
      </c>
      <c r="K471" t="s">
        <v>334</v>
      </c>
      <c r="L471" t="s">
        <v>44</v>
      </c>
      <c r="M471" t="s">
        <v>45</v>
      </c>
      <c r="N471">
        <v>334</v>
      </c>
      <c r="O471" t="s">
        <v>119</v>
      </c>
      <c r="P471" t="s">
        <v>30</v>
      </c>
      <c r="Q471" s="4">
        <v>44714</v>
      </c>
      <c r="R471">
        <v>1</v>
      </c>
      <c r="U471" t="s">
        <v>225</v>
      </c>
      <c r="V471">
        <v>0</v>
      </c>
      <c r="AD471">
        <v>1</v>
      </c>
      <c r="AF471">
        <v>15</v>
      </c>
      <c r="AI471">
        <v>237</v>
      </c>
    </row>
    <row r="472" spans="1:35" x14ac:dyDescent="0.35">
      <c r="A472" t="s">
        <v>91</v>
      </c>
      <c r="B472" t="s">
        <v>24</v>
      </c>
      <c r="C472" t="s">
        <v>33</v>
      </c>
      <c r="D472" t="s">
        <v>34</v>
      </c>
      <c r="E472" t="s">
        <v>309</v>
      </c>
      <c r="F472" t="s">
        <v>42</v>
      </c>
      <c r="G472" s="20" t="s">
        <v>43</v>
      </c>
      <c r="H472" t="s">
        <v>7</v>
      </c>
      <c r="I472" t="str">
        <f t="shared" si="12"/>
        <v>Tetragonula species</v>
      </c>
      <c r="J472" t="s">
        <v>42</v>
      </c>
      <c r="K472" t="s">
        <v>334</v>
      </c>
      <c r="L472" t="s">
        <v>44</v>
      </c>
      <c r="M472" t="s">
        <v>45</v>
      </c>
      <c r="N472">
        <v>335</v>
      </c>
      <c r="O472" t="s">
        <v>119</v>
      </c>
      <c r="P472" t="s">
        <v>30</v>
      </c>
      <c r="Q472" s="4">
        <v>44714</v>
      </c>
      <c r="R472">
        <v>0</v>
      </c>
      <c r="U472" t="s">
        <v>225</v>
      </c>
      <c r="V472">
        <v>0</v>
      </c>
      <c r="AD472">
        <v>1</v>
      </c>
      <c r="AF472">
        <v>15</v>
      </c>
      <c r="AI472">
        <v>238</v>
      </c>
    </row>
    <row r="473" spans="1:35" x14ac:dyDescent="0.35">
      <c r="A473" t="s">
        <v>91</v>
      </c>
      <c r="B473" t="s">
        <v>24</v>
      </c>
      <c r="C473" t="s">
        <v>33</v>
      </c>
      <c r="D473" t="s">
        <v>34</v>
      </c>
      <c r="E473" t="s">
        <v>309</v>
      </c>
      <c r="F473" t="s">
        <v>42</v>
      </c>
      <c r="G473" s="20" t="s">
        <v>43</v>
      </c>
      <c r="H473" t="s">
        <v>7</v>
      </c>
      <c r="I473" t="str">
        <f t="shared" si="12"/>
        <v>Tetragonula species</v>
      </c>
      <c r="J473" t="s">
        <v>42</v>
      </c>
      <c r="K473" t="s">
        <v>334</v>
      </c>
      <c r="L473" t="s">
        <v>44</v>
      </c>
      <c r="M473" t="s">
        <v>45</v>
      </c>
      <c r="N473">
        <v>336</v>
      </c>
      <c r="O473" t="s">
        <v>119</v>
      </c>
      <c r="P473" t="s">
        <v>30</v>
      </c>
      <c r="Q473" s="4">
        <v>44714</v>
      </c>
      <c r="R473">
        <v>1</v>
      </c>
      <c r="U473" t="s">
        <v>225</v>
      </c>
      <c r="V473">
        <v>0</v>
      </c>
      <c r="AD473">
        <v>1</v>
      </c>
      <c r="AF473">
        <v>15</v>
      </c>
      <c r="AI473">
        <v>239</v>
      </c>
    </row>
    <row r="474" spans="1:35" x14ac:dyDescent="0.35">
      <c r="A474" t="s">
        <v>91</v>
      </c>
      <c r="B474" t="s">
        <v>24</v>
      </c>
      <c r="C474" t="s">
        <v>33</v>
      </c>
      <c r="D474" t="s">
        <v>34</v>
      </c>
      <c r="E474" t="s">
        <v>309</v>
      </c>
      <c r="F474" t="s">
        <v>42</v>
      </c>
      <c r="G474" s="20" t="s">
        <v>43</v>
      </c>
      <c r="H474" t="s">
        <v>7</v>
      </c>
      <c r="I474" t="str">
        <f t="shared" si="12"/>
        <v>Tetragonula species</v>
      </c>
      <c r="J474" t="s">
        <v>42</v>
      </c>
      <c r="K474" t="s">
        <v>334</v>
      </c>
      <c r="L474" t="s">
        <v>44</v>
      </c>
      <c r="M474" t="s">
        <v>45</v>
      </c>
      <c r="N474">
        <v>337</v>
      </c>
      <c r="O474" t="s">
        <v>119</v>
      </c>
      <c r="P474" t="s">
        <v>30</v>
      </c>
      <c r="Q474" s="4">
        <v>44714</v>
      </c>
      <c r="R474">
        <v>1</v>
      </c>
      <c r="U474" t="s">
        <v>225</v>
      </c>
      <c r="V474">
        <v>0</v>
      </c>
      <c r="AD474">
        <v>1</v>
      </c>
      <c r="AF474">
        <v>15</v>
      </c>
      <c r="AI474">
        <v>240</v>
      </c>
    </row>
    <row r="475" spans="1:35" x14ac:dyDescent="0.35">
      <c r="A475" t="s">
        <v>91</v>
      </c>
      <c r="B475" t="s">
        <v>24</v>
      </c>
      <c r="C475" t="s">
        <v>33</v>
      </c>
      <c r="D475" t="s">
        <v>34</v>
      </c>
      <c r="E475" t="s">
        <v>309</v>
      </c>
      <c r="F475" t="s">
        <v>42</v>
      </c>
      <c r="G475" s="20" t="s">
        <v>43</v>
      </c>
      <c r="H475" t="s">
        <v>7</v>
      </c>
      <c r="I475" t="str">
        <f t="shared" si="12"/>
        <v>Tetragonula species</v>
      </c>
      <c r="J475" t="s">
        <v>42</v>
      </c>
      <c r="K475" t="s">
        <v>334</v>
      </c>
      <c r="L475" t="s">
        <v>44</v>
      </c>
      <c r="M475" t="s">
        <v>45</v>
      </c>
      <c r="N475">
        <v>338</v>
      </c>
      <c r="O475" t="s">
        <v>119</v>
      </c>
      <c r="P475" t="s">
        <v>56</v>
      </c>
      <c r="Q475" s="4">
        <v>44734</v>
      </c>
      <c r="R475">
        <v>1</v>
      </c>
      <c r="U475" t="s">
        <v>225</v>
      </c>
      <c r="V475">
        <v>0</v>
      </c>
      <c r="AD475">
        <v>1</v>
      </c>
      <c r="AF475">
        <v>13</v>
      </c>
      <c r="AI475">
        <v>241</v>
      </c>
    </row>
    <row r="476" spans="1:35" x14ac:dyDescent="0.35">
      <c r="A476" t="s">
        <v>91</v>
      </c>
      <c r="B476" t="s">
        <v>24</v>
      </c>
      <c r="C476" t="s">
        <v>33</v>
      </c>
      <c r="D476" t="s">
        <v>34</v>
      </c>
      <c r="E476" t="s">
        <v>320</v>
      </c>
      <c r="F476" t="s">
        <v>321</v>
      </c>
      <c r="G476" s="20" t="s">
        <v>46</v>
      </c>
      <c r="H476" t="s">
        <v>7</v>
      </c>
      <c r="I476" t="str">
        <f t="shared" si="12"/>
        <v>Xylocopa species</v>
      </c>
      <c r="J476" t="s">
        <v>255</v>
      </c>
      <c r="K476" t="s">
        <v>331</v>
      </c>
      <c r="L476" t="s">
        <v>47</v>
      </c>
      <c r="M476" t="s">
        <v>47</v>
      </c>
      <c r="N476">
        <v>339</v>
      </c>
      <c r="O476" t="s">
        <v>119</v>
      </c>
      <c r="P476" t="s">
        <v>37</v>
      </c>
      <c r="Q476" s="4">
        <v>44727</v>
      </c>
      <c r="R476">
        <v>1</v>
      </c>
      <c r="S476" t="s">
        <v>74</v>
      </c>
      <c r="T476" t="s">
        <v>229</v>
      </c>
      <c r="U476" t="s">
        <v>229</v>
      </c>
      <c r="V476">
        <v>0</v>
      </c>
      <c r="AD476">
        <v>1</v>
      </c>
      <c r="AF476">
        <v>6</v>
      </c>
      <c r="AI476">
        <v>243</v>
      </c>
    </row>
    <row r="477" spans="1:35" x14ac:dyDescent="0.35">
      <c r="A477" t="s">
        <v>91</v>
      </c>
      <c r="B477" t="s">
        <v>24</v>
      </c>
      <c r="C477" t="s">
        <v>33</v>
      </c>
      <c r="D477" t="s">
        <v>34</v>
      </c>
      <c r="E477" t="s">
        <v>320</v>
      </c>
      <c r="F477" t="s">
        <v>321</v>
      </c>
      <c r="G477" s="20" t="s">
        <v>46</v>
      </c>
      <c r="H477" t="s">
        <v>7</v>
      </c>
      <c r="I477" t="str">
        <f t="shared" si="12"/>
        <v>Xylocopa species</v>
      </c>
      <c r="J477" t="s">
        <v>255</v>
      </c>
      <c r="K477" t="s">
        <v>331</v>
      </c>
      <c r="L477" t="s">
        <v>47</v>
      </c>
      <c r="M477" t="s">
        <v>47</v>
      </c>
      <c r="N477">
        <v>340</v>
      </c>
      <c r="O477" t="s">
        <v>119</v>
      </c>
      <c r="P477" t="s">
        <v>37</v>
      </c>
      <c r="Q477" s="4">
        <v>44727</v>
      </c>
      <c r="R477">
        <v>1</v>
      </c>
      <c r="S477" t="s">
        <v>74</v>
      </c>
      <c r="T477" t="s">
        <v>229</v>
      </c>
      <c r="U477" t="s">
        <v>229</v>
      </c>
      <c r="V477">
        <v>0</v>
      </c>
      <c r="AD477">
        <v>1</v>
      </c>
      <c r="AF477">
        <v>6</v>
      </c>
      <c r="AI477">
        <v>244</v>
      </c>
    </row>
    <row r="478" spans="1:35" x14ac:dyDescent="0.35">
      <c r="A478" t="s">
        <v>91</v>
      </c>
      <c r="B478" t="s">
        <v>24</v>
      </c>
      <c r="C478" t="s">
        <v>33</v>
      </c>
      <c r="D478" t="s">
        <v>34</v>
      </c>
      <c r="E478" t="s">
        <v>320</v>
      </c>
      <c r="F478" t="s">
        <v>321</v>
      </c>
      <c r="G478" s="20" t="s">
        <v>46</v>
      </c>
      <c r="H478" t="s">
        <v>7</v>
      </c>
      <c r="I478" t="str">
        <f t="shared" si="12"/>
        <v>Xylocopa species</v>
      </c>
      <c r="J478" t="s">
        <v>255</v>
      </c>
      <c r="K478" t="s">
        <v>331</v>
      </c>
      <c r="L478" t="s">
        <v>47</v>
      </c>
      <c r="M478" t="s">
        <v>47</v>
      </c>
      <c r="N478">
        <v>341</v>
      </c>
      <c r="O478" t="s">
        <v>119</v>
      </c>
      <c r="P478" t="s">
        <v>37</v>
      </c>
      <c r="Q478" s="4">
        <v>44728</v>
      </c>
      <c r="R478">
        <v>1</v>
      </c>
      <c r="S478" t="s">
        <v>74</v>
      </c>
      <c r="T478" t="s">
        <v>229</v>
      </c>
      <c r="U478" t="s">
        <v>229</v>
      </c>
      <c r="V478">
        <v>0</v>
      </c>
      <c r="AD478">
        <v>1</v>
      </c>
      <c r="AF478">
        <v>7</v>
      </c>
      <c r="AI478">
        <v>245</v>
      </c>
    </row>
    <row r="479" spans="1:35" x14ac:dyDescent="0.35">
      <c r="A479" t="s">
        <v>91</v>
      </c>
      <c r="B479" t="s">
        <v>24</v>
      </c>
      <c r="C479" t="s">
        <v>33</v>
      </c>
      <c r="D479" t="s">
        <v>34</v>
      </c>
      <c r="E479" t="s">
        <v>320</v>
      </c>
      <c r="F479" t="s">
        <v>321</v>
      </c>
      <c r="G479" s="20" t="s">
        <v>46</v>
      </c>
      <c r="H479" t="s">
        <v>7</v>
      </c>
      <c r="I479" t="str">
        <f t="shared" si="12"/>
        <v>Xylocopa species</v>
      </c>
      <c r="J479" t="s">
        <v>255</v>
      </c>
      <c r="K479" t="s">
        <v>331</v>
      </c>
      <c r="L479" t="s">
        <v>47</v>
      </c>
      <c r="M479" t="s">
        <v>47</v>
      </c>
      <c r="N479">
        <v>342</v>
      </c>
      <c r="O479" t="s">
        <v>119</v>
      </c>
      <c r="P479" t="s">
        <v>37</v>
      </c>
      <c r="Q479" s="4">
        <v>44728</v>
      </c>
      <c r="R479">
        <v>0</v>
      </c>
      <c r="S479" t="s">
        <v>74</v>
      </c>
      <c r="T479" t="s">
        <v>229</v>
      </c>
      <c r="U479" t="s">
        <v>229</v>
      </c>
      <c r="V479">
        <v>0</v>
      </c>
      <c r="AD479">
        <v>1</v>
      </c>
      <c r="AF479">
        <v>7</v>
      </c>
      <c r="AI479">
        <v>246</v>
      </c>
    </row>
    <row r="480" spans="1:35" x14ac:dyDescent="0.35">
      <c r="A480" t="s">
        <v>91</v>
      </c>
      <c r="B480" t="s">
        <v>24</v>
      </c>
      <c r="C480" t="s">
        <v>33</v>
      </c>
      <c r="D480" t="s">
        <v>34</v>
      </c>
      <c r="E480" t="s">
        <v>320</v>
      </c>
      <c r="F480" t="s">
        <v>321</v>
      </c>
      <c r="G480" s="20" t="s">
        <v>46</v>
      </c>
      <c r="H480" t="s">
        <v>7</v>
      </c>
      <c r="I480" t="str">
        <f t="shared" si="12"/>
        <v>Xylocopa species</v>
      </c>
      <c r="J480" t="s">
        <v>255</v>
      </c>
      <c r="K480" t="s">
        <v>331</v>
      </c>
      <c r="L480" t="s">
        <v>47</v>
      </c>
      <c r="M480" t="s">
        <v>47</v>
      </c>
      <c r="N480">
        <v>343</v>
      </c>
      <c r="O480" t="s">
        <v>119</v>
      </c>
      <c r="P480" t="s">
        <v>37</v>
      </c>
      <c r="Q480" s="4">
        <v>44728</v>
      </c>
      <c r="S480" t="s">
        <v>74</v>
      </c>
      <c r="T480" t="s">
        <v>229</v>
      </c>
      <c r="U480" t="s">
        <v>229</v>
      </c>
      <c r="V480">
        <v>0</v>
      </c>
      <c r="AD480">
        <v>1</v>
      </c>
      <c r="AF480">
        <v>7</v>
      </c>
      <c r="AI480">
        <v>247</v>
      </c>
    </row>
    <row r="481" spans="1:35" x14ac:dyDescent="0.35">
      <c r="A481" t="s">
        <v>91</v>
      </c>
      <c r="B481" t="s">
        <v>24</v>
      </c>
      <c r="C481" t="s">
        <v>33</v>
      </c>
      <c r="D481" t="s">
        <v>34</v>
      </c>
      <c r="E481" t="s">
        <v>320</v>
      </c>
      <c r="F481" t="s">
        <v>321</v>
      </c>
      <c r="G481" s="20" t="s">
        <v>46</v>
      </c>
      <c r="H481" t="s">
        <v>7</v>
      </c>
      <c r="I481" t="str">
        <f t="shared" si="12"/>
        <v>Xylocopa species</v>
      </c>
      <c r="J481" t="s">
        <v>255</v>
      </c>
      <c r="K481" t="s">
        <v>331</v>
      </c>
      <c r="L481" t="s">
        <v>47</v>
      </c>
      <c r="M481" t="s">
        <v>47</v>
      </c>
      <c r="N481">
        <v>344</v>
      </c>
      <c r="O481" t="s">
        <v>119</v>
      </c>
      <c r="P481" t="s">
        <v>37</v>
      </c>
      <c r="Q481" s="4">
        <v>44728</v>
      </c>
      <c r="S481" t="s">
        <v>74</v>
      </c>
      <c r="T481" t="s">
        <v>229</v>
      </c>
      <c r="U481" t="s">
        <v>229</v>
      </c>
      <c r="V481">
        <v>0</v>
      </c>
      <c r="AD481">
        <v>1</v>
      </c>
      <c r="AF481">
        <v>7</v>
      </c>
      <c r="AI481">
        <v>248</v>
      </c>
    </row>
    <row r="482" spans="1:35" x14ac:dyDescent="0.35">
      <c r="A482" t="s">
        <v>91</v>
      </c>
      <c r="B482" t="s">
        <v>24</v>
      </c>
      <c r="C482" t="s">
        <v>33</v>
      </c>
      <c r="D482" t="s">
        <v>34</v>
      </c>
      <c r="E482" t="s">
        <v>320</v>
      </c>
      <c r="F482" t="s">
        <v>321</v>
      </c>
      <c r="G482" s="20" t="s">
        <v>46</v>
      </c>
      <c r="H482" t="s">
        <v>7</v>
      </c>
      <c r="I482" t="str">
        <f t="shared" si="12"/>
        <v>Xylocopa species</v>
      </c>
      <c r="J482" t="s">
        <v>255</v>
      </c>
      <c r="K482" t="s">
        <v>331</v>
      </c>
      <c r="L482" t="s">
        <v>47</v>
      </c>
      <c r="M482" t="s">
        <v>47</v>
      </c>
      <c r="N482">
        <v>345</v>
      </c>
      <c r="O482" t="s">
        <v>119</v>
      </c>
      <c r="P482" t="s">
        <v>30</v>
      </c>
      <c r="Q482" s="4">
        <v>44714</v>
      </c>
      <c r="S482" t="s">
        <v>74</v>
      </c>
      <c r="T482" t="s">
        <v>229</v>
      </c>
      <c r="U482" t="s">
        <v>229</v>
      </c>
      <c r="V482">
        <v>0</v>
      </c>
      <c r="AD482">
        <v>1</v>
      </c>
      <c r="AF482">
        <v>30</v>
      </c>
      <c r="AI482">
        <v>242</v>
      </c>
    </row>
    <row r="483" spans="1:35" x14ac:dyDescent="0.35">
      <c r="A483" t="s">
        <v>192</v>
      </c>
      <c r="B483" t="s">
        <v>24</v>
      </c>
      <c r="C483" t="s">
        <v>33</v>
      </c>
      <c r="D483" t="s">
        <v>34</v>
      </c>
      <c r="E483" t="s">
        <v>309</v>
      </c>
      <c r="F483" t="s">
        <v>310</v>
      </c>
      <c r="G483" s="20" t="s">
        <v>38</v>
      </c>
      <c r="H483" s="20" t="s">
        <v>39</v>
      </c>
      <c r="I483" t="str">
        <f t="shared" si="12"/>
        <v>Apis mellifera</v>
      </c>
      <c r="J483" t="s">
        <v>70</v>
      </c>
      <c r="K483" t="s">
        <v>332</v>
      </c>
      <c r="L483" t="s">
        <v>275</v>
      </c>
      <c r="M483" t="s">
        <v>157</v>
      </c>
      <c r="N483">
        <v>401</v>
      </c>
      <c r="O483" t="s">
        <v>155</v>
      </c>
      <c r="P483" t="s">
        <v>154</v>
      </c>
      <c r="Q483" s="6">
        <v>45216</v>
      </c>
      <c r="R483">
        <v>1</v>
      </c>
      <c r="U483" t="s">
        <v>225</v>
      </c>
      <c r="AD483">
        <v>2</v>
      </c>
      <c r="AE483" s="7" t="s">
        <v>177</v>
      </c>
      <c r="AF483">
        <v>33</v>
      </c>
      <c r="AG483">
        <v>42</v>
      </c>
      <c r="AH483">
        <v>2</v>
      </c>
      <c r="AI483">
        <v>262</v>
      </c>
    </row>
    <row r="484" spans="1:35" x14ac:dyDescent="0.35">
      <c r="A484" t="s">
        <v>192</v>
      </c>
      <c r="B484" t="s">
        <v>24</v>
      </c>
      <c r="C484" t="s">
        <v>33</v>
      </c>
      <c r="D484" t="s">
        <v>34</v>
      </c>
      <c r="E484" t="s">
        <v>309</v>
      </c>
      <c r="F484" t="s">
        <v>310</v>
      </c>
      <c r="G484" s="20" t="s">
        <v>38</v>
      </c>
      <c r="H484" s="20" t="s">
        <v>39</v>
      </c>
      <c r="I484" t="str">
        <f t="shared" si="12"/>
        <v>Apis mellifera</v>
      </c>
      <c r="J484" t="s">
        <v>70</v>
      </c>
      <c r="K484" t="s">
        <v>332</v>
      </c>
      <c r="L484" t="s">
        <v>275</v>
      </c>
      <c r="M484" t="s">
        <v>157</v>
      </c>
      <c r="N484">
        <v>402</v>
      </c>
      <c r="O484" t="s">
        <v>155</v>
      </c>
      <c r="P484" t="s">
        <v>154</v>
      </c>
      <c r="Q484" s="6">
        <v>45216</v>
      </c>
      <c r="R484">
        <v>1</v>
      </c>
      <c r="U484" t="s">
        <v>225</v>
      </c>
      <c r="AD484">
        <v>1</v>
      </c>
      <c r="AE484" s="7" t="s">
        <v>178</v>
      </c>
      <c r="AF484">
        <v>33</v>
      </c>
      <c r="AG484">
        <v>42</v>
      </c>
      <c r="AH484">
        <v>2</v>
      </c>
      <c r="AI484">
        <v>263</v>
      </c>
    </row>
    <row r="485" spans="1:35" x14ac:dyDescent="0.35">
      <c r="A485" t="s">
        <v>192</v>
      </c>
      <c r="B485" t="s">
        <v>24</v>
      </c>
      <c r="C485" t="s">
        <v>33</v>
      </c>
      <c r="D485" t="s">
        <v>34</v>
      </c>
      <c r="E485" t="s">
        <v>309</v>
      </c>
      <c r="F485" t="s">
        <v>310</v>
      </c>
      <c r="G485" s="20" t="s">
        <v>38</v>
      </c>
      <c r="H485" s="20" t="s">
        <v>39</v>
      </c>
      <c r="I485" t="str">
        <f t="shared" si="12"/>
        <v>Apis mellifera</v>
      </c>
      <c r="J485" t="s">
        <v>70</v>
      </c>
      <c r="K485" t="s">
        <v>332</v>
      </c>
      <c r="L485" t="s">
        <v>275</v>
      </c>
      <c r="M485" t="s">
        <v>157</v>
      </c>
      <c r="N485">
        <v>403</v>
      </c>
      <c r="O485" t="s">
        <v>155</v>
      </c>
      <c r="P485" t="s">
        <v>154</v>
      </c>
      <c r="Q485" s="6">
        <v>45216</v>
      </c>
      <c r="R485">
        <v>1</v>
      </c>
      <c r="U485" t="s">
        <v>225</v>
      </c>
      <c r="AD485">
        <v>2</v>
      </c>
      <c r="AE485" s="7" t="s">
        <v>179</v>
      </c>
      <c r="AF485">
        <v>33</v>
      </c>
      <c r="AG485">
        <v>42</v>
      </c>
      <c r="AH485">
        <v>2</v>
      </c>
      <c r="AI485">
        <v>264</v>
      </c>
    </row>
    <row r="486" spans="1:35" x14ac:dyDescent="0.35">
      <c r="A486" t="s">
        <v>192</v>
      </c>
      <c r="B486" t="s">
        <v>24</v>
      </c>
      <c r="C486" t="s">
        <v>33</v>
      </c>
      <c r="D486" t="s">
        <v>34</v>
      </c>
      <c r="E486" t="s">
        <v>309</v>
      </c>
      <c r="F486" t="s">
        <v>310</v>
      </c>
      <c r="G486" s="20" t="s">
        <v>38</v>
      </c>
      <c r="H486" s="20" t="s">
        <v>39</v>
      </c>
      <c r="I486" t="str">
        <f t="shared" ref="I486:I549" si="13">G486&amp;" "&amp;H486</f>
        <v>Apis mellifera</v>
      </c>
      <c r="J486" t="s">
        <v>70</v>
      </c>
      <c r="K486" t="s">
        <v>332</v>
      </c>
      <c r="L486" t="s">
        <v>275</v>
      </c>
      <c r="M486" t="s">
        <v>157</v>
      </c>
      <c r="N486">
        <v>404</v>
      </c>
      <c r="O486" t="s">
        <v>155</v>
      </c>
      <c r="P486" t="s">
        <v>154</v>
      </c>
      <c r="Q486" s="6">
        <v>45216</v>
      </c>
      <c r="R486">
        <v>1</v>
      </c>
      <c r="U486" t="s">
        <v>225</v>
      </c>
      <c r="AD486">
        <v>1</v>
      </c>
      <c r="AE486" s="7" t="s">
        <v>178</v>
      </c>
      <c r="AF486">
        <v>33</v>
      </c>
      <c r="AG486">
        <v>42</v>
      </c>
      <c r="AH486">
        <v>2</v>
      </c>
      <c r="AI486">
        <v>265</v>
      </c>
    </row>
    <row r="487" spans="1:35" x14ac:dyDescent="0.35">
      <c r="A487" t="s">
        <v>192</v>
      </c>
      <c r="B487" t="s">
        <v>24</v>
      </c>
      <c r="C487" t="s">
        <v>33</v>
      </c>
      <c r="D487" t="s">
        <v>34</v>
      </c>
      <c r="E487" t="s">
        <v>309</v>
      </c>
      <c r="F487" t="s">
        <v>310</v>
      </c>
      <c r="G487" s="20" t="s">
        <v>38</v>
      </c>
      <c r="H487" s="20" t="s">
        <v>39</v>
      </c>
      <c r="I487" t="str">
        <f t="shared" si="13"/>
        <v>Apis mellifera</v>
      </c>
      <c r="J487" t="s">
        <v>70</v>
      </c>
      <c r="K487" t="s">
        <v>332</v>
      </c>
      <c r="L487" t="s">
        <v>275</v>
      </c>
      <c r="M487" t="s">
        <v>157</v>
      </c>
      <c r="N487">
        <v>405</v>
      </c>
      <c r="O487" t="s">
        <v>155</v>
      </c>
      <c r="P487" t="s">
        <v>154</v>
      </c>
      <c r="Q487" s="6">
        <v>45216</v>
      </c>
      <c r="R487">
        <v>1</v>
      </c>
      <c r="U487" t="s">
        <v>225</v>
      </c>
      <c r="AD487">
        <v>2</v>
      </c>
      <c r="AE487" s="7" t="s">
        <v>178</v>
      </c>
      <c r="AF487">
        <v>33</v>
      </c>
      <c r="AG487">
        <v>42</v>
      </c>
      <c r="AH487">
        <v>2</v>
      </c>
      <c r="AI487">
        <v>266</v>
      </c>
    </row>
    <row r="488" spans="1:35" x14ac:dyDescent="0.35">
      <c r="A488" t="s">
        <v>192</v>
      </c>
      <c r="B488" t="s">
        <v>24</v>
      </c>
      <c r="C488" t="s">
        <v>33</v>
      </c>
      <c r="D488" t="s">
        <v>34</v>
      </c>
      <c r="E488" t="s">
        <v>309</v>
      </c>
      <c r="F488" t="s">
        <v>310</v>
      </c>
      <c r="G488" s="20" t="s">
        <v>38</v>
      </c>
      <c r="H488" s="20" t="s">
        <v>39</v>
      </c>
      <c r="I488" t="str">
        <f t="shared" si="13"/>
        <v>Apis mellifera</v>
      </c>
      <c r="J488" t="s">
        <v>70</v>
      </c>
      <c r="K488" t="s">
        <v>332</v>
      </c>
      <c r="L488" t="s">
        <v>275</v>
      </c>
      <c r="M488" t="s">
        <v>157</v>
      </c>
      <c r="N488">
        <v>406</v>
      </c>
      <c r="O488" t="s">
        <v>155</v>
      </c>
      <c r="P488" t="s">
        <v>154</v>
      </c>
      <c r="Q488" s="6">
        <v>45216</v>
      </c>
      <c r="R488">
        <v>1</v>
      </c>
      <c r="U488" t="s">
        <v>225</v>
      </c>
      <c r="AD488">
        <v>2</v>
      </c>
      <c r="AE488" s="7" t="s">
        <v>177</v>
      </c>
      <c r="AF488">
        <v>33</v>
      </c>
      <c r="AG488">
        <v>42</v>
      </c>
      <c r="AH488">
        <v>2</v>
      </c>
      <c r="AI488">
        <v>267</v>
      </c>
    </row>
    <row r="489" spans="1:35" x14ac:dyDescent="0.35">
      <c r="A489" t="s">
        <v>192</v>
      </c>
      <c r="B489" t="s">
        <v>24</v>
      </c>
      <c r="C489" t="s">
        <v>33</v>
      </c>
      <c r="D489" t="s">
        <v>34</v>
      </c>
      <c r="E489" t="s">
        <v>309</v>
      </c>
      <c r="F489" t="s">
        <v>310</v>
      </c>
      <c r="G489" s="20" t="s">
        <v>38</v>
      </c>
      <c r="H489" s="20" t="s">
        <v>39</v>
      </c>
      <c r="I489" t="str">
        <f t="shared" si="13"/>
        <v>Apis mellifera</v>
      </c>
      <c r="J489" t="s">
        <v>70</v>
      </c>
      <c r="K489" t="s">
        <v>332</v>
      </c>
      <c r="L489" t="s">
        <v>275</v>
      </c>
      <c r="M489" t="s">
        <v>157</v>
      </c>
      <c r="N489">
        <v>407</v>
      </c>
      <c r="O489" t="s">
        <v>155</v>
      </c>
      <c r="P489" t="s">
        <v>154</v>
      </c>
      <c r="Q489" s="6">
        <v>45216</v>
      </c>
      <c r="R489">
        <v>1</v>
      </c>
      <c r="U489" t="s">
        <v>225</v>
      </c>
      <c r="AD489">
        <v>1</v>
      </c>
      <c r="AE489" s="7" t="s">
        <v>178</v>
      </c>
      <c r="AF489">
        <v>33</v>
      </c>
      <c r="AG489">
        <v>42</v>
      </c>
      <c r="AH489">
        <v>2</v>
      </c>
      <c r="AI489">
        <v>268</v>
      </c>
    </row>
    <row r="490" spans="1:35" x14ac:dyDescent="0.35">
      <c r="A490" t="s">
        <v>192</v>
      </c>
      <c r="B490" t="s">
        <v>24</v>
      </c>
      <c r="C490" t="s">
        <v>33</v>
      </c>
      <c r="D490" t="s">
        <v>34</v>
      </c>
      <c r="E490" t="s">
        <v>309</v>
      </c>
      <c r="F490" t="s">
        <v>310</v>
      </c>
      <c r="G490" s="20" t="s">
        <v>38</v>
      </c>
      <c r="H490" s="20" t="s">
        <v>39</v>
      </c>
      <c r="I490" t="str">
        <f t="shared" si="13"/>
        <v>Apis mellifera</v>
      </c>
      <c r="J490" t="s">
        <v>70</v>
      </c>
      <c r="K490" t="s">
        <v>332</v>
      </c>
      <c r="L490" t="s">
        <v>275</v>
      </c>
      <c r="M490" t="s">
        <v>157</v>
      </c>
      <c r="N490">
        <v>408</v>
      </c>
      <c r="O490" t="s">
        <v>155</v>
      </c>
      <c r="P490" t="s">
        <v>154</v>
      </c>
      <c r="Q490" s="6">
        <v>45216</v>
      </c>
      <c r="R490">
        <v>1</v>
      </c>
      <c r="U490" t="s">
        <v>225</v>
      </c>
      <c r="AD490">
        <v>4</v>
      </c>
      <c r="AE490" s="7" t="s">
        <v>178</v>
      </c>
      <c r="AF490">
        <v>33</v>
      </c>
      <c r="AG490">
        <v>42</v>
      </c>
      <c r="AH490">
        <v>2</v>
      </c>
      <c r="AI490">
        <v>269</v>
      </c>
    </row>
    <row r="491" spans="1:35" x14ac:dyDescent="0.35">
      <c r="A491" t="s">
        <v>192</v>
      </c>
      <c r="B491" t="s">
        <v>24</v>
      </c>
      <c r="C491" t="s">
        <v>33</v>
      </c>
      <c r="D491" t="s">
        <v>34</v>
      </c>
      <c r="E491" t="s">
        <v>309</v>
      </c>
      <c r="F491" t="s">
        <v>310</v>
      </c>
      <c r="G491" s="20" t="s">
        <v>38</v>
      </c>
      <c r="H491" s="20" t="s">
        <v>39</v>
      </c>
      <c r="I491" t="str">
        <f t="shared" si="13"/>
        <v>Apis mellifera</v>
      </c>
      <c r="J491" t="s">
        <v>70</v>
      </c>
      <c r="K491" t="s">
        <v>332</v>
      </c>
      <c r="L491" t="s">
        <v>275</v>
      </c>
      <c r="M491" t="s">
        <v>157</v>
      </c>
      <c r="N491">
        <v>409</v>
      </c>
      <c r="O491" t="s">
        <v>155</v>
      </c>
      <c r="P491" t="s">
        <v>154</v>
      </c>
      <c r="Q491" s="6">
        <v>45216</v>
      </c>
      <c r="R491">
        <v>1</v>
      </c>
      <c r="U491" t="s">
        <v>225</v>
      </c>
      <c r="AD491">
        <v>2</v>
      </c>
      <c r="AE491" s="7" t="s">
        <v>178</v>
      </c>
      <c r="AF491">
        <v>33</v>
      </c>
      <c r="AG491">
        <v>42</v>
      </c>
      <c r="AH491">
        <v>2</v>
      </c>
      <c r="AI491">
        <v>270</v>
      </c>
    </row>
    <row r="492" spans="1:35" x14ac:dyDescent="0.35">
      <c r="A492" t="s">
        <v>192</v>
      </c>
      <c r="B492" t="s">
        <v>24</v>
      </c>
      <c r="C492" t="s">
        <v>33</v>
      </c>
      <c r="D492" t="s">
        <v>34</v>
      </c>
      <c r="E492" t="s">
        <v>309</v>
      </c>
      <c r="F492" t="s">
        <v>310</v>
      </c>
      <c r="G492" s="20" t="s">
        <v>38</v>
      </c>
      <c r="H492" s="20" t="s">
        <v>39</v>
      </c>
      <c r="I492" t="str">
        <f t="shared" si="13"/>
        <v>Apis mellifera</v>
      </c>
      <c r="J492" t="s">
        <v>70</v>
      </c>
      <c r="K492" t="s">
        <v>332</v>
      </c>
      <c r="L492" t="s">
        <v>275</v>
      </c>
      <c r="M492" t="s">
        <v>157</v>
      </c>
      <c r="N492">
        <v>410</v>
      </c>
      <c r="O492" t="s">
        <v>155</v>
      </c>
      <c r="P492" t="s">
        <v>154</v>
      </c>
      <c r="Q492" s="6">
        <v>45216</v>
      </c>
      <c r="R492">
        <v>1</v>
      </c>
      <c r="U492" t="s">
        <v>225</v>
      </c>
      <c r="AD492">
        <v>1</v>
      </c>
      <c r="AE492" s="7" t="s">
        <v>179</v>
      </c>
      <c r="AF492">
        <v>33</v>
      </c>
      <c r="AG492">
        <v>42</v>
      </c>
      <c r="AH492">
        <v>2</v>
      </c>
      <c r="AI492">
        <v>271</v>
      </c>
    </row>
    <row r="493" spans="1:35" x14ac:dyDescent="0.35">
      <c r="A493" t="s">
        <v>192</v>
      </c>
      <c r="B493" t="s">
        <v>24</v>
      </c>
      <c r="C493" t="s">
        <v>33</v>
      </c>
      <c r="D493" t="s">
        <v>34</v>
      </c>
      <c r="E493" t="s">
        <v>309</v>
      </c>
      <c r="F493" t="s">
        <v>310</v>
      </c>
      <c r="G493" s="20" t="s">
        <v>38</v>
      </c>
      <c r="H493" s="20" t="s">
        <v>39</v>
      </c>
      <c r="I493" t="str">
        <f t="shared" si="13"/>
        <v>Apis mellifera</v>
      </c>
      <c r="J493" t="s">
        <v>70</v>
      </c>
      <c r="K493" t="s">
        <v>332</v>
      </c>
      <c r="L493" t="s">
        <v>275</v>
      </c>
      <c r="M493" t="s">
        <v>157</v>
      </c>
      <c r="N493">
        <v>411</v>
      </c>
      <c r="O493" t="s">
        <v>155</v>
      </c>
      <c r="P493" t="s">
        <v>154</v>
      </c>
      <c r="Q493" s="6">
        <v>45216</v>
      </c>
      <c r="R493">
        <v>1</v>
      </c>
      <c r="U493" t="s">
        <v>225</v>
      </c>
      <c r="AD493">
        <v>1</v>
      </c>
      <c r="AE493" s="7" t="s">
        <v>179</v>
      </c>
      <c r="AF493">
        <v>33</v>
      </c>
      <c r="AG493">
        <v>42</v>
      </c>
      <c r="AH493">
        <v>2</v>
      </c>
      <c r="AI493">
        <v>272</v>
      </c>
    </row>
    <row r="494" spans="1:35" x14ac:dyDescent="0.35">
      <c r="A494" t="s">
        <v>192</v>
      </c>
      <c r="B494" t="s">
        <v>24</v>
      </c>
      <c r="C494" t="s">
        <v>33</v>
      </c>
      <c r="D494" t="s">
        <v>34</v>
      </c>
      <c r="E494" t="s">
        <v>309</v>
      </c>
      <c r="F494" t="s">
        <v>310</v>
      </c>
      <c r="G494" s="20" t="s">
        <v>38</v>
      </c>
      <c r="H494" s="20" t="s">
        <v>39</v>
      </c>
      <c r="I494" t="str">
        <f t="shared" si="13"/>
        <v>Apis mellifera</v>
      </c>
      <c r="J494" t="s">
        <v>70</v>
      </c>
      <c r="K494" t="s">
        <v>332</v>
      </c>
      <c r="L494" t="s">
        <v>275</v>
      </c>
      <c r="M494" t="s">
        <v>157</v>
      </c>
      <c r="N494">
        <v>412</v>
      </c>
      <c r="O494" t="s">
        <v>155</v>
      </c>
      <c r="P494" t="s">
        <v>154</v>
      </c>
      <c r="Q494" s="6">
        <v>45216</v>
      </c>
      <c r="R494">
        <v>1</v>
      </c>
      <c r="U494" t="s">
        <v>225</v>
      </c>
      <c r="AD494">
        <v>1</v>
      </c>
      <c r="AE494" s="7" t="s">
        <v>178</v>
      </c>
      <c r="AF494">
        <v>33</v>
      </c>
      <c r="AG494">
        <v>42</v>
      </c>
      <c r="AH494">
        <v>2</v>
      </c>
      <c r="AI494">
        <v>273</v>
      </c>
    </row>
    <row r="495" spans="1:35" x14ac:dyDescent="0.35">
      <c r="A495" t="s">
        <v>192</v>
      </c>
      <c r="B495" t="s">
        <v>24</v>
      </c>
      <c r="C495" t="s">
        <v>33</v>
      </c>
      <c r="D495" t="s">
        <v>34</v>
      </c>
      <c r="E495" t="s">
        <v>309</v>
      </c>
      <c r="F495" t="s">
        <v>310</v>
      </c>
      <c r="G495" s="20" t="s">
        <v>38</v>
      </c>
      <c r="H495" s="20" t="s">
        <v>39</v>
      </c>
      <c r="I495" t="str">
        <f t="shared" si="13"/>
        <v>Apis mellifera</v>
      </c>
      <c r="J495" t="s">
        <v>70</v>
      </c>
      <c r="K495" t="s">
        <v>332</v>
      </c>
      <c r="L495" t="s">
        <v>275</v>
      </c>
      <c r="M495" t="s">
        <v>157</v>
      </c>
      <c r="N495">
        <v>413</v>
      </c>
      <c r="O495" t="s">
        <v>155</v>
      </c>
      <c r="P495" t="s">
        <v>154</v>
      </c>
      <c r="Q495" s="6">
        <v>45216</v>
      </c>
      <c r="R495">
        <v>1</v>
      </c>
      <c r="U495" t="s">
        <v>225</v>
      </c>
      <c r="AD495">
        <v>3</v>
      </c>
      <c r="AE495" s="7" t="s">
        <v>180</v>
      </c>
      <c r="AF495">
        <v>33</v>
      </c>
      <c r="AG495">
        <v>42</v>
      </c>
      <c r="AH495">
        <v>2</v>
      </c>
      <c r="AI495">
        <v>274</v>
      </c>
    </row>
    <row r="496" spans="1:35" x14ac:dyDescent="0.35">
      <c r="A496" t="s">
        <v>192</v>
      </c>
      <c r="B496" t="s">
        <v>24</v>
      </c>
      <c r="C496" t="s">
        <v>33</v>
      </c>
      <c r="D496" t="s">
        <v>34</v>
      </c>
      <c r="E496" t="s">
        <v>309</v>
      </c>
      <c r="F496" t="s">
        <v>310</v>
      </c>
      <c r="G496" s="20" t="s">
        <v>38</v>
      </c>
      <c r="H496" s="20" t="s">
        <v>39</v>
      </c>
      <c r="I496" t="str">
        <f t="shared" si="13"/>
        <v>Apis mellifera</v>
      </c>
      <c r="J496" t="s">
        <v>70</v>
      </c>
      <c r="K496" t="s">
        <v>332</v>
      </c>
      <c r="L496" t="s">
        <v>275</v>
      </c>
      <c r="M496" t="s">
        <v>157</v>
      </c>
      <c r="N496">
        <v>414</v>
      </c>
      <c r="O496" t="s">
        <v>155</v>
      </c>
      <c r="P496" t="s">
        <v>154</v>
      </c>
      <c r="Q496" s="6">
        <v>45216</v>
      </c>
      <c r="R496">
        <v>1</v>
      </c>
      <c r="U496" t="s">
        <v>225</v>
      </c>
      <c r="AD496">
        <v>2</v>
      </c>
      <c r="AE496" s="7" t="s">
        <v>178</v>
      </c>
      <c r="AF496">
        <v>33</v>
      </c>
      <c r="AG496">
        <v>42</v>
      </c>
      <c r="AH496">
        <v>2</v>
      </c>
      <c r="AI496">
        <v>275</v>
      </c>
    </row>
    <row r="497" spans="1:35" x14ac:dyDescent="0.35">
      <c r="A497" t="s">
        <v>192</v>
      </c>
      <c r="B497" t="s">
        <v>24</v>
      </c>
      <c r="C497" t="s">
        <v>33</v>
      </c>
      <c r="D497" t="s">
        <v>34</v>
      </c>
      <c r="E497" t="s">
        <v>309</v>
      </c>
      <c r="F497" t="s">
        <v>310</v>
      </c>
      <c r="G497" s="20" t="s">
        <v>38</v>
      </c>
      <c r="H497" s="20" t="s">
        <v>39</v>
      </c>
      <c r="I497" t="str">
        <f t="shared" si="13"/>
        <v>Apis mellifera</v>
      </c>
      <c r="J497" t="s">
        <v>70</v>
      </c>
      <c r="K497" t="s">
        <v>332</v>
      </c>
      <c r="L497" t="s">
        <v>275</v>
      </c>
      <c r="M497" t="s">
        <v>157</v>
      </c>
      <c r="N497">
        <v>415</v>
      </c>
      <c r="O497" t="s">
        <v>155</v>
      </c>
      <c r="P497" t="s">
        <v>154</v>
      </c>
      <c r="Q497" s="6">
        <v>45216</v>
      </c>
      <c r="R497">
        <v>1</v>
      </c>
      <c r="U497" t="s">
        <v>225</v>
      </c>
      <c r="AD497">
        <v>1</v>
      </c>
      <c r="AE497" s="7" t="s">
        <v>178</v>
      </c>
      <c r="AF497">
        <v>33</v>
      </c>
      <c r="AG497">
        <v>42</v>
      </c>
      <c r="AH497">
        <v>2</v>
      </c>
      <c r="AI497">
        <v>276</v>
      </c>
    </row>
    <row r="498" spans="1:35" x14ac:dyDescent="0.35">
      <c r="A498" t="s">
        <v>192</v>
      </c>
      <c r="B498" t="s">
        <v>24</v>
      </c>
      <c r="C498" t="s">
        <v>33</v>
      </c>
      <c r="D498" t="s">
        <v>34</v>
      </c>
      <c r="E498" t="s">
        <v>309</v>
      </c>
      <c r="F498" t="s">
        <v>310</v>
      </c>
      <c r="G498" s="20" t="s">
        <v>38</v>
      </c>
      <c r="H498" s="20" t="s">
        <v>39</v>
      </c>
      <c r="I498" t="str">
        <f t="shared" si="13"/>
        <v>Apis mellifera</v>
      </c>
      <c r="J498" t="s">
        <v>70</v>
      </c>
      <c r="K498" t="s">
        <v>332</v>
      </c>
      <c r="L498" t="s">
        <v>275</v>
      </c>
      <c r="M498" t="s">
        <v>157</v>
      </c>
      <c r="N498">
        <v>416</v>
      </c>
      <c r="O498" t="s">
        <v>155</v>
      </c>
      <c r="P498" t="s">
        <v>154</v>
      </c>
      <c r="Q498" s="6">
        <v>45216</v>
      </c>
      <c r="R498">
        <v>1</v>
      </c>
      <c r="U498" t="s">
        <v>225</v>
      </c>
      <c r="AD498">
        <v>1</v>
      </c>
      <c r="AE498" s="7" t="s">
        <v>177</v>
      </c>
      <c r="AF498">
        <v>33</v>
      </c>
      <c r="AG498">
        <v>42</v>
      </c>
      <c r="AH498">
        <v>2</v>
      </c>
      <c r="AI498">
        <v>277</v>
      </c>
    </row>
    <row r="499" spans="1:35" x14ac:dyDescent="0.35">
      <c r="A499" t="s">
        <v>192</v>
      </c>
      <c r="B499" t="s">
        <v>24</v>
      </c>
      <c r="C499" t="s">
        <v>33</v>
      </c>
      <c r="D499" t="s">
        <v>34</v>
      </c>
      <c r="E499" t="s">
        <v>309</v>
      </c>
      <c r="F499" t="s">
        <v>310</v>
      </c>
      <c r="G499" s="20" t="s">
        <v>38</v>
      </c>
      <c r="H499" s="20" t="s">
        <v>39</v>
      </c>
      <c r="I499" t="str">
        <f t="shared" si="13"/>
        <v>Apis mellifera</v>
      </c>
      <c r="J499" t="s">
        <v>70</v>
      </c>
      <c r="K499" t="s">
        <v>332</v>
      </c>
      <c r="L499" t="s">
        <v>275</v>
      </c>
      <c r="M499" t="s">
        <v>157</v>
      </c>
      <c r="N499">
        <v>417</v>
      </c>
      <c r="O499" t="s">
        <v>155</v>
      </c>
      <c r="P499" t="s">
        <v>154</v>
      </c>
      <c r="Q499" s="6">
        <v>45216</v>
      </c>
      <c r="R499">
        <v>1</v>
      </c>
      <c r="U499" t="s">
        <v>225</v>
      </c>
      <c r="AD499">
        <v>1</v>
      </c>
      <c r="AE499" s="7" t="s">
        <v>180</v>
      </c>
      <c r="AF499">
        <v>33</v>
      </c>
      <c r="AG499">
        <v>42</v>
      </c>
      <c r="AH499">
        <v>2</v>
      </c>
      <c r="AI499">
        <v>278</v>
      </c>
    </row>
    <row r="500" spans="1:35" x14ac:dyDescent="0.35">
      <c r="A500" t="s">
        <v>192</v>
      </c>
      <c r="B500" t="s">
        <v>24</v>
      </c>
      <c r="C500" t="s">
        <v>33</v>
      </c>
      <c r="D500" t="s">
        <v>34</v>
      </c>
      <c r="E500" t="s">
        <v>309</v>
      </c>
      <c r="F500" t="s">
        <v>310</v>
      </c>
      <c r="G500" s="20" t="s">
        <v>38</v>
      </c>
      <c r="H500" s="20" t="s">
        <v>39</v>
      </c>
      <c r="I500" t="str">
        <f t="shared" si="13"/>
        <v>Apis mellifera</v>
      </c>
      <c r="J500" t="s">
        <v>70</v>
      </c>
      <c r="K500" t="s">
        <v>332</v>
      </c>
      <c r="L500" t="s">
        <v>275</v>
      </c>
      <c r="M500" t="s">
        <v>157</v>
      </c>
      <c r="N500">
        <v>418</v>
      </c>
      <c r="O500" t="s">
        <v>155</v>
      </c>
      <c r="P500" t="s">
        <v>154</v>
      </c>
      <c r="Q500" s="6">
        <v>45216</v>
      </c>
      <c r="R500">
        <v>1</v>
      </c>
      <c r="U500" t="s">
        <v>225</v>
      </c>
      <c r="AD500">
        <v>1</v>
      </c>
      <c r="AE500" s="7" t="s">
        <v>178</v>
      </c>
      <c r="AF500">
        <v>33</v>
      </c>
      <c r="AG500">
        <v>42</v>
      </c>
      <c r="AH500">
        <v>2</v>
      </c>
      <c r="AI500">
        <v>279</v>
      </c>
    </row>
    <row r="501" spans="1:35" x14ac:dyDescent="0.35">
      <c r="A501" t="s">
        <v>192</v>
      </c>
      <c r="B501" t="s">
        <v>24</v>
      </c>
      <c r="C501" t="s">
        <v>33</v>
      </c>
      <c r="D501" t="s">
        <v>34</v>
      </c>
      <c r="E501" t="s">
        <v>309</v>
      </c>
      <c r="F501" t="s">
        <v>310</v>
      </c>
      <c r="G501" s="20" t="s">
        <v>38</v>
      </c>
      <c r="H501" s="20" t="s">
        <v>39</v>
      </c>
      <c r="I501" t="str">
        <f t="shared" si="13"/>
        <v>Apis mellifera</v>
      </c>
      <c r="J501" t="s">
        <v>70</v>
      </c>
      <c r="K501" t="s">
        <v>332</v>
      </c>
      <c r="L501" t="s">
        <v>275</v>
      </c>
      <c r="M501" t="s">
        <v>157</v>
      </c>
      <c r="N501">
        <v>419</v>
      </c>
      <c r="O501" t="s">
        <v>155</v>
      </c>
      <c r="P501" t="s">
        <v>154</v>
      </c>
      <c r="Q501" s="6">
        <v>45216</v>
      </c>
      <c r="R501">
        <v>1</v>
      </c>
      <c r="U501" t="s">
        <v>225</v>
      </c>
      <c r="AD501">
        <v>1</v>
      </c>
      <c r="AE501" s="7" t="s">
        <v>178</v>
      </c>
      <c r="AF501">
        <v>33</v>
      </c>
      <c r="AG501">
        <v>42</v>
      </c>
      <c r="AH501">
        <v>2</v>
      </c>
      <c r="AI501">
        <v>280</v>
      </c>
    </row>
    <row r="502" spans="1:35" x14ac:dyDescent="0.35">
      <c r="A502" t="s">
        <v>192</v>
      </c>
      <c r="B502" t="s">
        <v>24</v>
      </c>
      <c r="C502" t="s">
        <v>33</v>
      </c>
      <c r="D502" t="s">
        <v>34</v>
      </c>
      <c r="E502" t="s">
        <v>309</v>
      </c>
      <c r="F502" t="s">
        <v>310</v>
      </c>
      <c r="G502" s="20" t="s">
        <v>38</v>
      </c>
      <c r="H502" s="20" t="s">
        <v>39</v>
      </c>
      <c r="I502" t="str">
        <f t="shared" si="13"/>
        <v>Apis mellifera</v>
      </c>
      <c r="J502" t="s">
        <v>70</v>
      </c>
      <c r="K502" t="s">
        <v>332</v>
      </c>
      <c r="L502" t="s">
        <v>275</v>
      </c>
      <c r="M502" t="s">
        <v>157</v>
      </c>
      <c r="N502">
        <v>420</v>
      </c>
      <c r="O502" t="s">
        <v>155</v>
      </c>
      <c r="P502" t="s">
        <v>154</v>
      </c>
      <c r="Q502" s="6">
        <v>45216</v>
      </c>
      <c r="R502">
        <v>1</v>
      </c>
      <c r="U502" t="s">
        <v>225</v>
      </c>
      <c r="AD502">
        <v>1</v>
      </c>
      <c r="AE502" s="7" t="s">
        <v>177</v>
      </c>
      <c r="AF502">
        <v>17</v>
      </c>
      <c r="AG502">
        <v>8</v>
      </c>
      <c r="AH502">
        <v>10</v>
      </c>
      <c r="AI502">
        <v>281</v>
      </c>
    </row>
    <row r="503" spans="1:35" x14ac:dyDescent="0.35">
      <c r="A503" t="s">
        <v>192</v>
      </c>
      <c r="B503" t="s">
        <v>24</v>
      </c>
      <c r="C503" t="s">
        <v>33</v>
      </c>
      <c r="D503" t="s">
        <v>34</v>
      </c>
      <c r="E503" t="s">
        <v>309</v>
      </c>
      <c r="F503" t="s">
        <v>310</v>
      </c>
      <c r="G503" s="20" t="s">
        <v>38</v>
      </c>
      <c r="H503" s="20" t="s">
        <v>39</v>
      </c>
      <c r="I503" t="str">
        <f t="shared" si="13"/>
        <v>Apis mellifera</v>
      </c>
      <c r="J503" t="s">
        <v>70</v>
      </c>
      <c r="K503" t="s">
        <v>332</v>
      </c>
      <c r="L503" t="s">
        <v>275</v>
      </c>
      <c r="M503" t="s">
        <v>157</v>
      </c>
      <c r="N503">
        <v>421</v>
      </c>
      <c r="O503" t="s">
        <v>155</v>
      </c>
      <c r="P503" t="s">
        <v>154</v>
      </c>
      <c r="Q503" s="6">
        <v>45216</v>
      </c>
      <c r="R503">
        <v>1</v>
      </c>
      <c r="U503" t="s">
        <v>225</v>
      </c>
      <c r="AD503">
        <v>1</v>
      </c>
      <c r="AE503" s="7" t="s">
        <v>177</v>
      </c>
      <c r="AF503">
        <v>35</v>
      </c>
      <c r="AG503">
        <v>24</v>
      </c>
      <c r="AH503">
        <v>0</v>
      </c>
      <c r="AI503">
        <v>282</v>
      </c>
    </row>
    <row r="504" spans="1:35" x14ac:dyDescent="0.35">
      <c r="A504" t="s">
        <v>192</v>
      </c>
      <c r="B504" t="s">
        <v>24</v>
      </c>
      <c r="C504" t="s">
        <v>33</v>
      </c>
      <c r="D504" t="s">
        <v>34</v>
      </c>
      <c r="E504" t="s">
        <v>309</v>
      </c>
      <c r="F504" t="s">
        <v>310</v>
      </c>
      <c r="G504" s="20" t="s">
        <v>38</v>
      </c>
      <c r="H504" s="20" t="s">
        <v>39</v>
      </c>
      <c r="I504" t="str">
        <f t="shared" si="13"/>
        <v>Apis mellifera</v>
      </c>
      <c r="J504" t="s">
        <v>70</v>
      </c>
      <c r="K504" t="s">
        <v>332</v>
      </c>
      <c r="L504" t="s">
        <v>275</v>
      </c>
      <c r="M504" t="s">
        <v>157</v>
      </c>
      <c r="N504">
        <v>422</v>
      </c>
      <c r="O504" t="s">
        <v>155</v>
      </c>
      <c r="P504" t="s">
        <v>154</v>
      </c>
      <c r="Q504" s="6">
        <v>45216</v>
      </c>
      <c r="R504">
        <v>1</v>
      </c>
      <c r="U504" t="s">
        <v>225</v>
      </c>
      <c r="AD504">
        <v>1</v>
      </c>
      <c r="AE504" s="7" t="s">
        <v>178</v>
      </c>
      <c r="AF504">
        <v>35</v>
      </c>
      <c r="AG504">
        <v>24</v>
      </c>
      <c r="AH504">
        <v>0</v>
      </c>
      <c r="AI504">
        <v>283</v>
      </c>
    </row>
    <row r="505" spans="1:35" x14ac:dyDescent="0.35">
      <c r="A505" t="s">
        <v>192</v>
      </c>
      <c r="B505" t="s">
        <v>24</v>
      </c>
      <c r="C505" t="s">
        <v>33</v>
      </c>
      <c r="D505" t="s">
        <v>34</v>
      </c>
      <c r="E505" t="s">
        <v>309</v>
      </c>
      <c r="F505" t="s">
        <v>310</v>
      </c>
      <c r="G505" s="20" t="s">
        <v>38</v>
      </c>
      <c r="H505" s="20" t="s">
        <v>39</v>
      </c>
      <c r="I505" t="str">
        <f t="shared" si="13"/>
        <v>Apis mellifera</v>
      </c>
      <c r="J505" t="s">
        <v>70</v>
      </c>
      <c r="K505" t="s">
        <v>332</v>
      </c>
      <c r="L505" t="s">
        <v>275</v>
      </c>
      <c r="M505" t="s">
        <v>157</v>
      </c>
      <c r="N505">
        <v>423</v>
      </c>
      <c r="O505" t="s">
        <v>155</v>
      </c>
      <c r="P505" t="s">
        <v>154</v>
      </c>
      <c r="Q505" s="6">
        <v>45216</v>
      </c>
      <c r="R505">
        <v>1</v>
      </c>
      <c r="U505" t="s">
        <v>225</v>
      </c>
      <c r="AD505">
        <v>1</v>
      </c>
      <c r="AE505" s="7" t="s">
        <v>178</v>
      </c>
      <c r="AF505">
        <v>35</v>
      </c>
      <c r="AG505">
        <v>24</v>
      </c>
      <c r="AH505">
        <v>0</v>
      </c>
      <c r="AI505">
        <v>284</v>
      </c>
    </row>
    <row r="506" spans="1:35" x14ac:dyDescent="0.35">
      <c r="A506" t="s">
        <v>192</v>
      </c>
      <c r="B506" t="s">
        <v>24</v>
      </c>
      <c r="C506" t="s">
        <v>33</v>
      </c>
      <c r="D506" t="s">
        <v>34</v>
      </c>
      <c r="E506" t="s">
        <v>309</v>
      </c>
      <c r="F506" t="s">
        <v>310</v>
      </c>
      <c r="G506" s="20" t="s">
        <v>38</v>
      </c>
      <c r="H506" s="20" t="s">
        <v>39</v>
      </c>
      <c r="I506" t="str">
        <f t="shared" si="13"/>
        <v>Apis mellifera</v>
      </c>
      <c r="J506" t="s">
        <v>70</v>
      </c>
      <c r="K506" t="s">
        <v>332</v>
      </c>
      <c r="L506" t="s">
        <v>275</v>
      </c>
      <c r="M506" t="s">
        <v>157</v>
      </c>
      <c r="N506">
        <v>424</v>
      </c>
      <c r="O506" t="s">
        <v>155</v>
      </c>
      <c r="P506" t="s">
        <v>154</v>
      </c>
      <c r="Q506" s="6">
        <v>45216</v>
      </c>
      <c r="R506">
        <v>1</v>
      </c>
      <c r="U506" t="s">
        <v>225</v>
      </c>
      <c r="AD506">
        <v>1</v>
      </c>
      <c r="AE506" s="7" t="s">
        <v>178</v>
      </c>
      <c r="AF506">
        <v>35</v>
      </c>
      <c r="AG506">
        <v>24</v>
      </c>
      <c r="AH506">
        <v>0</v>
      </c>
      <c r="AI506">
        <v>285</v>
      </c>
    </row>
    <row r="507" spans="1:35" x14ac:dyDescent="0.35">
      <c r="A507" t="s">
        <v>192</v>
      </c>
      <c r="B507" t="s">
        <v>24</v>
      </c>
      <c r="C507" t="s">
        <v>33</v>
      </c>
      <c r="D507" t="s">
        <v>34</v>
      </c>
      <c r="E507" t="s">
        <v>309</v>
      </c>
      <c r="F507" t="s">
        <v>310</v>
      </c>
      <c r="G507" s="20" t="s">
        <v>38</v>
      </c>
      <c r="H507" s="20" t="s">
        <v>39</v>
      </c>
      <c r="I507" t="str">
        <f t="shared" si="13"/>
        <v>Apis mellifera</v>
      </c>
      <c r="J507" t="s">
        <v>70</v>
      </c>
      <c r="K507" t="s">
        <v>332</v>
      </c>
      <c r="L507" t="s">
        <v>275</v>
      </c>
      <c r="M507" t="s">
        <v>157</v>
      </c>
      <c r="N507">
        <v>425</v>
      </c>
      <c r="O507" t="s">
        <v>155</v>
      </c>
      <c r="P507" t="s">
        <v>154</v>
      </c>
      <c r="Q507" s="6">
        <v>45216</v>
      </c>
      <c r="R507">
        <v>1</v>
      </c>
      <c r="U507" t="s">
        <v>225</v>
      </c>
      <c r="AD507">
        <v>1</v>
      </c>
      <c r="AE507" s="7" t="s">
        <v>178</v>
      </c>
      <c r="AF507">
        <v>35</v>
      </c>
      <c r="AG507">
        <v>24</v>
      </c>
      <c r="AH507">
        <v>0</v>
      </c>
      <c r="AI507">
        <v>286</v>
      </c>
    </row>
    <row r="508" spans="1:35" x14ac:dyDescent="0.35">
      <c r="A508" t="s">
        <v>192</v>
      </c>
      <c r="B508" t="s">
        <v>24</v>
      </c>
      <c r="C508" t="s">
        <v>33</v>
      </c>
      <c r="D508" t="s">
        <v>34</v>
      </c>
      <c r="E508" t="s">
        <v>309</v>
      </c>
      <c r="F508" t="s">
        <v>310</v>
      </c>
      <c r="G508" s="20" t="s">
        <v>38</v>
      </c>
      <c r="H508" s="20" t="s">
        <v>39</v>
      </c>
      <c r="I508" t="str">
        <f t="shared" si="13"/>
        <v>Apis mellifera</v>
      </c>
      <c r="J508" t="s">
        <v>70</v>
      </c>
      <c r="K508" t="s">
        <v>332</v>
      </c>
      <c r="L508" t="s">
        <v>275</v>
      </c>
      <c r="M508" t="s">
        <v>157</v>
      </c>
      <c r="N508">
        <v>426</v>
      </c>
      <c r="O508" t="s">
        <v>155</v>
      </c>
      <c r="P508" t="s">
        <v>154</v>
      </c>
      <c r="Q508" s="6">
        <v>45216</v>
      </c>
      <c r="R508">
        <v>1</v>
      </c>
      <c r="U508" t="s">
        <v>225</v>
      </c>
      <c r="AD508">
        <v>1</v>
      </c>
      <c r="AE508" s="7" t="s">
        <v>177</v>
      </c>
      <c r="AF508">
        <v>35</v>
      </c>
      <c r="AG508">
        <v>24</v>
      </c>
      <c r="AH508">
        <v>0</v>
      </c>
      <c r="AI508">
        <v>287</v>
      </c>
    </row>
    <row r="509" spans="1:35" x14ac:dyDescent="0.35">
      <c r="A509" t="s">
        <v>192</v>
      </c>
      <c r="B509" t="s">
        <v>24</v>
      </c>
      <c r="C509" t="s">
        <v>33</v>
      </c>
      <c r="D509" t="s">
        <v>34</v>
      </c>
      <c r="E509" t="s">
        <v>309</v>
      </c>
      <c r="F509" t="s">
        <v>310</v>
      </c>
      <c r="G509" s="20" t="s">
        <v>38</v>
      </c>
      <c r="H509" s="20" t="s">
        <v>39</v>
      </c>
      <c r="I509" t="str">
        <f t="shared" si="13"/>
        <v>Apis mellifera</v>
      </c>
      <c r="J509" t="s">
        <v>70</v>
      </c>
      <c r="K509" t="s">
        <v>332</v>
      </c>
      <c r="L509" t="s">
        <v>275</v>
      </c>
      <c r="M509" t="s">
        <v>157</v>
      </c>
      <c r="N509">
        <v>427</v>
      </c>
      <c r="O509" t="s">
        <v>155</v>
      </c>
      <c r="P509" t="s">
        <v>154</v>
      </c>
      <c r="Q509" s="6">
        <v>45216</v>
      </c>
      <c r="R509">
        <v>1</v>
      </c>
      <c r="U509" t="s">
        <v>225</v>
      </c>
      <c r="AD509">
        <v>1</v>
      </c>
      <c r="AE509" s="7" t="s">
        <v>180</v>
      </c>
      <c r="AF509">
        <v>35</v>
      </c>
      <c r="AG509">
        <v>24</v>
      </c>
      <c r="AH509">
        <v>0</v>
      </c>
      <c r="AI509">
        <v>288</v>
      </c>
    </row>
    <row r="510" spans="1:35" x14ac:dyDescent="0.35">
      <c r="A510" t="s">
        <v>192</v>
      </c>
      <c r="B510" t="s">
        <v>24</v>
      </c>
      <c r="C510" t="s">
        <v>33</v>
      </c>
      <c r="D510" t="s">
        <v>34</v>
      </c>
      <c r="E510" t="s">
        <v>309</v>
      </c>
      <c r="F510" t="s">
        <v>310</v>
      </c>
      <c r="G510" s="20" t="s">
        <v>38</v>
      </c>
      <c r="H510" s="20" t="s">
        <v>39</v>
      </c>
      <c r="I510" t="str">
        <f t="shared" si="13"/>
        <v>Apis mellifera</v>
      </c>
      <c r="J510" t="s">
        <v>70</v>
      </c>
      <c r="K510" t="s">
        <v>332</v>
      </c>
      <c r="L510" t="s">
        <v>275</v>
      </c>
      <c r="M510" t="s">
        <v>157</v>
      </c>
      <c r="N510">
        <v>428</v>
      </c>
      <c r="O510" t="s">
        <v>155</v>
      </c>
      <c r="P510" t="s">
        <v>154</v>
      </c>
      <c r="Q510" s="6">
        <v>45216</v>
      </c>
      <c r="R510">
        <v>1</v>
      </c>
      <c r="U510" t="s">
        <v>225</v>
      </c>
      <c r="AD510">
        <v>1</v>
      </c>
      <c r="AE510" s="7" t="s">
        <v>180</v>
      </c>
      <c r="AF510">
        <v>35</v>
      </c>
      <c r="AG510">
        <v>24</v>
      </c>
      <c r="AH510">
        <v>0</v>
      </c>
      <c r="AI510">
        <v>289</v>
      </c>
    </row>
    <row r="511" spans="1:35" x14ac:dyDescent="0.35">
      <c r="A511" t="s">
        <v>192</v>
      </c>
      <c r="B511" t="s">
        <v>24</v>
      </c>
      <c r="C511" t="s">
        <v>33</v>
      </c>
      <c r="D511" t="s">
        <v>34</v>
      </c>
      <c r="E511" t="s">
        <v>309</v>
      </c>
      <c r="F511" t="s">
        <v>310</v>
      </c>
      <c r="G511" s="20" t="s">
        <v>38</v>
      </c>
      <c r="H511" s="20" t="s">
        <v>39</v>
      </c>
      <c r="I511" t="str">
        <f t="shared" si="13"/>
        <v>Apis mellifera</v>
      </c>
      <c r="J511" t="s">
        <v>70</v>
      </c>
      <c r="K511" t="s">
        <v>332</v>
      </c>
      <c r="L511" t="s">
        <v>275</v>
      </c>
      <c r="M511" t="s">
        <v>157</v>
      </c>
      <c r="N511">
        <v>429</v>
      </c>
      <c r="O511" t="s">
        <v>155</v>
      </c>
      <c r="P511" t="s">
        <v>154</v>
      </c>
      <c r="Q511" s="6">
        <v>45216</v>
      </c>
      <c r="R511">
        <v>1</v>
      </c>
      <c r="U511" t="s">
        <v>225</v>
      </c>
      <c r="AD511">
        <v>1</v>
      </c>
      <c r="AE511" s="7" t="s">
        <v>178</v>
      </c>
      <c r="AF511">
        <v>35</v>
      </c>
      <c r="AG511">
        <v>24</v>
      </c>
      <c r="AH511">
        <v>0</v>
      </c>
      <c r="AI511">
        <v>290</v>
      </c>
    </row>
    <row r="512" spans="1:35" x14ac:dyDescent="0.35">
      <c r="A512" t="s">
        <v>192</v>
      </c>
      <c r="B512" t="s">
        <v>24</v>
      </c>
      <c r="C512" t="s">
        <v>33</v>
      </c>
      <c r="D512" t="s">
        <v>34</v>
      </c>
      <c r="E512" t="s">
        <v>309</v>
      </c>
      <c r="F512" t="s">
        <v>310</v>
      </c>
      <c r="G512" s="20" t="s">
        <v>38</v>
      </c>
      <c r="H512" s="20" t="s">
        <v>39</v>
      </c>
      <c r="I512" t="str">
        <f t="shared" si="13"/>
        <v>Apis mellifera</v>
      </c>
      <c r="J512" t="s">
        <v>70</v>
      </c>
      <c r="K512" t="s">
        <v>332</v>
      </c>
      <c r="L512" t="s">
        <v>275</v>
      </c>
      <c r="M512" t="s">
        <v>157</v>
      </c>
      <c r="N512">
        <v>430</v>
      </c>
      <c r="O512" t="s">
        <v>155</v>
      </c>
      <c r="P512" t="s">
        <v>154</v>
      </c>
      <c r="Q512" s="6">
        <v>45216</v>
      </c>
      <c r="R512">
        <v>1</v>
      </c>
      <c r="U512" t="s">
        <v>225</v>
      </c>
      <c r="AD512">
        <v>1</v>
      </c>
      <c r="AE512" s="7" t="s">
        <v>179</v>
      </c>
      <c r="AF512">
        <v>35</v>
      </c>
      <c r="AG512">
        <v>24</v>
      </c>
      <c r="AH512">
        <v>0</v>
      </c>
      <c r="AI512">
        <v>291</v>
      </c>
    </row>
    <row r="513" spans="1:35" x14ac:dyDescent="0.35">
      <c r="A513" t="s">
        <v>192</v>
      </c>
      <c r="B513" t="s">
        <v>24</v>
      </c>
      <c r="C513" t="s">
        <v>33</v>
      </c>
      <c r="D513" t="s">
        <v>34</v>
      </c>
      <c r="E513" t="s">
        <v>309</v>
      </c>
      <c r="F513" t="s">
        <v>310</v>
      </c>
      <c r="G513" s="20" t="s">
        <v>38</v>
      </c>
      <c r="H513" s="20" t="s">
        <v>39</v>
      </c>
      <c r="I513" t="str">
        <f t="shared" si="13"/>
        <v>Apis mellifera</v>
      </c>
      <c r="J513" t="s">
        <v>70</v>
      </c>
      <c r="K513" t="s">
        <v>332</v>
      </c>
      <c r="L513" t="s">
        <v>275</v>
      </c>
      <c r="M513" t="s">
        <v>157</v>
      </c>
      <c r="N513">
        <v>431</v>
      </c>
      <c r="O513" t="s">
        <v>155</v>
      </c>
      <c r="P513" t="s">
        <v>154</v>
      </c>
      <c r="Q513" s="6">
        <v>45216</v>
      </c>
      <c r="R513">
        <v>1</v>
      </c>
      <c r="U513" t="s">
        <v>225</v>
      </c>
      <c r="AD513">
        <v>3</v>
      </c>
      <c r="AE513" s="7" t="s">
        <v>180</v>
      </c>
      <c r="AF513">
        <v>35</v>
      </c>
      <c r="AG513">
        <v>24</v>
      </c>
      <c r="AH513">
        <v>0</v>
      </c>
      <c r="AI513">
        <v>292</v>
      </c>
    </row>
    <row r="514" spans="1:35" x14ac:dyDescent="0.35">
      <c r="A514" t="s">
        <v>192</v>
      </c>
      <c r="B514" t="s">
        <v>24</v>
      </c>
      <c r="C514" t="s">
        <v>33</v>
      </c>
      <c r="D514" t="s">
        <v>34</v>
      </c>
      <c r="E514" t="s">
        <v>309</v>
      </c>
      <c r="F514" t="s">
        <v>310</v>
      </c>
      <c r="G514" s="20" t="s">
        <v>38</v>
      </c>
      <c r="H514" s="20" t="s">
        <v>39</v>
      </c>
      <c r="I514" t="str">
        <f t="shared" si="13"/>
        <v>Apis mellifera</v>
      </c>
      <c r="J514" t="s">
        <v>70</v>
      </c>
      <c r="K514" t="s">
        <v>332</v>
      </c>
      <c r="L514" t="s">
        <v>275</v>
      </c>
      <c r="M514" t="s">
        <v>157</v>
      </c>
      <c r="N514">
        <v>432</v>
      </c>
      <c r="O514" t="s">
        <v>155</v>
      </c>
      <c r="P514" t="s">
        <v>154</v>
      </c>
      <c r="Q514" s="6">
        <v>45216</v>
      </c>
      <c r="R514">
        <v>1</v>
      </c>
      <c r="U514" t="s">
        <v>225</v>
      </c>
      <c r="AD514">
        <v>1</v>
      </c>
      <c r="AE514" s="7" t="s">
        <v>178</v>
      </c>
      <c r="AF514">
        <v>35</v>
      </c>
      <c r="AG514">
        <v>24</v>
      </c>
      <c r="AH514">
        <v>0</v>
      </c>
      <c r="AI514">
        <v>293</v>
      </c>
    </row>
    <row r="515" spans="1:35" x14ac:dyDescent="0.35">
      <c r="A515" t="s">
        <v>192</v>
      </c>
      <c r="B515" t="s">
        <v>24</v>
      </c>
      <c r="C515" t="s">
        <v>33</v>
      </c>
      <c r="D515" t="s">
        <v>34</v>
      </c>
      <c r="E515" t="s">
        <v>309</v>
      </c>
      <c r="F515" t="s">
        <v>310</v>
      </c>
      <c r="G515" s="20" t="s">
        <v>38</v>
      </c>
      <c r="H515" s="20" t="s">
        <v>39</v>
      </c>
      <c r="I515" t="str">
        <f t="shared" si="13"/>
        <v>Apis mellifera</v>
      </c>
      <c r="J515" t="s">
        <v>70</v>
      </c>
      <c r="K515" t="s">
        <v>332</v>
      </c>
      <c r="L515" t="s">
        <v>275</v>
      </c>
      <c r="M515" t="s">
        <v>157</v>
      </c>
      <c r="N515">
        <v>433</v>
      </c>
      <c r="O515" t="s">
        <v>155</v>
      </c>
      <c r="P515" t="s">
        <v>154</v>
      </c>
      <c r="Q515" s="6">
        <v>45216</v>
      </c>
      <c r="R515">
        <v>1</v>
      </c>
      <c r="U515" t="s">
        <v>225</v>
      </c>
      <c r="AD515">
        <v>2</v>
      </c>
      <c r="AE515" s="7" t="s">
        <v>177</v>
      </c>
      <c r="AF515">
        <v>35</v>
      </c>
      <c r="AG515">
        <v>24</v>
      </c>
      <c r="AH515">
        <v>0</v>
      </c>
      <c r="AI515">
        <v>294</v>
      </c>
    </row>
    <row r="516" spans="1:35" x14ac:dyDescent="0.35">
      <c r="A516" t="s">
        <v>192</v>
      </c>
      <c r="B516" t="s">
        <v>24</v>
      </c>
      <c r="C516" t="s">
        <v>33</v>
      </c>
      <c r="D516" t="s">
        <v>34</v>
      </c>
      <c r="E516" t="s">
        <v>309</v>
      </c>
      <c r="F516" t="s">
        <v>310</v>
      </c>
      <c r="G516" s="20" t="s">
        <v>38</v>
      </c>
      <c r="H516" s="20" t="s">
        <v>39</v>
      </c>
      <c r="I516" t="str">
        <f t="shared" si="13"/>
        <v>Apis mellifera</v>
      </c>
      <c r="J516" t="s">
        <v>70</v>
      </c>
      <c r="K516" t="s">
        <v>332</v>
      </c>
      <c r="L516" t="s">
        <v>275</v>
      </c>
      <c r="M516" t="s">
        <v>157</v>
      </c>
      <c r="N516">
        <v>434</v>
      </c>
      <c r="O516" t="s">
        <v>155</v>
      </c>
      <c r="P516" t="s">
        <v>154</v>
      </c>
      <c r="Q516" s="6">
        <v>45216</v>
      </c>
      <c r="R516">
        <v>1</v>
      </c>
      <c r="U516" t="s">
        <v>225</v>
      </c>
      <c r="AD516">
        <v>1</v>
      </c>
      <c r="AE516" s="7" t="s">
        <v>178</v>
      </c>
      <c r="AF516">
        <v>35</v>
      </c>
      <c r="AG516">
        <v>24</v>
      </c>
      <c r="AH516">
        <v>0</v>
      </c>
      <c r="AI516">
        <v>295</v>
      </c>
    </row>
    <row r="517" spans="1:35" x14ac:dyDescent="0.35">
      <c r="A517" t="s">
        <v>192</v>
      </c>
      <c r="B517" t="s">
        <v>24</v>
      </c>
      <c r="C517" t="s">
        <v>33</v>
      </c>
      <c r="D517" t="s">
        <v>34</v>
      </c>
      <c r="E517" t="s">
        <v>309</v>
      </c>
      <c r="F517" t="s">
        <v>310</v>
      </c>
      <c r="G517" s="20" t="s">
        <v>38</v>
      </c>
      <c r="H517" s="20" t="s">
        <v>39</v>
      </c>
      <c r="I517" t="str">
        <f t="shared" si="13"/>
        <v>Apis mellifera</v>
      </c>
      <c r="J517" t="s">
        <v>70</v>
      </c>
      <c r="K517" t="s">
        <v>332</v>
      </c>
      <c r="L517" t="s">
        <v>275</v>
      </c>
      <c r="M517" t="s">
        <v>157</v>
      </c>
      <c r="N517">
        <v>435</v>
      </c>
      <c r="O517" t="s">
        <v>155</v>
      </c>
      <c r="P517" t="s">
        <v>154</v>
      </c>
      <c r="Q517" s="6">
        <v>45216</v>
      </c>
      <c r="R517">
        <v>1</v>
      </c>
      <c r="U517" t="s">
        <v>225</v>
      </c>
      <c r="AD517">
        <v>1</v>
      </c>
      <c r="AE517" s="7" t="s">
        <v>178</v>
      </c>
      <c r="AF517">
        <v>35</v>
      </c>
      <c r="AG517">
        <v>24</v>
      </c>
      <c r="AH517">
        <v>0</v>
      </c>
      <c r="AI517">
        <v>296</v>
      </c>
    </row>
    <row r="518" spans="1:35" x14ac:dyDescent="0.35">
      <c r="A518" t="s">
        <v>192</v>
      </c>
      <c r="B518" t="s">
        <v>24</v>
      </c>
      <c r="C518" t="s">
        <v>33</v>
      </c>
      <c r="D518" t="s">
        <v>34</v>
      </c>
      <c r="E518" t="s">
        <v>309</v>
      </c>
      <c r="F518" t="s">
        <v>310</v>
      </c>
      <c r="G518" s="20" t="s">
        <v>38</v>
      </c>
      <c r="H518" s="20" t="s">
        <v>39</v>
      </c>
      <c r="I518" t="str">
        <f t="shared" si="13"/>
        <v>Apis mellifera</v>
      </c>
      <c r="J518" t="s">
        <v>70</v>
      </c>
      <c r="K518" t="s">
        <v>332</v>
      </c>
      <c r="L518" t="s">
        <v>275</v>
      </c>
      <c r="M518" t="s">
        <v>157</v>
      </c>
      <c r="N518">
        <v>436</v>
      </c>
      <c r="O518" t="s">
        <v>155</v>
      </c>
      <c r="P518" t="s">
        <v>154</v>
      </c>
      <c r="Q518" s="6">
        <v>45216</v>
      </c>
      <c r="R518">
        <v>1</v>
      </c>
      <c r="U518" t="s">
        <v>225</v>
      </c>
      <c r="AD518">
        <v>1</v>
      </c>
      <c r="AE518" s="7" t="s">
        <v>178</v>
      </c>
      <c r="AF518">
        <v>35</v>
      </c>
      <c r="AG518">
        <v>24</v>
      </c>
      <c r="AH518">
        <v>0</v>
      </c>
      <c r="AI518">
        <v>297</v>
      </c>
    </row>
    <row r="519" spans="1:35" x14ac:dyDescent="0.35">
      <c r="A519" t="s">
        <v>192</v>
      </c>
      <c r="B519" t="s">
        <v>24</v>
      </c>
      <c r="C519" t="s">
        <v>33</v>
      </c>
      <c r="D519" t="s">
        <v>34</v>
      </c>
      <c r="E519" t="s">
        <v>309</v>
      </c>
      <c r="F519" t="s">
        <v>310</v>
      </c>
      <c r="G519" s="20" t="s">
        <v>38</v>
      </c>
      <c r="H519" s="20" t="s">
        <v>39</v>
      </c>
      <c r="I519" t="str">
        <f t="shared" si="13"/>
        <v>Apis mellifera</v>
      </c>
      <c r="J519" t="s">
        <v>70</v>
      </c>
      <c r="K519" t="s">
        <v>332</v>
      </c>
      <c r="L519" t="s">
        <v>275</v>
      </c>
      <c r="M519" t="s">
        <v>157</v>
      </c>
      <c r="N519">
        <v>437</v>
      </c>
      <c r="O519" t="s">
        <v>155</v>
      </c>
      <c r="P519" t="s">
        <v>154</v>
      </c>
      <c r="Q519" s="6">
        <v>45216</v>
      </c>
      <c r="R519">
        <v>1</v>
      </c>
      <c r="U519" t="s">
        <v>225</v>
      </c>
      <c r="AD519">
        <v>2</v>
      </c>
      <c r="AE519" s="7" t="s">
        <v>179</v>
      </c>
      <c r="AF519">
        <v>35</v>
      </c>
      <c r="AG519">
        <v>24</v>
      </c>
      <c r="AH519">
        <v>0</v>
      </c>
      <c r="AI519">
        <v>298</v>
      </c>
    </row>
    <row r="520" spans="1:35" x14ac:dyDescent="0.35">
      <c r="A520" t="s">
        <v>192</v>
      </c>
      <c r="B520" t="s">
        <v>24</v>
      </c>
      <c r="C520" t="s">
        <v>33</v>
      </c>
      <c r="D520" t="s">
        <v>34</v>
      </c>
      <c r="E520" t="s">
        <v>309</v>
      </c>
      <c r="F520" t="s">
        <v>310</v>
      </c>
      <c r="G520" s="20" t="s">
        <v>38</v>
      </c>
      <c r="H520" s="20" t="s">
        <v>39</v>
      </c>
      <c r="I520" t="str">
        <f t="shared" si="13"/>
        <v>Apis mellifera</v>
      </c>
      <c r="J520" t="s">
        <v>70</v>
      </c>
      <c r="K520" t="s">
        <v>332</v>
      </c>
      <c r="L520" t="s">
        <v>275</v>
      </c>
      <c r="M520" t="s">
        <v>157</v>
      </c>
      <c r="N520">
        <v>438</v>
      </c>
      <c r="O520" t="s">
        <v>155</v>
      </c>
      <c r="P520" t="s">
        <v>154</v>
      </c>
      <c r="Q520" s="6">
        <v>45216</v>
      </c>
      <c r="R520">
        <v>1</v>
      </c>
      <c r="U520" t="s">
        <v>225</v>
      </c>
      <c r="AD520">
        <v>1</v>
      </c>
      <c r="AE520" s="7" t="s">
        <v>178</v>
      </c>
      <c r="AF520">
        <v>35</v>
      </c>
      <c r="AG520">
        <v>24</v>
      </c>
      <c r="AH520">
        <v>0</v>
      </c>
      <c r="AI520">
        <v>299</v>
      </c>
    </row>
    <row r="521" spans="1:35" x14ac:dyDescent="0.35">
      <c r="A521" t="s">
        <v>192</v>
      </c>
      <c r="B521" t="s">
        <v>24</v>
      </c>
      <c r="C521" t="s">
        <v>33</v>
      </c>
      <c r="D521" t="s">
        <v>34</v>
      </c>
      <c r="E521" t="s">
        <v>309</v>
      </c>
      <c r="F521" t="s">
        <v>310</v>
      </c>
      <c r="G521" s="20" t="s">
        <v>38</v>
      </c>
      <c r="H521" s="20" t="s">
        <v>39</v>
      </c>
      <c r="I521" t="str">
        <f t="shared" si="13"/>
        <v>Apis mellifera</v>
      </c>
      <c r="J521" t="s">
        <v>70</v>
      </c>
      <c r="K521" t="s">
        <v>332</v>
      </c>
      <c r="L521" t="s">
        <v>275</v>
      </c>
      <c r="M521" t="s">
        <v>157</v>
      </c>
      <c r="N521">
        <v>439</v>
      </c>
      <c r="O521" t="s">
        <v>155</v>
      </c>
      <c r="P521" t="s">
        <v>154</v>
      </c>
      <c r="Q521" s="6">
        <v>45216</v>
      </c>
      <c r="R521">
        <v>1</v>
      </c>
      <c r="U521" t="s">
        <v>225</v>
      </c>
      <c r="AD521">
        <v>1</v>
      </c>
      <c r="AE521" s="7" t="s">
        <v>179</v>
      </c>
      <c r="AF521">
        <v>35</v>
      </c>
      <c r="AG521">
        <v>24</v>
      </c>
      <c r="AH521">
        <v>0</v>
      </c>
      <c r="AI521">
        <v>300</v>
      </c>
    </row>
    <row r="522" spans="1:35" x14ac:dyDescent="0.35">
      <c r="A522" t="s">
        <v>192</v>
      </c>
      <c r="B522" t="s">
        <v>24</v>
      </c>
      <c r="C522" t="s">
        <v>33</v>
      </c>
      <c r="D522" t="s">
        <v>34</v>
      </c>
      <c r="E522" t="s">
        <v>309</v>
      </c>
      <c r="F522" t="s">
        <v>310</v>
      </c>
      <c r="G522" s="20" t="s">
        <v>38</v>
      </c>
      <c r="H522" s="20" t="s">
        <v>39</v>
      </c>
      <c r="I522" t="str">
        <f t="shared" si="13"/>
        <v>Apis mellifera</v>
      </c>
      <c r="J522" t="s">
        <v>70</v>
      </c>
      <c r="K522" t="s">
        <v>332</v>
      </c>
      <c r="L522" t="s">
        <v>275</v>
      </c>
      <c r="M522" t="s">
        <v>157</v>
      </c>
      <c r="N522">
        <v>440</v>
      </c>
      <c r="O522" t="s">
        <v>155</v>
      </c>
      <c r="P522" t="s">
        <v>154</v>
      </c>
      <c r="Q522" s="6">
        <v>45216</v>
      </c>
      <c r="R522">
        <v>1</v>
      </c>
      <c r="U522" t="s">
        <v>225</v>
      </c>
      <c r="AD522">
        <v>1</v>
      </c>
      <c r="AE522" s="7" t="s">
        <v>178</v>
      </c>
      <c r="AF522">
        <v>35</v>
      </c>
      <c r="AG522">
        <v>24</v>
      </c>
      <c r="AH522">
        <v>0</v>
      </c>
      <c r="AI522">
        <v>301</v>
      </c>
    </row>
    <row r="523" spans="1:35" x14ac:dyDescent="0.35">
      <c r="A523" t="s">
        <v>192</v>
      </c>
      <c r="B523" t="s">
        <v>24</v>
      </c>
      <c r="C523" t="s">
        <v>33</v>
      </c>
      <c r="D523" t="s">
        <v>34</v>
      </c>
      <c r="E523" t="s">
        <v>309</v>
      </c>
      <c r="F523" t="s">
        <v>310</v>
      </c>
      <c r="G523" s="20" t="s">
        <v>38</v>
      </c>
      <c r="H523" s="20" t="s">
        <v>39</v>
      </c>
      <c r="I523" t="str">
        <f t="shared" si="13"/>
        <v>Apis mellifera</v>
      </c>
      <c r="J523" t="s">
        <v>70</v>
      </c>
      <c r="K523" t="s">
        <v>332</v>
      </c>
      <c r="L523" t="s">
        <v>275</v>
      </c>
      <c r="M523" t="s">
        <v>157</v>
      </c>
      <c r="N523">
        <v>441</v>
      </c>
      <c r="O523" t="s">
        <v>155</v>
      </c>
      <c r="P523" t="s">
        <v>154</v>
      </c>
      <c r="Q523" s="6">
        <v>45216</v>
      </c>
      <c r="R523">
        <v>1</v>
      </c>
      <c r="U523" t="s">
        <v>225</v>
      </c>
      <c r="AD523">
        <v>1</v>
      </c>
      <c r="AE523" s="7" t="s">
        <v>179</v>
      </c>
      <c r="AF523">
        <v>35</v>
      </c>
      <c r="AG523">
        <v>24</v>
      </c>
      <c r="AH523">
        <v>0</v>
      </c>
      <c r="AI523">
        <v>302</v>
      </c>
    </row>
    <row r="524" spans="1:35" x14ac:dyDescent="0.35">
      <c r="A524" t="s">
        <v>192</v>
      </c>
      <c r="B524" t="s">
        <v>24</v>
      </c>
      <c r="C524" t="s">
        <v>33</v>
      </c>
      <c r="D524" t="s">
        <v>34</v>
      </c>
      <c r="E524" t="s">
        <v>309</v>
      </c>
      <c r="F524" t="s">
        <v>310</v>
      </c>
      <c r="G524" s="20" t="s">
        <v>38</v>
      </c>
      <c r="H524" s="20" t="s">
        <v>39</v>
      </c>
      <c r="I524" t="str">
        <f t="shared" si="13"/>
        <v>Apis mellifera</v>
      </c>
      <c r="J524" t="s">
        <v>70</v>
      </c>
      <c r="K524" t="s">
        <v>332</v>
      </c>
      <c r="L524" t="s">
        <v>275</v>
      </c>
      <c r="M524" t="s">
        <v>157</v>
      </c>
      <c r="N524">
        <v>442</v>
      </c>
      <c r="O524" t="s">
        <v>155</v>
      </c>
      <c r="P524" t="s">
        <v>154</v>
      </c>
      <c r="Q524" s="6">
        <v>45216</v>
      </c>
      <c r="R524">
        <v>1</v>
      </c>
      <c r="U524" t="s">
        <v>225</v>
      </c>
      <c r="AD524">
        <v>1</v>
      </c>
      <c r="AE524" s="7" t="s">
        <v>178</v>
      </c>
      <c r="AF524">
        <v>35</v>
      </c>
      <c r="AG524">
        <v>24</v>
      </c>
      <c r="AH524">
        <v>0</v>
      </c>
      <c r="AI524">
        <v>303</v>
      </c>
    </row>
    <row r="525" spans="1:35" x14ac:dyDescent="0.35">
      <c r="A525" t="s">
        <v>192</v>
      </c>
      <c r="B525" t="s">
        <v>24</v>
      </c>
      <c r="C525" t="s">
        <v>33</v>
      </c>
      <c r="D525" t="s">
        <v>34</v>
      </c>
      <c r="E525" t="s">
        <v>309</v>
      </c>
      <c r="F525" t="s">
        <v>310</v>
      </c>
      <c r="G525" s="20" t="s">
        <v>38</v>
      </c>
      <c r="H525" s="20" t="s">
        <v>39</v>
      </c>
      <c r="I525" t="str">
        <f t="shared" si="13"/>
        <v>Apis mellifera</v>
      </c>
      <c r="J525" t="s">
        <v>70</v>
      </c>
      <c r="K525" t="s">
        <v>332</v>
      </c>
      <c r="L525" t="s">
        <v>275</v>
      </c>
      <c r="M525" t="s">
        <v>157</v>
      </c>
      <c r="N525">
        <v>443</v>
      </c>
      <c r="O525" t="s">
        <v>155</v>
      </c>
      <c r="P525" t="s">
        <v>154</v>
      </c>
      <c r="Q525" s="6">
        <v>45216</v>
      </c>
      <c r="R525">
        <v>1</v>
      </c>
      <c r="U525" t="s">
        <v>225</v>
      </c>
      <c r="AD525">
        <v>1</v>
      </c>
      <c r="AE525" s="7" t="s">
        <v>178</v>
      </c>
      <c r="AF525">
        <v>33</v>
      </c>
      <c r="AG525">
        <v>23</v>
      </c>
      <c r="AH525">
        <v>0</v>
      </c>
      <c r="AI525">
        <v>304</v>
      </c>
    </row>
    <row r="526" spans="1:35" x14ac:dyDescent="0.35">
      <c r="A526" t="s">
        <v>192</v>
      </c>
      <c r="B526" t="s">
        <v>24</v>
      </c>
      <c r="C526" t="s">
        <v>33</v>
      </c>
      <c r="D526" t="s">
        <v>34</v>
      </c>
      <c r="E526" t="s">
        <v>309</v>
      </c>
      <c r="F526" t="s">
        <v>310</v>
      </c>
      <c r="G526" s="20" t="s">
        <v>38</v>
      </c>
      <c r="H526" s="20" t="s">
        <v>39</v>
      </c>
      <c r="I526" t="str">
        <f t="shared" si="13"/>
        <v>Apis mellifera</v>
      </c>
      <c r="J526" t="s">
        <v>70</v>
      </c>
      <c r="K526" t="s">
        <v>332</v>
      </c>
      <c r="L526" t="s">
        <v>275</v>
      </c>
      <c r="M526" t="s">
        <v>157</v>
      </c>
      <c r="N526">
        <v>444</v>
      </c>
      <c r="O526" t="s">
        <v>155</v>
      </c>
      <c r="P526" t="s">
        <v>154</v>
      </c>
      <c r="Q526" s="6">
        <v>45216</v>
      </c>
      <c r="R526">
        <v>1</v>
      </c>
      <c r="U526" t="s">
        <v>225</v>
      </c>
      <c r="AD526">
        <v>1</v>
      </c>
      <c r="AE526" s="7" t="s">
        <v>178</v>
      </c>
      <c r="AF526">
        <v>33</v>
      </c>
      <c r="AG526">
        <v>23</v>
      </c>
      <c r="AH526">
        <v>0</v>
      </c>
      <c r="AI526">
        <v>305</v>
      </c>
    </row>
    <row r="527" spans="1:35" x14ac:dyDescent="0.35">
      <c r="A527" t="s">
        <v>192</v>
      </c>
      <c r="B527" t="s">
        <v>24</v>
      </c>
      <c r="C527" t="s">
        <v>33</v>
      </c>
      <c r="D527" t="s">
        <v>34</v>
      </c>
      <c r="E527" t="s">
        <v>309</v>
      </c>
      <c r="F527" t="s">
        <v>310</v>
      </c>
      <c r="G527" s="20" t="s">
        <v>38</v>
      </c>
      <c r="H527" s="20" t="s">
        <v>39</v>
      </c>
      <c r="I527" t="str">
        <f t="shared" si="13"/>
        <v>Apis mellifera</v>
      </c>
      <c r="J527" t="s">
        <v>70</v>
      </c>
      <c r="K527" t="s">
        <v>332</v>
      </c>
      <c r="L527" t="s">
        <v>275</v>
      </c>
      <c r="M527" t="s">
        <v>157</v>
      </c>
      <c r="N527">
        <v>445</v>
      </c>
      <c r="O527" t="s">
        <v>155</v>
      </c>
      <c r="P527" t="s">
        <v>154</v>
      </c>
      <c r="Q527" s="6">
        <v>45216</v>
      </c>
      <c r="R527">
        <v>1</v>
      </c>
      <c r="U527" t="s">
        <v>225</v>
      </c>
      <c r="AD527">
        <v>1</v>
      </c>
      <c r="AE527" s="7" t="s">
        <v>177</v>
      </c>
      <c r="AF527">
        <v>33</v>
      </c>
      <c r="AG527">
        <v>23</v>
      </c>
      <c r="AH527">
        <v>0</v>
      </c>
      <c r="AI527">
        <v>306</v>
      </c>
    </row>
    <row r="528" spans="1:35" x14ac:dyDescent="0.35">
      <c r="A528" t="s">
        <v>192</v>
      </c>
      <c r="B528" t="s">
        <v>24</v>
      </c>
      <c r="C528" t="s">
        <v>33</v>
      </c>
      <c r="D528" t="s">
        <v>34</v>
      </c>
      <c r="E528" t="s">
        <v>309</v>
      </c>
      <c r="F528" t="s">
        <v>310</v>
      </c>
      <c r="G528" s="20" t="s">
        <v>38</v>
      </c>
      <c r="H528" s="20" t="s">
        <v>39</v>
      </c>
      <c r="I528" t="str">
        <f t="shared" si="13"/>
        <v>Apis mellifera</v>
      </c>
      <c r="J528" t="s">
        <v>70</v>
      </c>
      <c r="K528" t="s">
        <v>332</v>
      </c>
      <c r="L528" t="s">
        <v>275</v>
      </c>
      <c r="M528" t="s">
        <v>157</v>
      </c>
      <c r="N528">
        <v>446</v>
      </c>
      <c r="O528" t="s">
        <v>155</v>
      </c>
      <c r="P528" t="s">
        <v>154</v>
      </c>
      <c r="Q528" s="6">
        <v>45216</v>
      </c>
      <c r="R528">
        <v>1</v>
      </c>
      <c r="U528" t="s">
        <v>225</v>
      </c>
      <c r="AD528">
        <v>1</v>
      </c>
      <c r="AE528" s="7" t="s">
        <v>180</v>
      </c>
      <c r="AF528">
        <v>33</v>
      </c>
      <c r="AG528">
        <v>23</v>
      </c>
      <c r="AH528">
        <v>0</v>
      </c>
      <c r="AI528">
        <v>307</v>
      </c>
    </row>
    <row r="529" spans="1:35" x14ac:dyDescent="0.35">
      <c r="A529" t="s">
        <v>192</v>
      </c>
      <c r="B529" t="s">
        <v>24</v>
      </c>
      <c r="C529" t="s">
        <v>33</v>
      </c>
      <c r="D529" t="s">
        <v>34</v>
      </c>
      <c r="E529" t="s">
        <v>309</v>
      </c>
      <c r="F529" t="s">
        <v>310</v>
      </c>
      <c r="G529" s="20" t="s">
        <v>38</v>
      </c>
      <c r="H529" s="20" t="s">
        <v>39</v>
      </c>
      <c r="I529" t="str">
        <f t="shared" si="13"/>
        <v>Apis mellifera</v>
      </c>
      <c r="J529" t="s">
        <v>70</v>
      </c>
      <c r="K529" t="s">
        <v>332</v>
      </c>
      <c r="L529" t="s">
        <v>275</v>
      </c>
      <c r="M529" t="s">
        <v>157</v>
      </c>
      <c r="N529">
        <v>447</v>
      </c>
      <c r="O529" t="s">
        <v>155</v>
      </c>
      <c r="P529" t="s">
        <v>154</v>
      </c>
      <c r="Q529" s="6">
        <v>45216</v>
      </c>
      <c r="R529">
        <v>1</v>
      </c>
      <c r="U529" t="s">
        <v>225</v>
      </c>
      <c r="AD529">
        <v>1</v>
      </c>
      <c r="AE529" s="7" t="s">
        <v>178</v>
      </c>
      <c r="AF529">
        <v>33</v>
      </c>
      <c r="AG529">
        <v>23</v>
      </c>
      <c r="AH529">
        <v>0</v>
      </c>
      <c r="AI529">
        <v>308</v>
      </c>
    </row>
    <row r="530" spans="1:35" x14ac:dyDescent="0.35">
      <c r="A530" t="s">
        <v>192</v>
      </c>
      <c r="B530" t="s">
        <v>24</v>
      </c>
      <c r="C530" t="s">
        <v>33</v>
      </c>
      <c r="D530" t="s">
        <v>34</v>
      </c>
      <c r="E530" t="s">
        <v>309</v>
      </c>
      <c r="F530" t="s">
        <v>310</v>
      </c>
      <c r="G530" s="20" t="s">
        <v>38</v>
      </c>
      <c r="H530" s="20" t="s">
        <v>39</v>
      </c>
      <c r="I530" t="str">
        <f t="shared" si="13"/>
        <v>Apis mellifera</v>
      </c>
      <c r="J530" t="s">
        <v>70</v>
      </c>
      <c r="K530" t="s">
        <v>332</v>
      </c>
      <c r="L530" t="s">
        <v>275</v>
      </c>
      <c r="M530" t="s">
        <v>157</v>
      </c>
      <c r="N530">
        <v>448</v>
      </c>
      <c r="O530" t="s">
        <v>155</v>
      </c>
      <c r="P530" t="s">
        <v>154</v>
      </c>
      <c r="Q530" s="6">
        <v>45216</v>
      </c>
      <c r="R530">
        <v>1</v>
      </c>
      <c r="U530" t="s">
        <v>225</v>
      </c>
      <c r="AD530">
        <v>6</v>
      </c>
      <c r="AE530" s="7" t="s">
        <v>180</v>
      </c>
      <c r="AF530">
        <v>33</v>
      </c>
      <c r="AG530">
        <v>23</v>
      </c>
      <c r="AH530">
        <v>0</v>
      </c>
      <c r="AI530">
        <v>309</v>
      </c>
    </row>
    <row r="531" spans="1:35" x14ac:dyDescent="0.35">
      <c r="A531" t="s">
        <v>192</v>
      </c>
      <c r="B531" t="s">
        <v>24</v>
      </c>
      <c r="C531" t="s">
        <v>33</v>
      </c>
      <c r="D531" t="s">
        <v>34</v>
      </c>
      <c r="E531" t="s">
        <v>309</v>
      </c>
      <c r="F531" t="s">
        <v>310</v>
      </c>
      <c r="G531" s="20" t="s">
        <v>38</v>
      </c>
      <c r="H531" s="20" t="s">
        <v>39</v>
      </c>
      <c r="I531" t="str">
        <f t="shared" si="13"/>
        <v>Apis mellifera</v>
      </c>
      <c r="J531" t="s">
        <v>70</v>
      </c>
      <c r="K531" t="s">
        <v>332</v>
      </c>
      <c r="L531" t="s">
        <v>275</v>
      </c>
      <c r="M531" t="s">
        <v>157</v>
      </c>
      <c r="N531">
        <v>449</v>
      </c>
      <c r="O531" t="s">
        <v>155</v>
      </c>
      <c r="P531" t="s">
        <v>154</v>
      </c>
      <c r="Q531" s="6">
        <v>45216</v>
      </c>
      <c r="R531">
        <v>1</v>
      </c>
      <c r="U531" t="s">
        <v>225</v>
      </c>
      <c r="AD531">
        <v>1</v>
      </c>
      <c r="AE531" s="7" t="s">
        <v>177</v>
      </c>
      <c r="AF531">
        <v>33</v>
      </c>
      <c r="AG531">
        <v>23</v>
      </c>
      <c r="AH531">
        <v>0</v>
      </c>
      <c r="AI531">
        <v>310</v>
      </c>
    </row>
    <row r="532" spans="1:35" x14ac:dyDescent="0.35">
      <c r="A532" t="s">
        <v>192</v>
      </c>
      <c r="B532" t="s">
        <v>24</v>
      </c>
      <c r="C532" t="s">
        <v>33</v>
      </c>
      <c r="D532" t="s">
        <v>34</v>
      </c>
      <c r="E532" t="s">
        <v>309</v>
      </c>
      <c r="F532" t="s">
        <v>310</v>
      </c>
      <c r="G532" s="20" t="s">
        <v>38</v>
      </c>
      <c r="H532" s="20" t="s">
        <v>39</v>
      </c>
      <c r="I532" t="str">
        <f t="shared" si="13"/>
        <v>Apis mellifera</v>
      </c>
      <c r="J532" t="s">
        <v>70</v>
      </c>
      <c r="K532" t="s">
        <v>332</v>
      </c>
      <c r="L532" t="s">
        <v>275</v>
      </c>
      <c r="M532" t="s">
        <v>157</v>
      </c>
      <c r="N532">
        <v>450</v>
      </c>
      <c r="O532" t="s">
        <v>155</v>
      </c>
      <c r="P532" t="s">
        <v>154</v>
      </c>
      <c r="Q532" s="6">
        <v>45216</v>
      </c>
      <c r="R532">
        <v>1</v>
      </c>
      <c r="U532" t="s">
        <v>225</v>
      </c>
      <c r="AD532">
        <v>1</v>
      </c>
      <c r="AE532" s="7" t="s">
        <v>177</v>
      </c>
      <c r="AF532">
        <v>33</v>
      </c>
      <c r="AG532">
        <v>23</v>
      </c>
      <c r="AH532">
        <v>0</v>
      </c>
      <c r="AI532">
        <v>311</v>
      </c>
    </row>
    <row r="533" spans="1:35" x14ac:dyDescent="0.35">
      <c r="A533" t="s">
        <v>192</v>
      </c>
      <c r="B533" t="s">
        <v>24</v>
      </c>
      <c r="C533" t="s">
        <v>33</v>
      </c>
      <c r="D533" t="s">
        <v>34</v>
      </c>
      <c r="E533" t="s">
        <v>309</v>
      </c>
      <c r="F533" t="s">
        <v>310</v>
      </c>
      <c r="G533" s="20" t="s">
        <v>38</v>
      </c>
      <c r="H533" s="20" t="s">
        <v>39</v>
      </c>
      <c r="I533" t="str">
        <f t="shared" si="13"/>
        <v>Apis mellifera</v>
      </c>
      <c r="J533" t="s">
        <v>70</v>
      </c>
      <c r="K533" t="s">
        <v>332</v>
      </c>
      <c r="L533" t="s">
        <v>275</v>
      </c>
      <c r="M533" t="s">
        <v>157</v>
      </c>
      <c r="N533">
        <v>451</v>
      </c>
      <c r="O533" t="s">
        <v>155</v>
      </c>
      <c r="P533" t="s">
        <v>154</v>
      </c>
      <c r="Q533" s="6">
        <v>45216</v>
      </c>
      <c r="R533">
        <v>1</v>
      </c>
      <c r="U533" t="s">
        <v>225</v>
      </c>
      <c r="AD533">
        <v>1</v>
      </c>
      <c r="AE533" s="7" t="s">
        <v>180</v>
      </c>
      <c r="AF533">
        <v>33</v>
      </c>
      <c r="AG533">
        <v>23</v>
      </c>
      <c r="AH533">
        <v>0</v>
      </c>
      <c r="AI533">
        <v>312</v>
      </c>
    </row>
    <row r="534" spans="1:35" x14ac:dyDescent="0.35">
      <c r="A534" t="s">
        <v>192</v>
      </c>
      <c r="B534" t="s">
        <v>24</v>
      </c>
      <c r="C534" t="s">
        <v>33</v>
      </c>
      <c r="D534" t="s">
        <v>34</v>
      </c>
      <c r="E534" t="s">
        <v>309</v>
      </c>
      <c r="F534" t="s">
        <v>310</v>
      </c>
      <c r="G534" s="20" t="s">
        <v>38</v>
      </c>
      <c r="H534" s="20" t="s">
        <v>39</v>
      </c>
      <c r="I534" t="str">
        <f t="shared" si="13"/>
        <v>Apis mellifera</v>
      </c>
      <c r="J534" t="s">
        <v>70</v>
      </c>
      <c r="K534" t="s">
        <v>332</v>
      </c>
      <c r="L534" t="s">
        <v>275</v>
      </c>
      <c r="M534" t="s">
        <v>157</v>
      </c>
      <c r="N534">
        <v>452</v>
      </c>
      <c r="O534" t="s">
        <v>155</v>
      </c>
      <c r="P534" t="s">
        <v>154</v>
      </c>
      <c r="Q534" s="6">
        <v>45216</v>
      </c>
      <c r="R534">
        <v>1</v>
      </c>
      <c r="U534" t="s">
        <v>225</v>
      </c>
      <c r="AD534">
        <v>2</v>
      </c>
      <c r="AE534" s="7" t="s">
        <v>180</v>
      </c>
      <c r="AF534">
        <v>36</v>
      </c>
      <c r="AG534">
        <v>47</v>
      </c>
      <c r="AH534">
        <v>0</v>
      </c>
      <c r="AI534">
        <v>313</v>
      </c>
    </row>
    <row r="535" spans="1:35" x14ac:dyDescent="0.35">
      <c r="A535" t="s">
        <v>192</v>
      </c>
      <c r="B535" t="s">
        <v>24</v>
      </c>
      <c r="C535" t="s">
        <v>33</v>
      </c>
      <c r="D535" t="s">
        <v>34</v>
      </c>
      <c r="E535" t="s">
        <v>309</v>
      </c>
      <c r="F535" t="s">
        <v>310</v>
      </c>
      <c r="G535" s="20" t="s">
        <v>38</v>
      </c>
      <c r="H535" s="20" t="s">
        <v>39</v>
      </c>
      <c r="I535" t="str">
        <f t="shared" si="13"/>
        <v>Apis mellifera</v>
      </c>
      <c r="J535" t="s">
        <v>70</v>
      </c>
      <c r="K535" t="s">
        <v>332</v>
      </c>
      <c r="L535" t="s">
        <v>275</v>
      </c>
      <c r="M535" t="s">
        <v>157</v>
      </c>
      <c r="N535">
        <v>453</v>
      </c>
      <c r="O535" t="s">
        <v>155</v>
      </c>
      <c r="P535" t="s">
        <v>154</v>
      </c>
      <c r="Q535" s="6">
        <v>45216</v>
      </c>
      <c r="R535">
        <v>1</v>
      </c>
      <c r="U535" t="s">
        <v>225</v>
      </c>
      <c r="AD535">
        <v>3</v>
      </c>
      <c r="AE535" s="7" t="s">
        <v>178</v>
      </c>
      <c r="AF535">
        <v>36</v>
      </c>
      <c r="AG535">
        <v>47</v>
      </c>
      <c r="AH535">
        <v>0</v>
      </c>
      <c r="AI535">
        <v>314</v>
      </c>
    </row>
    <row r="536" spans="1:35" x14ac:dyDescent="0.35">
      <c r="A536" t="s">
        <v>192</v>
      </c>
      <c r="B536" t="s">
        <v>24</v>
      </c>
      <c r="C536" t="s">
        <v>33</v>
      </c>
      <c r="D536" t="s">
        <v>34</v>
      </c>
      <c r="E536" t="s">
        <v>309</v>
      </c>
      <c r="F536" t="s">
        <v>310</v>
      </c>
      <c r="G536" s="20" t="s">
        <v>38</v>
      </c>
      <c r="H536" s="20" t="s">
        <v>39</v>
      </c>
      <c r="I536" t="str">
        <f t="shared" si="13"/>
        <v>Apis mellifera</v>
      </c>
      <c r="J536" t="s">
        <v>70</v>
      </c>
      <c r="K536" t="s">
        <v>332</v>
      </c>
      <c r="L536" t="s">
        <v>275</v>
      </c>
      <c r="M536" t="s">
        <v>157</v>
      </c>
      <c r="N536">
        <v>454</v>
      </c>
      <c r="O536" t="s">
        <v>155</v>
      </c>
      <c r="P536" t="s">
        <v>154</v>
      </c>
      <c r="Q536" s="6">
        <v>45216</v>
      </c>
      <c r="R536">
        <v>1</v>
      </c>
      <c r="U536" t="s">
        <v>225</v>
      </c>
      <c r="AD536">
        <v>1</v>
      </c>
      <c r="AE536" s="7" t="s">
        <v>177</v>
      </c>
      <c r="AF536">
        <v>36</v>
      </c>
      <c r="AG536">
        <v>47</v>
      </c>
      <c r="AH536">
        <v>0</v>
      </c>
      <c r="AI536">
        <v>315</v>
      </c>
    </row>
    <row r="537" spans="1:35" x14ac:dyDescent="0.35">
      <c r="A537" t="s">
        <v>192</v>
      </c>
      <c r="B537" t="s">
        <v>24</v>
      </c>
      <c r="C537" t="s">
        <v>33</v>
      </c>
      <c r="D537" t="s">
        <v>34</v>
      </c>
      <c r="E537" t="s">
        <v>309</v>
      </c>
      <c r="F537" t="s">
        <v>310</v>
      </c>
      <c r="G537" s="20" t="s">
        <v>38</v>
      </c>
      <c r="H537" s="20" t="s">
        <v>39</v>
      </c>
      <c r="I537" t="str">
        <f t="shared" si="13"/>
        <v>Apis mellifera</v>
      </c>
      <c r="J537" t="s">
        <v>70</v>
      </c>
      <c r="K537" t="s">
        <v>332</v>
      </c>
      <c r="L537" t="s">
        <v>275</v>
      </c>
      <c r="M537" t="s">
        <v>157</v>
      </c>
      <c r="N537">
        <v>455</v>
      </c>
      <c r="O537" t="s">
        <v>155</v>
      </c>
      <c r="P537" t="s">
        <v>154</v>
      </c>
      <c r="Q537" s="6">
        <v>45216</v>
      </c>
      <c r="R537">
        <v>1</v>
      </c>
      <c r="U537" t="s">
        <v>225</v>
      </c>
      <c r="AD537">
        <v>3</v>
      </c>
      <c r="AE537" s="7" t="s">
        <v>178</v>
      </c>
      <c r="AF537">
        <v>36</v>
      </c>
      <c r="AG537">
        <v>47</v>
      </c>
      <c r="AH537">
        <v>0</v>
      </c>
      <c r="AI537">
        <v>316</v>
      </c>
    </row>
    <row r="538" spans="1:35" x14ac:dyDescent="0.35">
      <c r="A538" t="s">
        <v>192</v>
      </c>
      <c r="B538" t="s">
        <v>24</v>
      </c>
      <c r="C538" t="s">
        <v>33</v>
      </c>
      <c r="D538" t="s">
        <v>34</v>
      </c>
      <c r="E538" t="s">
        <v>309</v>
      </c>
      <c r="F538" t="s">
        <v>310</v>
      </c>
      <c r="G538" s="20" t="s">
        <v>38</v>
      </c>
      <c r="H538" s="20" t="s">
        <v>39</v>
      </c>
      <c r="I538" t="str">
        <f t="shared" si="13"/>
        <v>Apis mellifera</v>
      </c>
      <c r="J538" t="s">
        <v>70</v>
      </c>
      <c r="K538" t="s">
        <v>332</v>
      </c>
      <c r="L538" t="s">
        <v>275</v>
      </c>
      <c r="M538" t="s">
        <v>157</v>
      </c>
      <c r="N538">
        <v>456</v>
      </c>
      <c r="O538" t="s">
        <v>155</v>
      </c>
      <c r="P538" t="s">
        <v>154</v>
      </c>
      <c r="Q538" s="6">
        <v>45216</v>
      </c>
      <c r="R538">
        <v>1</v>
      </c>
      <c r="U538" t="s">
        <v>225</v>
      </c>
      <c r="AD538">
        <v>3</v>
      </c>
      <c r="AE538" s="7" t="s">
        <v>178</v>
      </c>
      <c r="AF538">
        <v>36</v>
      </c>
      <c r="AG538">
        <v>47</v>
      </c>
      <c r="AH538">
        <v>0</v>
      </c>
      <c r="AI538">
        <v>317</v>
      </c>
    </row>
    <row r="539" spans="1:35" x14ac:dyDescent="0.35">
      <c r="A539" t="s">
        <v>192</v>
      </c>
      <c r="B539" t="s">
        <v>24</v>
      </c>
      <c r="C539" t="s">
        <v>33</v>
      </c>
      <c r="D539" t="s">
        <v>34</v>
      </c>
      <c r="E539" t="s">
        <v>309</v>
      </c>
      <c r="F539" t="s">
        <v>310</v>
      </c>
      <c r="G539" s="20" t="s">
        <v>38</v>
      </c>
      <c r="H539" s="20" t="s">
        <v>39</v>
      </c>
      <c r="I539" t="str">
        <f t="shared" si="13"/>
        <v>Apis mellifera</v>
      </c>
      <c r="J539" t="s">
        <v>70</v>
      </c>
      <c r="K539" t="s">
        <v>332</v>
      </c>
      <c r="L539" t="s">
        <v>275</v>
      </c>
      <c r="M539" t="s">
        <v>157</v>
      </c>
      <c r="N539">
        <v>457</v>
      </c>
      <c r="O539" t="s">
        <v>155</v>
      </c>
      <c r="P539" t="s">
        <v>154</v>
      </c>
      <c r="Q539" s="6">
        <v>45216</v>
      </c>
      <c r="R539">
        <v>1</v>
      </c>
      <c r="U539" t="s">
        <v>225</v>
      </c>
      <c r="AD539">
        <v>3</v>
      </c>
      <c r="AE539" s="7" t="s">
        <v>178</v>
      </c>
      <c r="AF539">
        <v>36</v>
      </c>
      <c r="AG539">
        <v>47</v>
      </c>
      <c r="AH539">
        <v>0</v>
      </c>
      <c r="AI539">
        <v>318</v>
      </c>
    </row>
    <row r="540" spans="1:35" x14ac:dyDescent="0.35">
      <c r="A540" t="s">
        <v>192</v>
      </c>
      <c r="B540" t="s">
        <v>24</v>
      </c>
      <c r="C540" t="s">
        <v>33</v>
      </c>
      <c r="D540" t="s">
        <v>34</v>
      </c>
      <c r="E540" t="s">
        <v>309</v>
      </c>
      <c r="F540" t="s">
        <v>310</v>
      </c>
      <c r="G540" s="20" t="s">
        <v>38</v>
      </c>
      <c r="H540" s="20" t="s">
        <v>39</v>
      </c>
      <c r="I540" t="str">
        <f t="shared" si="13"/>
        <v>Apis mellifera</v>
      </c>
      <c r="J540" t="s">
        <v>70</v>
      </c>
      <c r="K540" t="s">
        <v>332</v>
      </c>
      <c r="L540" t="s">
        <v>275</v>
      </c>
      <c r="M540" t="s">
        <v>157</v>
      </c>
      <c r="N540">
        <v>458</v>
      </c>
      <c r="O540" t="s">
        <v>155</v>
      </c>
      <c r="P540" t="s">
        <v>154</v>
      </c>
      <c r="Q540" s="6">
        <v>45216</v>
      </c>
      <c r="R540">
        <v>1</v>
      </c>
      <c r="U540" t="s">
        <v>225</v>
      </c>
      <c r="AD540">
        <v>2</v>
      </c>
      <c r="AE540" s="7" t="s">
        <v>177</v>
      </c>
      <c r="AF540">
        <v>36</v>
      </c>
      <c r="AG540">
        <v>47</v>
      </c>
      <c r="AH540">
        <v>0</v>
      </c>
      <c r="AI540">
        <v>319</v>
      </c>
    </row>
    <row r="541" spans="1:35" x14ac:dyDescent="0.35">
      <c r="A541" t="s">
        <v>192</v>
      </c>
      <c r="B541" t="s">
        <v>24</v>
      </c>
      <c r="C541" t="s">
        <v>33</v>
      </c>
      <c r="D541" t="s">
        <v>34</v>
      </c>
      <c r="E541" t="s">
        <v>309</v>
      </c>
      <c r="F541" t="s">
        <v>310</v>
      </c>
      <c r="G541" s="20" t="s">
        <v>38</v>
      </c>
      <c r="H541" s="20" t="s">
        <v>39</v>
      </c>
      <c r="I541" t="str">
        <f t="shared" si="13"/>
        <v>Apis mellifera</v>
      </c>
      <c r="J541" t="s">
        <v>70</v>
      </c>
      <c r="K541" t="s">
        <v>332</v>
      </c>
      <c r="L541" t="s">
        <v>275</v>
      </c>
      <c r="M541" t="s">
        <v>157</v>
      </c>
      <c r="N541">
        <v>459</v>
      </c>
      <c r="O541" t="s">
        <v>155</v>
      </c>
      <c r="P541" t="s">
        <v>154</v>
      </c>
      <c r="Q541" s="6">
        <v>45216</v>
      </c>
      <c r="R541">
        <v>1</v>
      </c>
      <c r="U541" t="s">
        <v>225</v>
      </c>
      <c r="AD541">
        <v>2</v>
      </c>
      <c r="AE541" s="7" t="s">
        <v>178</v>
      </c>
      <c r="AF541">
        <v>36</v>
      </c>
      <c r="AG541">
        <v>47</v>
      </c>
      <c r="AH541">
        <v>0</v>
      </c>
      <c r="AI541">
        <v>320</v>
      </c>
    </row>
    <row r="542" spans="1:35" x14ac:dyDescent="0.35">
      <c r="A542" t="s">
        <v>192</v>
      </c>
      <c r="B542" t="s">
        <v>24</v>
      </c>
      <c r="C542" t="s">
        <v>33</v>
      </c>
      <c r="D542" t="s">
        <v>34</v>
      </c>
      <c r="E542" t="s">
        <v>309</v>
      </c>
      <c r="F542" t="s">
        <v>310</v>
      </c>
      <c r="G542" s="20" t="s">
        <v>38</v>
      </c>
      <c r="H542" s="20" t="s">
        <v>39</v>
      </c>
      <c r="I542" t="str">
        <f t="shared" si="13"/>
        <v>Apis mellifera</v>
      </c>
      <c r="J542" t="s">
        <v>70</v>
      </c>
      <c r="K542" t="s">
        <v>332</v>
      </c>
      <c r="L542" t="s">
        <v>275</v>
      </c>
      <c r="M542" t="s">
        <v>157</v>
      </c>
      <c r="N542">
        <v>460</v>
      </c>
      <c r="O542" t="s">
        <v>155</v>
      </c>
      <c r="P542" t="s">
        <v>154</v>
      </c>
      <c r="Q542" s="6">
        <v>45216</v>
      </c>
      <c r="R542">
        <v>1</v>
      </c>
      <c r="U542" t="s">
        <v>225</v>
      </c>
      <c r="AD542">
        <v>3</v>
      </c>
      <c r="AE542" s="7" t="s">
        <v>180</v>
      </c>
      <c r="AF542">
        <v>36</v>
      </c>
      <c r="AG542">
        <v>47</v>
      </c>
      <c r="AH542">
        <v>0</v>
      </c>
      <c r="AI542">
        <v>321</v>
      </c>
    </row>
    <row r="543" spans="1:35" x14ac:dyDescent="0.35">
      <c r="A543" t="s">
        <v>192</v>
      </c>
      <c r="B543" t="s">
        <v>24</v>
      </c>
      <c r="C543" t="s">
        <v>33</v>
      </c>
      <c r="D543" t="s">
        <v>34</v>
      </c>
      <c r="E543" t="s">
        <v>309</v>
      </c>
      <c r="F543" t="s">
        <v>310</v>
      </c>
      <c r="G543" s="20" t="s">
        <v>38</v>
      </c>
      <c r="H543" s="20" t="s">
        <v>39</v>
      </c>
      <c r="I543" t="str">
        <f t="shared" si="13"/>
        <v>Apis mellifera</v>
      </c>
      <c r="J543" t="s">
        <v>70</v>
      </c>
      <c r="K543" t="s">
        <v>332</v>
      </c>
      <c r="L543" t="s">
        <v>275</v>
      </c>
      <c r="M543" t="s">
        <v>157</v>
      </c>
      <c r="N543">
        <v>461</v>
      </c>
      <c r="O543" t="s">
        <v>155</v>
      </c>
      <c r="P543" t="s">
        <v>154</v>
      </c>
      <c r="Q543" s="6">
        <v>45216</v>
      </c>
      <c r="R543">
        <v>1</v>
      </c>
      <c r="U543" t="s">
        <v>225</v>
      </c>
      <c r="AD543">
        <v>3</v>
      </c>
      <c r="AE543" s="7" t="s">
        <v>180</v>
      </c>
      <c r="AF543">
        <v>36</v>
      </c>
      <c r="AG543">
        <v>47</v>
      </c>
      <c r="AH543">
        <v>0</v>
      </c>
      <c r="AI543">
        <v>322</v>
      </c>
    </row>
    <row r="544" spans="1:35" x14ac:dyDescent="0.35">
      <c r="A544" t="s">
        <v>192</v>
      </c>
      <c r="B544" t="s">
        <v>24</v>
      </c>
      <c r="C544" t="s">
        <v>33</v>
      </c>
      <c r="D544" t="s">
        <v>34</v>
      </c>
      <c r="E544" t="s">
        <v>309</v>
      </c>
      <c r="F544" t="s">
        <v>310</v>
      </c>
      <c r="G544" s="20" t="s">
        <v>38</v>
      </c>
      <c r="H544" s="20" t="s">
        <v>39</v>
      </c>
      <c r="I544" t="str">
        <f t="shared" si="13"/>
        <v>Apis mellifera</v>
      </c>
      <c r="J544" t="s">
        <v>70</v>
      </c>
      <c r="K544" t="s">
        <v>332</v>
      </c>
      <c r="L544" t="s">
        <v>275</v>
      </c>
      <c r="M544" t="s">
        <v>157</v>
      </c>
      <c r="N544">
        <v>462</v>
      </c>
      <c r="O544" t="s">
        <v>155</v>
      </c>
      <c r="P544" t="s">
        <v>154</v>
      </c>
      <c r="Q544" s="6">
        <v>45216</v>
      </c>
      <c r="R544">
        <v>1</v>
      </c>
      <c r="U544" t="s">
        <v>225</v>
      </c>
      <c r="AD544">
        <v>1</v>
      </c>
      <c r="AE544" s="7" t="s">
        <v>180</v>
      </c>
      <c r="AF544">
        <v>36</v>
      </c>
      <c r="AG544">
        <v>47</v>
      </c>
      <c r="AH544">
        <v>0</v>
      </c>
      <c r="AI544">
        <v>323</v>
      </c>
    </row>
    <row r="545" spans="1:35" x14ac:dyDescent="0.35">
      <c r="A545" t="s">
        <v>192</v>
      </c>
      <c r="B545" t="s">
        <v>24</v>
      </c>
      <c r="C545" t="s">
        <v>33</v>
      </c>
      <c r="D545" t="s">
        <v>34</v>
      </c>
      <c r="E545" t="s">
        <v>309</v>
      </c>
      <c r="F545" t="s">
        <v>310</v>
      </c>
      <c r="G545" s="20" t="s">
        <v>38</v>
      </c>
      <c r="H545" s="20" t="s">
        <v>39</v>
      </c>
      <c r="I545" t="str">
        <f t="shared" si="13"/>
        <v>Apis mellifera</v>
      </c>
      <c r="J545" t="s">
        <v>70</v>
      </c>
      <c r="K545" t="s">
        <v>332</v>
      </c>
      <c r="L545" t="s">
        <v>275</v>
      </c>
      <c r="M545" t="s">
        <v>157</v>
      </c>
      <c r="N545">
        <v>463</v>
      </c>
      <c r="O545" t="s">
        <v>155</v>
      </c>
      <c r="P545" t="s">
        <v>154</v>
      </c>
      <c r="Q545" s="6">
        <v>45216</v>
      </c>
      <c r="R545">
        <v>1</v>
      </c>
      <c r="U545" t="s">
        <v>225</v>
      </c>
      <c r="AD545">
        <v>1</v>
      </c>
      <c r="AE545" s="7" t="s">
        <v>180</v>
      </c>
      <c r="AF545">
        <v>36</v>
      </c>
      <c r="AG545">
        <v>47</v>
      </c>
      <c r="AH545">
        <v>0</v>
      </c>
      <c r="AI545">
        <v>324</v>
      </c>
    </row>
    <row r="546" spans="1:35" x14ac:dyDescent="0.35">
      <c r="A546" t="s">
        <v>192</v>
      </c>
      <c r="B546" t="s">
        <v>24</v>
      </c>
      <c r="C546" t="s">
        <v>33</v>
      </c>
      <c r="D546" t="s">
        <v>34</v>
      </c>
      <c r="E546" t="s">
        <v>309</v>
      </c>
      <c r="F546" t="s">
        <v>310</v>
      </c>
      <c r="G546" s="20" t="s">
        <v>38</v>
      </c>
      <c r="H546" s="20" t="s">
        <v>39</v>
      </c>
      <c r="I546" t="str">
        <f t="shared" si="13"/>
        <v>Apis mellifera</v>
      </c>
      <c r="J546" t="s">
        <v>70</v>
      </c>
      <c r="K546" t="s">
        <v>332</v>
      </c>
      <c r="L546" t="s">
        <v>275</v>
      </c>
      <c r="M546" t="s">
        <v>157</v>
      </c>
      <c r="N546">
        <v>464</v>
      </c>
      <c r="O546" t="s">
        <v>155</v>
      </c>
      <c r="P546" t="s">
        <v>154</v>
      </c>
      <c r="Q546" s="6">
        <v>45216</v>
      </c>
      <c r="R546">
        <v>1</v>
      </c>
      <c r="U546" t="s">
        <v>225</v>
      </c>
      <c r="AD546">
        <v>2</v>
      </c>
      <c r="AE546" s="7" t="s">
        <v>179</v>
      </c>
      <c r="AF546">
        <v>36</v>
      </c>
      <c r="AG546">
        <v>47</v>
      </c>
      <c r="AH546">
        <v>0</v>
      </c>
      <c r="AI546">
        <v>325</v>
      </c>
    </row>
    <row r="547" spans="1:35" x14ac:dyDescent="0.35">
      <c r="A547" t="s">
        <v>192</v>
      </c>
      <c r="B547" t="s">
        <v>24</v>
      </c>
      <c r="C547" t="s">
        <v>33</v>
      </c>
      <c r="D547" t="s">
        <v>34</v>
      </c>
      <c r="E547" t="s">
        <v>309</v>
      </c>
      <c r="F547" t="s">
        <v>310</v>
      </c>
      <c r="G547" s="20" t="s">
        <v>38</v>
      </c>
      <c r="H547" s="20" t="s">
        <v>39</v>
      </c>
      <c r="I547" t="str">
        <f t="shared" si="13"/>
        <v>Apis mellifera</v>
      </c>
      <c r="J547" t="s">
        <v>70</v>
      </c>
      <c r="K547" t="s">
        <v>332</v>
      </c>
      <c r="L547" t="s">
        <v>275</v>
      </c>
      <c r="M547" t="s">
        <v>157</v>
      </c>
      <c r="N547">
        <v>465</v>
      </c>
      <c r="O547" t="s">
        <v>155</v>
      </c>
      <c r="P547" t="s">
        <v>154</v>
      </c>
      <c r="Q547" s="6">
        <v>45216</v>
      </c>
      <c r="R547">
        <v>1</v>
      </c>
      <c r="U547" t="s">
        <v>225</v>
      </c>
      <c r="AD547">
        <v>2</v>
      </c>
      <c r="AE547" s="7" t="s">
        <v>180</v>
      </c>
      <c r="AF547">
        <v>36</v>
      </c>
      <c r="AG547">
        <v>47</v>
      </c>
      <c r="AH547">
        <v>0</v>
      </c>
      <c r="AI547">
        <v>326</v>
      </c>
    </row>
    <row r="548" spans="1:35" x14ac:dyDescent="0.35">
      <c r="A548" t="s">
        <v>192</v>
      </c>
      <c r="B548" t="s">
        <v>24</v>
      </c>
      <c r="C548" t="s">
        <v>33</v>
      </c>
      <c r="D548" t="s">
        <v>34</v>
      </c>
      <c r="E548" t="s">
        <v>309</v>
      </c>
      <c r="F548" t="s">
        <v>310</v>
      </c>
      <c r="G548" s="20" t="s">
        <v>38</v>
      </c>
      <c r="H548" s="20" t="s">
        <v>39</v>
      </c>
      <c r="I548" t="str">
        <f t="shared" si="13"/>
        <v>Apis mellifera</v>
      </c>
      <c r="J548" t="s">
        <v>70</v>
      </c>
      <c r="K548" t="s">
        <v>332</v>
      </c>
      <c r="L548" t="s">
        <v>275</v>
      </c>
      <c r="M548" t="s">
        <v>157</v>
      </c>
      <c r="N548">
        <v>466</v>
      </c>
      <c r="O548" t="s">
        <v>155</v>
      </c>
      <c r="P548" t="s">
        <v>154</v>
      </c>
      <c r="Q548" s="6">
        <v>45216</v>
      </c>
      <c r="R548">
        <v>1</v>
      </c>
      <c r="U548" t="s">
        <v>225</v>
      </c>
      <c r="AD548">
        <v>2</v>
      </c>
      <c r="AE548" s="7" t="s">
        <v>178</v>
      </c>
      <c r="AF548">
        <v>36</v>
      </c>
      <c r="AG548">
        <v>47</v>
      </c>
      <c r="AH548">
        <v>0</v>
      </c>
      <c r="AI548">
        <v>327</v>
      </c>
    </row>
    <row r="549" spans="1:35" x14ac:dyDescent="0.35">
      <c r="A549" t="s">
        <v>192</v>
      </c>
      <c r="B549" t="s">
        <v>24</v>
      </c>
      <c r="C549" t="s">
        <v>33</v>
      </c>
      <c r="D549" t="s">
        <v>34</v>
      </c>
      <c r="E549" t="s">
        <v>309</v>
      </c>
      <c r="F549" t="s">
        <v>310</v>
      </c>
      <c r="G549" s="20" t="s">
        <v>38</v>
      </c>
      <c r="H549" s="20" t="s">
        <v>39</v>
      </c>
      <c r="I549" t="str">
        <f t="shared" si="13"/>
        <v>Apis mellifera</v>
      </c>
      <c r="J549" t="s">
        <v>70</v>
      </c>
      <c r="K549" t="s">
        <v>332</v>
      </c>
      <c r="L549" t="s">
        <v>275</v>
      </c>
      <c r="M549" t="s">
        <v>157</v>
      </c>
      <c r="N549">
        <v>467</v>
      </c>
      <c r="O549" t="s">
        <v>155</v>
      </c>
      <c r="P549" t="s">
        <v>154</v>
      </c>
      <c r="Q549" s="6">
        <v>45216</v>
      </c>
      <c r="U549" t="s">
        <v>225</v>
      </c>
      <c r="AF549">
        <v>36</v>
      </c>
      <c r="AG549">
        <v>47</v>
      </c>
      <c r="AH549">
        <v>0</v>
      </c>
      <c r="AI549">
        <v>328</v>
      </c>
    </row>
    <row r="550" spans="1:35" x14ac:dyDescent="0.35">
      <c r="A550" t="s">
        <v>192</v>
      </c>
      <c r="B550" t="s">
        <v>24</v>
      </c>
      <c r="C550" t="s">
        <v>33</v>
      </c>
      <c r="D550" t="s">
        <v>34</v>
      </c>
      <c r="E550" t="s">
        <v>309</v>
      </c>
      <c r="F550" t="s">
        <v>310</v>
      </c>
      <c r="G550" s="20" t="s">
        <v>38</v>
      </c>
      <c r="H550" s="20" t="s">
        <v>39</v>
      </c>
      <c r="I550" t="str">
        <f t="shared" ref="I550:I613" si="14">G550&amp;" "&amp;H550</f>
        <v>Apis mellifera</v>
      </c>
      <c r="J550" t="s">
        <v>70</v>
      </c>
      <c r="K550" t="s">
        <v>332</v>
      </c>
      <c r="L550" t="s">
        <v>275</v>
      </c>
      <c r="M550" t="s">
        <v>157</v>
      </c>
      <c r="N550">
        <v>468</v>
      </c>
      <c r="O550" t="s">
        <v>155</v>
      </c>
      <c r="P550" t="s">
        <v>154</v>
      </c>
      <c r="Q550" s="6">
        <v>45216</v>
      </c>
      <c r="U550" t="s">
        <v>225</v>
      </c>
      <c r="AF550">
        <v>36</v>
      </c>
      <c r="AG550">
        <v>47</v>
      </c>
      <c r="AH550">
        <v>0</v>
      </c>
      <c r="AI550">
        <v>329</v>
      </c>
    </row>
    <row r="551" spans="1:35" x14ac:dyDescent="0.35">
      <c r="A551" t="s">
        <v>192</v>
      </c>
      <c r="B551" t="s">
        <v>24</v>
      </c>
      <c r="C551" t="s">
        <v>33</v>
      </c>
      <c r="D551" t="s">
        <v>34</v>
      </c>
      <c r="E551" t="s">
        <v>309</v>
      </c>
      <c r="F551" t="s">
        <v>310</v>
      </c>
      <c r="G551" s="20" t="s">
        <v>38</v>
      </c>
      <c r="H551" s="20" t="s">
        <v>39</v>
      </c>
      <c r="I551" t="str">
        <f t="shared" si="14"/>
        <v>Apis mellifera</v>
      </c>
      <c r="J551" t="s">
        <v>70</v>
      </c>
      <c r="K551" t="s">
        <v>332</v>
      </c>
      <c r="L551" t="s">
        <v>275</v>
      </c>
      <c r="M551" t="s">
        <v>157</v>
      </c>
      <c r="N551">
        <v>469</v>
      </c>
      <c r="O551" t="s">
        <v>155</v>
      </c>
      <c r="P551" t="s">
        <v>154</v>
      </c>
      <c r="Q551" s="6">
        <v>45216</v>
      </c>
      <c r="U551" t="s">
        <v>225</v>
      </c>
      <c r="AF551">
        <v>36</v>
      </c>
      <c r="AG551">
        <v>47</v>
      </c>
      <c r="AH551">
        <v>0</v>
      </c>
      <c r="AI551">
        <v>330</v>
      </c>
    </row>
    <row r="552" spans="1:35" x14ac:dyDescent="0.35">
      <c r="A552" t="s">
        <v>192</v>
      </c>
      <c r="B552" t="s">
        <v>24</v>
      </c>
      <c r="C552" t="s">
        <v>33</v>
      </c>
      <c r="D552" t="s">
        <v>34</v>
      </c>
      <c r="E552" t="s">
        <v>309</v>
      </c>
      <c r="F552" t="s">
        <v>310</v>
      </c>
      <c r="G552" s="20" t="s">
        <v>38</v>
      </c>
      <c r="H552" s="20" t="s">
        <v>39</v>
      </c>
      <c r="I552" t="str">
        <f t="shared" si="14"/>
        <v>Apis mellifera</v>
      </c>
      <c r="J552" t="s">
        <v>70</v>
      </c>
      <c r="K552" t="s">
        <v>332</v>
      </c>
      <c r="L552" t="s">
        <v>275</v>
      </c>
      <c r="M552" t="s">
        <v>157</v>
      </c>
      <c r="N552">
        <v>470</v>
      </c>
      <c r="O552" t="s">
        <v>155</v>
      </c>
      <c r="P552" t="s">
        <v>154</v>
      </c>
      <c r="Q552" s="6">
        <v>45216</v>
      </c>
      <c r="U552" t="s">
        <v>225</v>
      </c>
      <c r="AF552">
        <v>36</v>
      </c>
      <c r="AG552">
        <v>47</v>
      </c>
      <c r="AH552">
        <v>0</v>
      </c>
      <c r="AI552">
        <v>331</v>
      </c>
    </row>
    <row r="553" spans="1:35" x14ac:dyDescent="0.35">
      <c r="A553" t="s">
        <v>192</v>
      </c>
      <c r="B553" t="s">
        <v>24</v>
      </c>
      <c r="C553" t="s">
        <v>33</v>
      </c>
      <c r="D553" t="s">
        <v>34</v>
      </c>
      <c r="E553" t="s">
        <v>309</v>
      </c>
      <c r="F553" t="s">
        <v>310</v>
      </c>
      <c r="G553" s="20" t="s">
        <v>38</v>
      </c>
      <c r="H553" s="20" t="s">
        <v>39</v>
      </c>
      <c r="I553" t="str">
        <f t="shared" si="14"/>
        <v>Apis mellifera</v>
      </c>
      <c r="J553" t="s">
        <v>70</v>
      </c>
      <c r="K553" t="s">
        <v>332</v>
      </c>
      <c r="L553" t="s">
        <v>275</v>
      </c>
      <c r="M553" t="s">
        <v>157</v>
      </c>
      <c r="N553">
        <v>471</v>
      </c>
      <c r="O553" t="s">
        <v>155</v>
      </c>
      <c r="P553" t="s">
        <v>154</v>
      </c>
      <c r="Q553" s="6">
        <v>45216</v>
      </c>
      <c r="U553" t="s">
        <v>225</v>
      </c>
      <c r="AF553">
        <v>36</v>
      </c>
      <c r="AG553">
        <v>47</v>
      </c>
      <c r="AH553">
        <v>0</v>
      </c>
      <c r="AI553">
        <v>332</v>
      </c>
    </row>
    <row r="554" spans="1:35" x14ac:dyDescent="0.35">
      <c r="A554" t="s">
        <v>192</v>
      </c>
      <c r="B554" t="s">
        <v>24</v>
      </c>
      <c r="C554" t="s">
        <v>33</v>
      </c>
      <c r="D554" t="s">
        <v>34</v>
      </c>
      <c r="E554" t="s">
        <v>309</v>
      </c>
      <c r="F554" t="s">
        <v>310</v>
      </c>
      <c r="G554" s="20" t="s">
        <v>38</v>
      </c>
      <c r="H554" s="20" t="s">
        <v>39</v>
      </c>
      <c r="I554" t="str">
        <f t="shared" si="14"/>
        <v>Apis mellifera</v>
      </c>
      <c r="J554" t="s">
        <v>70</v>
      </c>
      <c r="K554" t="s">
        <v>332</v>
      </c>
      <c r="L554" t="s">
        <v>275</v>
      </c>
      <c r="M554" t="s">
        <v>157</v>
      </c>
      <c r="N554">
        <v>472</v>
      </c>
      <c r="O554" t="s">
        <v>155</v>
      </c>
      <c r="P554" t="s">
        <v>154</v>
      </c>
      <c r="Q554" s="6">
        <v>45216</v>
      </c>
      <c r="U554" t="s">
        <v>225</v>
      </c>
      <c r="AF554">
        <v>36</v>
      </c>
      <c r="AG554">
        <v>47</v>
      </c>
      <c r="AH554">
        <v>0</v>
      </c>
      <c r="AI554">
        <v>333</v>
      </c>
    </row>
    <row r="555" spans="1:35" x14ac:dyDescent="0.35">
      <c r="A555" t="s">
        <v>192</v>
      </c>
      <c r="B555" t="s">
        <v>24</v>
      </c>
      <c r="C555" t="s">
        <v>33</v>
      </c>
      <c r="D555" t="s">
        <v>34</v>
      </c>
      <c r="E555" t="s">
        <v>309</v>
      </c>
      <c r="F555" t="s">
        <v>310</v>
      </c>
      <c r="G555" s="20" t="s">
        <v>38</v>
      </c>
      <c r="H555" s="20" t="s">
        <v>39</v>
      </c>
      <c r="I555" t="str">
        <f t="shared" si="14"/>
        <v>Apis mellifera</v>
      </c>
      <c r="J555" t="s">
        <v>70</v>
      </c>
      <c r="K555" t="s">
        <v>332</v>
      </c>
      <c r="L555" t="s">
        <v>275</v>
      </c>
      <c r="M555" t="s">
        <v>157</v>
      </c>
      <c r="N555">
        <v>473</v>
      </c>
      <c r="O555" t="s">
        <v>155</v>
      </c>
      <c r="P555" t="s">
        <v>154</v>
      </c>
      <c r="Q555" s="6">
        <v>45216</v>
      </c>
      <c r="U555" t="s">
        <v>225</v>
      </c>
      <c r="AF555">
        <v>36</v>
      </c>
      <c r="AG555">
        <v>47</v>
      </c>
      <c r="AH555">
        <v>0</v>
      </c>
      <c r="AI555">
        <v>334</v>
      </c>
    </row>
    <row r="556" spans="1:35" x14ac:dyDescent="0.35">
      <c r="A556" t="s">
        <v>192</v>
      </c>
      <c r="B556" t="s">
        <v>24</v>
      </c>
      <c r="C556" t="s">
        <v>33</v>
      </c>
      <c r="D556" t="s">
        <v>34</v>
      </c>
      <c r="E556" t="s">
        <v>309</v>
      </c>
      <c r="F556" t="s">
        <v>310</v>
      </c>
      <c r="G556" s="20" t="s">
        <v>38</v>
      </c>
      <c r="H556" s="20" t="s">
        <v>39</v>
      </c>
      <c r="I556" t="str">
        <f t="shared" si="14"/>
        <v>Apis mellifera</v>
      </c>
      <c r="J556" t="s">
        <v>70</v>
      </c>
      <c r="K556" t="s">
        <v>332</v>
      </c>
      <c r="L556" t="s">
        <v>275</v>
      </c>
      <c r="M556" t="s">
        <v>157</v>
      </c>
      <c r="N556">
        <v>474</v>
      </c>
      <c r="O556" t="s">
        <v>155</v>
      </c>
      <c r="P556" t="s">
        <v>154</v>
      </c>
      <c r="Q556" s="6">
        <v>45216</v>
      </c>
      <c r="U556" t="s">
        <v>225</v>
      </c>
      <c r="AF556">
        <v>36</v>
      </c>
      <c r="AG556">
        <v>47</v>
      </c>
      <c r="AH556">
        <v>0</v>
      </c>
      <c r="AI556">
        <v>335</v>
      </c>
    </row>
    <row r="557" spans="1:35" x14ac:dyDescent="0.35">
      <c r="A557" t="s">
        <v>192</v>
      </c>
      <c r="B557" t="s">
        <v>24</v>
      </c>
      <c r="C557" t="s">
        <v>33</v>
      </c>
      <c r="D557" t="s">
        <v>34</v>
      </c>
      <c r="E557" t="s">
        <v>309</v>
      </c>
      <c r="F557" t="s">
        <v>310</v>
      </c>
      <c r="G557" s="20" t="s">
        <v>38</v>
      </c>
      <c r="H557" s="20" t="s">
        <v>39</v>
      </c>
      <c r="I557" t="str">
        <f t="shared" si="14"/>
        <v>Apis mellifera</v>
      </c>
      <c r="J557" t="s">
        <v>70</v>
      </c>
      <c r="K557" t="s">
        <v>332</v>
      </c>
      <c r="L557" t="s">
        <v>275</v>
      </c>
      <c r="M557" t="s">
        <v>157</v>
      </c>
      <c r="N557">
        <v>475</v>
      </c>
      <c r="O557" t="s">
        <v>155</v>
      </c>
      <c r="P557" t="s">
        <v>154</v>
      </c>
      <c r="Q557" s="6">
        <v>45216</v>
      </c>
      <c r="U557" t="s">
        <v>225</v>
      </c>
      <c r="AF557">
        <v>36</v>
      </c>
      <c r="AG557">
        <v>47</v>
      </c>
      <c r="AH557">
        <v>0</v>
      </c>
      <c r="AI557">
        <v>336</v>
      </c>
    </row>
    <row r="558" spans="1:35" x14ac:dyDescent="0.35">
      <c r="A558" t="s">
        <v>192</v>
      </c>
      <c r="B558" t="s">
        <v>24</v>
      </c>
      <c r="C558" t="s">
        <v>33</v>
      </c>
      <c r="D558" t="s">
        <v>34</v>
      </c>
      <c r="E558" t="s">
        <v>309</v>
      </c>
      <c r="F558" t="s">
        <v>310</v>
      </c>
      <c r="G558" s="20" t="s">
        <v>38</v>
      </c>
      <c r="H558" s="20" t="s">
        <v>39</v>
      </c>
      <c r="I558" t="str">
        <f t="shared" si="14"/>
        <v>Apis mellifera</v>
      </c>
      <c r="J558" t="s">
        <v>70</v>
      </c>
      <c r="K558" t="s">
        <v>332</v>
      </c>
      <c r="L558" t="s">
        <v>275</v>
      </c>
      <c r="M558" t="s">
        <v>157</v>
      </c>
      <c r="N558">
        <v>476</v>
      </c>
      <c r="O558" t="s">
        <v>155</v>
      </c>
      <c r="P558" t="s">
        <v>154</v>
      </c>
      <c r="Q558" s="6">
        <v>45216</v>
      </c>
      <c r="U558" t="s">
        <v>225</v>
      </c>
      <c r="AF558">
        <v>36</v>
      </c>
      <c r="AG558">
        <v>47</v>
      </c>
      <c r="AH558">
        <v>0</v>
      </c>
      <c r="AI558">
        <v>337</v>
      </c>
    </row>
    <row r="559" spans="1:35" x14ac:dyDescent="0.35">
      <c r="A559" t="s">
        <v>192</v>
      </c>
      <c r="B559" t="s">
        <v>24</v>
      </c>
      <c r="C559" t="s">
        <v>33</v>
      </c>
      <c r="D559" t="s">
        <v>34</v>
      </c>
      <c r="E559" t="s">
        <v>309</v>
      </c>
      <c r="F559" t="s">
        <v>310</v>
      </c>
      <c r="G559" s="20" t="s">
        <v>38</v>
      </c>
      <c r="H559" s="20" t="s">
        <v>39</v>
      </c>
      <c r="I559" t="str">
        <f t="shared" si="14"/>
        <v>Apis mellifera</v>
      </c>
      <c r="J559" t="s">
        <v>70</v>
      </c>
      <c r="K559" t="s">
        <v>332</v>
      </c>
      <c r="L559" t="s">
        <v>275</v>
      </c>
      <c r="M559" t="s">
        <v>157</v>
      </c>
      <c r="N559">
        <v>477</v>
      </c>
      <c r="O559" t="s">
        <v>155</v>
      </c>
      <c r="P559" t="s">
        <v>154</v>
      </c>
      <c r="Q559" s="6">
        <v>45216</v>
      </c>
      <c r="U559" t="s">
        <v>225</v>
      </c>
      <c r="AF559">
        <v>36</v>
      </c>
      <c r="AG559">
        <v>47</v>
      </c>
      <c r="AH559">
        <v>0</v>
      </c>
      <c r="AI559">
        <v>338</v>
      </c>
    </row>
    <row r="560" spans="1:35" x14ac:dyDescent="0.35">
      <c r="A560" t="s">
        <v>192</v>
      </c>
      <c r="B560" t="s">
        <v>24</v>
      </c>
      <c r="C560" t="s">
        <v>33</v>
      </c>
      <c r="D560" t="s">
        <v>34</v>
      </c>
      <c r="E560" t="s">
        <v>309</v>
      </c>
      <c r="F560" t="s">
        <v>310</v>
      </c>
      <c r="G560" s="20" t="s">
        <v>38</v>
      </c>
      <c r="H560" s="20" t="s">
        <v>39</v>
      </c>
      <c r="I560" t="str">
        <f t="shared" si="14"/>
        <v>Apis mellifera</v>
      </c>
      <c r="J560" t="s">
        <v>70</v>
      </c>
      <c r="K560" t="s">
        <v>332</v>
      </c>
      <c r="L560" t="s">
        <v>275</v>
      </c>
      <c r="M560" t="s">
        <v>157</v>
      </c>
      <c r="N560">
        <v>478</v>
      </c>
      <c r="O560" t="s">
        <v>155</v>
      </c>
      <c r="P560" t="s">
        <v>154</v>
      </c>
      <c r="Q560" s="6">
        <v>45216</v>
      </c>
      <c r="U560" t="s">
        <v>225</v>
      </c>
      <c r="AF560">
        <v>36</v>
      </c>
      <c r="AG560">
        <v>47</v>
      </c>
      <c r="AH560">
        <v>0</v>
      </c>
      <c r="AI560">
        <v>339</v>
      </c>
    </row>
    <row r="561" spans="1:35" x14ac:dyDescent="0.35">
      <c r="A561" t="s">
        <v>192</v>
      </c>
      <c r="B561" t="s">
        <v>24</v>
      </c>
      <c r="C561" t="s">
        <v>33</v>
      </c>
      <c r="D561" t="s">
        <v>34</v>
      </c>
      <c r="E561" t="s">
        <v>309</v>
      </c>
      <c r="F561" t="s">
        <v>310</v>
      </c>
      <c r="G561" s="20" t="s">
        <v>38</v>
      </c>
      <c r="H561" s="20" t="s">
        <v>39</v>
      </c>
      <c r="I561" t="str">
        <f t="shared" si="14"/>
        <v>Apis mellifera</v>
      </c>
      <c r="J561" t="s">
        <v>70</v>
      </c>
      <c r="K561" t="s">
        <v>332</v>
      </c>
      <c r="L561" t="s">
        <v>275</v>
      </c>
      <c r="M561" t="s">
        <v>157</v>
      </c>
      <c r="N561">
        <v>479</v>
      </c>
      <c r="O561" t="s">
        <v>155</v>
      </c>
      <c r="P561" t="s">
        <v>154</v>
      </c>
      <c r="Q561" s="6">
        <v>45216</v>
      </c>
      <c r="U561" t="s">
        <v>225</v>
      </c>
      <c r="AF561">
        <v>36</v>
      </c>
      <c r="AG561">
        <v>47</v>
      </c>
      <c r="AH561">
        <v>0</v>
      </c>
      <c r="AI561">
        <v>340</v>
      </c>
    </row>
    <row r="562" spans="1:35" x14ac:dyDescent="0.35">
      <c r="A562" t="s">
        <v>192</v>
      </c>
      <c r="B562" t="s">
        <v>24</v>
      </c>
      <c r="C562" t="s">
        <v>33</v>
      </c>
      <c r="D562" t="s">
        <v>34</v>
      </c>
      <c r="E562" t="s">
        <v>309</v>
      </c>
      <c r="F562" t="s">
        <v>310</v>
      </c>
      <c r="G562" s="20" t="s">
        <v>38</v>
      </c>
      <c r="H562" s="20" t="s">
        <v>39</v>
      </c>
      <c r="I562" t="str">
        <f t="shared" si="14"/>
        <v>Apis mellifera</v>
      </c>
      <c r="J562" t="s">
        <v>70</v>
      </c>
      <c r="K562" t="s">
        <v>332</v>
      </c>
      <c r="L562" t="s">
        <v>275</v>
      </c>
      <c r="M562" t="s">
        <v>157</v>
      </c>
      <c r="N562">
        <v>480</v>
      </c>
      <c r="O562" t="s">
        <v>155</v>
      </c>
      <c r="P562" t="s">
        <v>154</v>
      </c>
      <c r="Q562" s="6">
        <v>45216</v>
      </c>
      <c r="R562">
        <v>1</v>
      </c>
      <c r="U562" t="s">
        <v>225</v>
      </c>
      <c r="AD562">
        <v>4</v>
      </c>
      <c r="AE562" s="7" t="s">
        <v>178</v>
      </c>
      <c r="AF562">
        <v>57</v>
      </c>
      <c r="AG562">
        <v>12</v>
      </c>
      <c r="AH562">
        <v>20</v>
      </c>
      <c r="AI562">
        <v>341</v>
      </c>
    </row>
    <row r="563" spans="1:35" x14ac:dyDescent="0.35">
      <c r="A563" t="s">
        <v>192</v>
      </c>
      <c r="B563" t="s">
        <v>24</v>
      </c>
      <c r="C563" t="s">
        <v>33</v>
      </c>
      <c r="D563" t="s">
        <v>34</v>
      </c>
      <c r="E563" t="s">
        <v>309</v>
      </c>
      <c r="F563" t="s">
        <v>310</v>
      </c>
      <c r="G563" s="20" t="s">
        <v>38</v>
      </c>
      <c r="H563" s="20" t="s">
        <v>39</v>
      </c>
      <c r="I563" t="str">
        <f t="shared" si="14"/>
        <v>Apis mellifera</v>
      </c>
      <c r="J563" t="s">
        <v>70</v>
      </c>
      <c r="K563" t="s">
        <v>332</v>
      </c>
      <c r="L563" t="s">
        <v>275</v>
      </c>
      <c r="M563" t="s">
        <v>157</v>
      </c>
      <c r="N563">
        <v>481</v>
      </c>
      <c r="O563" t="s">
        <v>155</v>
      </c>
      <c r="P563" t="s">
        <v>154</v>
      </c>
      <c r="Q563" s="6">
        <v>45216</v>
      </c>
      <c r="R563">
        <v>1</v>
      </c>
      <c r="U563" t="s">
        <v>225</v>
      </c>
      <c r="AD563">
        <v>3</v>
      </c>
      <c r="AE563" s="7" t="s">
        <v>179</v>
      </c>
      <c r="AF563">
        <v>57</v>
      </c>
      <c r="AG563">
        <v>12</v>
      </c>
      <c r="AH563">
        <v>20</v>
      </c>
      <c r="AI563">
        <v>342</v>
      </c>
    </row>
    <row r="564" spans="1:35" x14ac:dyDescent="0.35">
      <c r="A564" t="s">
        <v>192</v>
      </c>
      <c r="B564" t="s">
        <v>24</v>
      </c>
      <c r="C564" t="s">
        <v>33</v>
      </c>
      <c r="D564" t="s">
        <v>34</v>
      </c>
      <c r="E564" t="s">
        <v>309</v>
      </c>
      <c r="F564" t="s">
        <v>310</v>
      </c>
      <c r="G564" s="20" t="s">
        <v>38</v>
      </c>
      <c r="H564" s="20" t="s">
        <v>39</v>
      </c>
      <c r="I564" t="str">
        <f t="shared" si="14"/>
        <v>Apis mellifera</v>
      </c>
      <c r="J564" t="s">
        <v>70</v>
      </c>
      <c r="K564" t="s">
        <v>332</v>
      </c>
      <c r="L564" t="s">
        <v>275</v>
      </c>
      <c r="M564" t="s">
        <v>157</v>
      </c>
      <c r="N564">
        <v>482</v>
      </c>
      <c r="O564" t="s">
        <v>155</v>
      </c>
      <c r="P564" t="s">
        <v>154</v>
      </c>
      <c r="Q564" s="6">
        <v>45216</v>
      </c>
      <c r="R564">
        <v>1</v>
      </c>
      <c r="U564" t="s">
        <v>225</v>
      </c>
      <c r="AD564">
        <v>2</v>
      </c>
      <c r="AE564" s="7" t="s">
        <v>178</v>
      </c>
      <c r="AF564">
        <v>57</v>
      </c>
      <c r="AG564">
        <v>12</v>
      </c>
      <c r="AH564">
        <v>20</v>
      </c>
      <c r="AI564">
        <v>343</v>
      </c>
    </row>
    <row r="565" spans="1:35" x14ac:dyDescent="0.35">
      <c r="A565" t="s">
        <v>192</v>
      </c>
      <c r="B565" t="s">
        <v>24</v>
      </c>
      <c r="C565" t="s">
        <v>33</v>
      </c>
      <c r="D565" t="s">
        <v>34</v>
      </c>
      <c r="E565" t="s">
        <v>309</v>
      </c>
      <c r="F565" t="s">
        <v>310</v>
      </c>
      <c r="G565" s="20" t="s">
        <v>38</v>
      </c>
      <c r="H565" s="20" t="s">
        <v>39</v>
      </c>
      <c r="I565" t="str">
        <f t="shared" si="14"/>
        <v>Apis mellifera</v>
      </c>
      <c r="J565" t="s">
        <v>70</v>
      </c>
      <c r="K565" t="s">
        <v>332</v>
      </c>
      <c r="L565" t="s">
        <v>275</v>
      </c>
      <c r="M565" t="s">
        <v>157</v>
      </c>
      <c r="N565">
        <v>483</v>
      </c>
      <c r="O565" t="s">
        <v>155</v>
      </c>
      <c r="P565" t="s">
        <v>154</v>
      </c>
      <c r="Q565" s="6">
        <v>45216</v>
      </c>
      <c r="R565">
        <v>1</v>
      </c>
      <c r="U565" t="s">
        <v>225</v>
      </c>
      <c r="AD565">
        <v>2</v>
      </c>
      <c r="AE565" s="7" t="s">
        <v>179</v>
      </c>
      <c r="AF565">
        <v>57</v>
      </c>
      <c r="AG565">
        <v>12</v>
      </c>
      <c r="AH565">
        <v>20</v>
      </c>
      <c r="AI565">
        <v>344</v>
      </c>
    </row>
    <row r="566" spans="1:35" x14ac:dyDescent="0.35">
      <c r="A566" t="s">
        <v>192</v>
      </c>
      <c r="B566" t="s">
        <v>24</v>
      </c>
      <c r="C566" t="s">
        <v>33</v>
      </c>
      <c r="D566" t="s">
        <v>34</v>
      </c>
      <c r="E566" t="s">
        <v>309</v>
      </c>
      <c r="F566" t="s">
        <v>310</v>
      </c>
      <c r="G566" s="20" t="s">
        <v>38</v>
      </c>
      <c r="H566" s="20" t="s">
        <v>39</v>
      </c>
      <c r="I566" t="str">
        <f t="shared" si="14"/>
        <v>Apis mellifera</v>
      </c>
      <c r="J566" t="s">
        <v>70</v>
      </c>
      <c r="K566" t="s">
        <v>332</v>
      </c>
      <c r="L566" t="s">
        <v>275</v>
      </c>
      <c r="M566" t="s">
        <v>157</v>
      </c>
      <c r="N566">
        <v>484</v>
      </c>
      <c r="O566" t="s">
        <v>155</v>
      </c>
      <c r="P566" t="s">
        <v>154</v>
      </c>
      <c r="Q566" s="6">
        <v>45216</v>
      </c>
      <c r="R566">
        <v>1</v>
      </c>
      <c r="U566" t="s">
        <v>225</v>
      </c>
      <c r="AD566">
        <v>2</v>
      </c>
      <c r="AE566" s="7" t="s">
        <v>178</v>
      </c>
      <c r="AF566">
        <v>57</v>
      </c>
      <c r="AG566">
        <v>12</v>
      </c>
      <c r="AH566">
        <v>20</v>
      </c>
      <c r="AI566">
        <v>345</v>
      </c>
    </row>
    <row r="567" spans="1:35" x14ac:dyDescent="0.35">
      <c r="A567" t="s">
        <v>192</v>
      </c>
      <c r="B567" t="s">
        <v>24</v>
      </c>
      <c r="C567" t="s">
        <v>33</v>
      </c>
      <c r="D567" t="s">
        <v>34</v>
      </c>
      <c r="E567" t="s">
        <v>309</v>
      </c>
      <c r="F567" t="s">
        <v>310</v>
      </c>
      <c r="G567" s="20" t="s">
        <v>38</v>
      </c>
      <c r="H567" s="20" t="s">
        <v>39</v>
      </c>
      <c r="I567" t="str">
        <f t="shared" si="14"/>
        <v>Apis mellifera</v>
      </c>
      <c r="J567" t="s">
        <v>70</v>
      </c>
      <c r="K567" t="s">
        <v>332</v>
      </c>
      <c r="L567" t="s">
        <v>275</v>
      </c>
      <c r="M567" t="s">
        <v>157</v>
      </c>
      <c r="N567">
        <v>485</v>
      </c>
      <c r="O567" t="s">
        <v>155</v>
      </c>
      <c r="P567" t="s">
        <v>154</v>
      </c>
      <c r="Q567" s="6">
        <v>45216</v>
      </c>
      <c r="R567">
        <v>1</v>
      </c>
      <c r="U567" t="s">
        <v>225</v>
      </c>
      <c r="AD567">
        <v>3</v>
      </c>
      <c r="AE567" s="7" t="s">
        <v>178</v>
      </c>
      <c r="AF567">
        <v>57</v>
      </c>
      <c r="AG567">
        <v>12</v>
      </c>
      <c r="AH567">
        <v>20</v>
      </c>
      <c r="AI567">
        <v>346</v>
      </c>
    </row>
    <row r="568" spans="1:35" x14ac:dyDescent="0.35">
      <c r="A568" t="s">
        <v>192</v>
      </c>
      <c r="B568" t="s">
        <v>24</v>
      </c>
      <c r="C568" t="s">
        <v>33</v>
      </c>
      <c r="D568" t="s">
        <v>34</v>
      </c>
      <c r="E568" t="s">
        <v>309</v>
      </c>
      <c r="F568" t="s">
        <v>310</v>
      </c>
      <c r="G568" s="20" t="s">
        <v>38</v>
      </c>
      <c r="H568" s="20" t="s">
        <v>39</v>
      </c>
      <c r="I568" t="str">
        <f t="shared" si="14"/>
        <v>Apis mellifera</v>
      </c>
      <c r="J568" t="s">
        <v>70</v>
      </c>
      <c r="K568" t="s">
        <v>332</v>
      </c>
      <c r="L568" t="s">
        <v>275</v>
      </c>
      <c r="M568" t="s">
        <v>157</v>
      </c>
      <c r="N568">
        <v>486</v>
      </c>
      <c r="O568" t="s">
        <v>155</v>
      </c>
      <c r="P568" t="s">
        <v>154</v>
      </c>
      <c r="Q568" s="6">
        <v>45216</v>
      </c>
      <c r="R568">
        <v>1</v>
      </c>
      <c r="U568" t="s">
        <v>225</v>
      </c>
      <c r="AD568">
        <v>2</v>
      </c>
      <c r="AE568" s="7" t="s">
        <v>180</v>
      </c>
      <c r="AF568">
        <v>57</v>
      </c>
      <c r="AG568">
        <v>12</v>
      </c>
      <c r="AH568">
        <v>20</v>
      </c>
      <c r="AI568">
        <v>347</v>
      </c>
    </row>
    <row r="569" spans="1:35" x14ac:dyDescent="0.35">
      <c r="A569" t="s">
        <v>192</v>
      </c>
      <c r="B569" t="s">
        <v>24</v>
      </c>
      <c r="C569" t="s">
        <v>33</v>
      </c>
      <c r="D569" t="s">
        <v>34</v>
      </c>
      <c r="E569" t="s">
        <v>309</v>
      </c>
      <c r="F569" t="s">
        <v>310</v>
      </c>
      <c r="G569" s="20" t="s">
        <v>38</v>
      </c>
      <c r="H569" s="20" t="s">
        <v>39</v>
      </c>
      <c r="I569" t="str">
        <f t="shared" si="14"/>
        <v>Apis mellifera</v>
      </c>
      <c r="J569" t="s">
        <v>70</v>
      </c>
      <c r="K569" t="s">
        <v>332</v>
      </c>
      <c r="L569" t="s">
        <v>275</v>
      </c>
      <c r="M569" t="s">
        <v>157</v>
      </c>
      <c r="N569">
        <v>487</v>
      </c>
      <c r="O569" t="s">
        <v>155</v>
      </c>
      <c r="P569" t="s">
        <v>154</v>
      </c>
      <c r="Q569" s="6">
        <v>45216</v>
      </c>
      <c r="R569">
        <v>1</v>
      </c>
      <c r="U569" t="s">
        <v>225</v>
      </c>
      <c r="AD569">
        <v>2</v>
      </c>
      <c r="AE569" s="7" t="s">
        <v>178</v>
      </c>
      <c r="AF569">
        <v>57</v>
      </c>
      <c r="AG569">
        <v>12</v>
      </c>
      <c r="AH569">
        <v>20</v>
      </c>
      <c r="AI569">
        <v>348</v>
      </c>
    </row>
    <row r="570" spans="1:35" x14ac:dyDescent="0.35">
      <c r="A570" t="s">
        <v>192</v>
      </c>
      <c r="B570" t="s">
        <v>24</v>
      </c>
      <c r="C570" t="s">
        <v>33</v>
      </c>
      <c r="D570" t="s">
        <v>34</v>
      </c>
      <c r="E570" t="s">
        <v>309</v>
      </c>
      <c r="F570" t="s">
        <v>310</v>
      </c>
      <c r="G570" s="20" t="s">
        <v>38</v>
      </c>
      <c r="H570" s="20" t="s">
        <v>39</v>
      </c>
      <c r="I570" t="str">
        <f t="shared" si="14"/>
        <v>Apis mellifera</v>
      </c>
      <c r="J570" t="s">
        <v>70</v>
      </c>
      <c r="K570" t="s">
        <v>332</v>
      </c>
      <c r="L570" t="s">
        <v>275</v>
      </c>
      <c r="M570" t="s">
        <v>157</v>
      </c>
      <c r="N570">
        <v>488</v>
      </c>
      <c r="O570" t="s">
        <v>155</v>
      </c>
      <c r="P570" t="s">
        <v>154</v>
      </c>
      <c r="Q570" s="6">
        <v>45216</v>
      </c>
      <c r="R570">
        <v>1</v>
      </c>
      <c r="U570" t="s">
        <v>225</v>
      </c>
      <c r="AD570">
        <v>1</v>
      </c>
      <c r="AE570" s="7" t="s">
        <v>180</v>
      </c>
      <c r="AF570">
        <v>57</v>
      </c>
      <c r="AG570">
        <v>12</v>
      </c>
      <c r="AH570">
        <v>20</v>
      </c>
      <c r="AI570">
        <v>349</v>
      </c>
    </row>
    <row r="571" spans="1:35" x14ac:dyDescent="0.35">
      <c r="A571" t="s">
        <v>192</v>
      </c>
      <c r="B571" t="s">
        <v>24</v>
      </c>
      <c r="C571" t="s">
        <v>33</v>
      </c>
      <c r="D571" t="s">
        <v>34</v>
      </c>
      <c r="E571" t="s">
        <v>309</v>
      </c>
      <c r="F571" t="s">
        <v>310</v>
      </c>
      <c r="G571" s="20" t="s">
        <v>38</v>
      </c>
      <c r="H571" s="20" t="s">
        <v>39</v>
      </c>
      <c r="I571" t="str">
        <f t="shared" si="14"/>
        <v>Apis mellifera</v>
      </c>
      <c r="J571" t="s">
        <v>70</v>
      </c>
      <c r="K571" t="s">
        <v>332</v>
      </c>
      <c r="L571" t="s">
        <v>275</v>
      </c>
      <c r="M571" t="s">
        <v>157</v>
      </c>
      <c r="N571">
        <v>489</v>
      </c>
      <c r="O571" t="s">
        <v>155</v>
      </c>
      <c r="P571" t="s">
        <v>154</v>
      </c>
      <c r="Q571" s="6">
        <v>45216</v>
      </c>
      <c r="R571">
        <v>1</v>
      </c>
      <c r="U571" t="s">
        <v>225</v>
      </c>
      <c r="AD571">
        <v>2</v>
      </c>
      <c r="AE571" s="7" t="s">
        <v>180</v>
      </c>
      <c r="AF571">
        <v>57</v>
      </c>
      <c r="AG571">
        <v>12</v>
      </c>
      <c r="AH571">
        <v>20</v>
      </c>
      <c r="AI571">
        <v>350</v>
      </c>
    </row>
    <row r="572" spans="1:35" x14ac:dyDescent="0.35">
      <c r="A572" t="s">
        <v>192</v>
      </c>
      <c r="B572" t="s">
        <v>24</v>
      </c>
      <c r="C572" t="s">
        <v>33</v>
      </c>
      <c r="D572" t="s">
        <v>34</v>
      </c>
      <c r="E572" t="s">
        <v>309</v>
      </c>
      <c r="F572" t="s">
        <v>310</v>
      </c>
      <c r="G572" s="20" t="s">
        <v>38</v>
      </c>
      <c r="H572" s="20" t="s">
        <v>39</v>
      </c>
      <c r="I572" t="str">
        <f t="shared" si="14"/>
        <v>Apis mellifera</v>
      </c>
      <c r="J572" t="s">
        <v>70</v>
      </c>
      <c r="K572" t="s">
        <v>332</v>
      </c>
      <c r="L572" t="s">
        <v>275</v>
      </c>
      <c r="M572" t="s">
        <v>157</v>
      </c>
      <c r="N572">
        <v>490</v>
      </c>
      <c r="O572" t="s">
        <v>155</v>
      </c>
      <c r="P572" t="s">
        <v>154</v>
      </c>
      <c r="Q572" s="6">
        <v>45216</v>
      </c>
      <c r="R572">
        <v>1</v>
      </c>
      <c r="U572" t="s">
        <v>225</v>
      </c>
      <c r="AD572">
        <v>2</v>
      </c>
      <c r="AE572" s="7" t="s">
        <v>180</v>
      </c>
      <c r="AF572">
        <v>57</v>
      </c>
      <c r="AG572">
        <v>12</v>
      </c>
      <c r="AH572">
        <v>20</v>
      </c>
      <c r="AI572">
        <v>351</v>
      </c>
    </row>
    <row r="573" spans="1:35" x14ac:dyDescent="0.35">
      <c r="A573" t="s">
        <v>192</v>
      </c>
      <c r="B573" t="s">
        <v>24</v>
      </c>
      <c r="C573" t="s">
        <v>33</v>
      </c>
      <c r="D573" t="s">
        <v>34</v>
      </c>
      <c r="E573" t="s">
        <v>309</v>
      </c>
      <c r="F573" t="s">
        <v>310</v>
      </c>
      <c r="G573" s="20" t="s">
        <v>38</v>
      </c>
      <c r="H573" s="20" t="s">
        <v>39</v>
      </c>
      <c r="I573" t="str">
        <f t="shared" si="14"/>
        <v>Apis mellifera</v>
      </c>
      <c r="J573" t="s">
        <v>70</v>
      </c>
      <c r="K573" t="s">
        <v>332</v>
      </c>
      <c r="L573" t="s">
        <v>275</v>
      </c>
      <c r="M573" t="s">
        <v>157</v>
      </c>
      <c r="N573">
        <v>491</v>
      </c>
      <c r="O573" t="s">
        <v>155</v>
      </c>
      <c r="P573" t="s">
        <v>154</v>
      </c>
      <c r="Q573" s="6">
        <v>45216</v>
      </c>
      <c r="R573">
        <v>1</v>
      </c>
      <c r="U573" t="s">
        <v>225</v>
      </c>
      <c r="AD573">
        <v>4</v>
      </c>
      <c r="AE573" s="7" t="s">
        <v>179</v>
      </c>
      <c r="AF573">
        <v>57</v>
      </c>
      <c r="AG573">
        <v>12</v>
      </c>
      <c r="AH573">
        <v>20</v>
      </c>
      <c r="AI573">
        <v>352</v>
      </c>
    </row>
    <row r="574" spans="1:35" x14ac:dyDescent="0.35">
      <c r="A574" t="s">
        <v>192</v>
      </c>
      <c r="B574" t="s">
        <v>24</v>
      </c>
      <c r="C574" t="s">
        <v>33</v>
      </c>
      <c r="D574" t="s">
        <v>34</v>
      </c>
      <c r="E574" t="s">
        <v>309</v>
      </c>
      <c r="F574" t="s">
        <v>310</v>
      </c>
      <c r="G574" s="20" t="s">
        <v>38</v>
      </c>
      <c r="H574" s="20" t="s">
        <v>39</v>
      </c>
      <c r="I574" t="str">
        <f t="shared" si="14"/>
        <v>Apis mellifera</v>
      </c>
      <c r="J574" t="s">
        <v>70</v>
      </c>
      <c r="K574" t="s">
        <v>332</v>
      </c>
      <c r="L574" t="s">
        <v>275</v>
      </c>
      <c r="M574" t="s">
        <v>157</v>
      </c>
      <c r="N574">
        <v>492</v>
      </c>
      <c r="O574" t="s">
        <v>155</v>
      </c>
      <c r="P574" t="s">
        <v>154</v>
      </c>
      <c r="Q574" s="6">
        <v>45216</v>
      </c>
      <c r="R574">
        <v>1</v>
      </c>
      <c r="U574" t="s">
        <v>225</v>
      </c>
      <c r="AD574">
        <v>2</v>
      </c>
      <c r="AE574" s="7" t="s">
        <v>180</v>
      </c>
      <c r="AF574">
        <v>57</v>
      </c>
      <c r="AG574">
        <v>12</v>
      </c>
      <c r="AH574">
        <v>20</v>
      </c>
      <c r="AI574">
        <v>353</v>
      </c>
    </row>
    <row r="575" spans="1:35" x14ac:dyDescent="0.35">
      <c r="A575" t="s">
        <v>192</v>
      </c>
      <c r="B575" t="s">
        <v>24</v>
      </c>
      <c r="C575" t="s">
        <v>33</v>
      </c>
      <c r="D575" t="s">
        <v>34</v>
      </c>
      <c r="E575" t="s">
        <v>309</v>
      </c>
      <c r="F575" t="s">
        <v>310</v>
      </c>
      <c r="G575" s="20" t="s">
        <v>38</v>
      </c>
      <c r="H575" s="20" t="s">
        <v>39</v>
      </c>
      <c r="I575" t="str">
        <f t="shared" si="14"/>
        <v>Apis mellifera</v>
      </c>
      <c r="J575" t="s">
        <v>70</v>
      </c>
      <c r="K575" t="s">
        <v>332</v>
      </c>
      <c r="L575" t="s">
        <v>275</v>
      </c>
      <c r="M575" t="s">
        <v>157</v>
      </c>
      <c r="N575">
        <v>493</v>
      </c>
      <c r="O575" t="s">
        <v>155</v>
      </c>
      <c r="P575" t="s">
        <v>154</v>
      </c>
      <c r="Q575" s="6">
        <v>45216</v>
      </c>
      <c r="R575">
        <v>1</v>
      </c>
      <c r="U575" t="s">
        <v>225</v>
      </c>
      <c r="AD575">
        <v>4</v>
      </c>
      <c r="AE575" s="7" t="s">
        <v>179</v>
      </c>
      <c r="AF575">
        <v>57</v>
      </c>
      <c r="AG575">
        <v>12</v>
      </c>
      <c r="AH575">
        <v>20</v>
      </c>
      <c r="AI575">
        <v>354</v>
      </c>
    </row>
    <row r="576" spans="1:35" x14ac:dyDescent="0.35">
      <c r="A576" t="s">
        <v>192</v>
      </c>
      <c r="B576" t="s">
        <v>24</v>
      </c>
      <c r="C576" t="s">
        <v>33</v>
      </c>
      <c r="D576" t="s">
        <v>34</v>
      </c>
      <c r="E576" t="s">
        <v>309</v>
      </c>
      <c r="F576" t="s">
        <v>310</v>
      </c>
      <c r="G576" s="20" t="s">
        <v>38</v>
      </c>
      <c r="H576" s="20" t="s">
        <v>39</v>
      </c>
      <c r="I576" t="str">
        <f t="shared" si="14"/>
        <v>Apis mellifera</v>
      </c>
      <c r="J576" t="s">
        <v>70</v>
      </c>
      <c r="K576" t="s">
        <v>332</v>
      </c>
      <c r="L576" t="s">
        <v>275</v>
      </c>
      <c r="M576" t="s">
        <v>157</v>
      </c>
      <c r="N576">
        <v>494</v>
      </c>
      <c r="O576" t="s">
        <v>155</v>
      </c>
      <c r="P576" t="s">
        <v>154</v>
      </c>
      <c r="Q576" s="6">
        <v>45216</v>
      </c>
      <c r="R576">
        <v>1</v>
      </c>
      <c r="U576" t="s">
        <v>225</v>
      </c>
      <c r="AD576">
        <v>2</v>
      </c>
      <c r="AE576" s="7" t="s">
        <v>178</v>
      </c>
      <c r="AF576">
        <v>57</v>
      </c>
      <c r="AG576">
        <v>12</v>
      </c>
      <c r="AH576">
        <v>20</v>
      </c>
      <c r="AI576">
        <v>355</v>
      </c>
    </row>
    <row r="577" spans="1:35" x14ac:dyDescent="0.35">
      <c r="A577" t="s">
        <v>192</v>
      </c>
      <c r="B577" t="s">
        <v>24</v>
      </c>
      <c r="C577" t="s">
        <v>33</v>
      </c>
      <c r="D577" t="s">
        <v>34</v>
      </c>
      <c r="E577" t="s">
        <v>309</v>
      </c>
      <c r="F577" t="s">
        <v>310</v>
      </c>
      <c r="G577" s="20" t="s">
        <v>38</v>
      </c>
      <c r="H577" s="20" t="s">
        <v>39</v>
      </c>
      <c r="I577" t="str">
        <f t="shared" si="14"/>
        <v>Apis mellifera</v>
      </c>
      <c r="J577" t="s">
        <v>70</v>
      </c>
      <c r="K577" t="s">
        <v>332</v>
      </c>
      <c r="L577" t="s">
        <v>275</v>
      </c>
      <c r="M577" t="s">
        <v>157</v>
      </c>
      <c r="N577">
        <v>495</v>
      </c>
      <c r="O577" t="s">
        <v>155</v>
      </c>
      <c r="P577" t="s">
        <v>154</v>
      </c>
      <c r="Q577" s="6">
        <v>45216</v>
      </c>
      <c r="R577">
        <v>1</v>
      </c>
      <c r="U577" t="s">
        <v>225</v>
      </c>
      <c r="AD577">
        <v>1</v>
      </c>
      <c r="AE577" s="7" t="s">
        <v>180</v>
      </c>
      <c r="AF577">
        <v>57</v>
      </c>
      <c r="AG577">
        <v>12</v>
      </c>
      <c r="AH577">
        <v>20</v>
      </c>
      <c r="AI577">
        <v>356</v>
      </c>
    </row>
    <row r="578" spans="1:35" x14ac:dyDescent="0.35">
      <c r="A578" t="s">
        <v>192</v>
      </c>
      <c r="B578" t="s">
        <v>24</v>
      </c>
      <c r="C578" t="s">
        <v>33</v>
      </c>
      <c r="D578" t="s">
        <v>34</v>
      </c>
      <c r="E578" t="s">
        <v>309</v>
      </c>
      <c r="F578" t="s">
        <v>310</v>
      </c>
      <c r="G578" s="20" t="s">
        <v>38</v>
      </c>
      <c r="H578" s="20" t="s">
        <v>39</v>
      </c>
      <c r="I578" t="str">
        <f t="shared" si="14"/>
        <v>Apis mellifera</v>
      </c>
      <c r="J578" t="s">
        <v>70</v>
      </c>
      <c r="K578" t="s">
        <v>332</v>
      </c>
      <c r="L578" t="s">
        <v>275</v>
      </c>
      <c r="M578" t="s">
        <v>157</v>
      </c>
      <c r="N578">
        <v>496</v>
      </c>
      <c r="O578" t="s">
        <v>155</v>
      </c>
      <c r="P578" t="s">
        <v>154</v>
      </c>
      <c r="Q578" s="6">
        <v>45216</v>
      </c>
      <c r="R578">
        <v>1</v>
      </c>
      <c r="U578" t="s">
        <v>225</v>
      </c>
      <c r="AD578">
        <v>2</v>
      </c>
      <c r="AE578" s="7" t="s">
        <v>178</v>
      </c>
      <c r="AF578">
        <v>57</v>
      </c>
      <c r="AG578">
        <v>12</v>
      </c>
      <c r="AH578">
        <v>20</v>
      </c>
      <c r="AI578">
        <v>357</v>
      </c>
    </row>
    <row r="579" spans="1:35" x14ac:dyDescent="0.35">
      <c r="A579" t="s">
        <v>192</v>
      </c>
      <c r="B579" t="s">
        <v>24</v>
      </c>
      <c r="C579" t="s">
        <v>33</v>
      </c>
      <c r="D579" t="s">
        <v>34</v>
      </c>
      <c r="E579" t="s">
        <v>309</v>
      </c>
      <c r="F579" t="s">
        <v>310</v>
      </c>
      <c r="G579" s="20" t="s">
        <v>38</v>
      </c>
      <c r="H579" s="20" t="s">
        <v>39</v>
      </c>
      <c r="I579" t="str">
        <f t="shared" si="14"/>
        <v>Apis mellifera</v>
      </c>
      <c r="J579" t="s">
        <v>70</v>
      </c>
      <c r="K579" t="s">
        <v>332</v>
      </c>
      <c r="L579" t="s">
        <v>275</v>
      </c>
      <c r="M579" t="s">
        <v>157</v>
      </c>
      <c r="N579">
        <v>497</v>
      </c>
      <c r="O579" t="s">
        <v>155</v>
      </c>
      <c r="P579" t="s">
        <v>154</v>
      </c>
      <c r="Q579" s="6">
        <v>45216</v>
      </c>
      <c r="R579">
        <v>1</v>
      </c>
      <c r="U579" t="s">
        <v>225</v>
      </c>
      <c r="AD579">
        <v>1</v>
      </c>
      <c r="AE579" s="7" t="s">
        <v>178</v>
      </c>
      <c r="AF579">
        <v>57</v>
      </c>
      <c r="AG579">
        <v>12</v>
      </c>
      <c r="AH579">
        <v>20</v>
      </c>
      <c r="AI579">
        <v>358</v>
      </c>
    </row>
    <row r="580" spans="1:35" x14ac:dyDescent="0.35">
      <c r="A580" t="s">
        <v>192</v>
      </c>
      <c r="B580" t="s">
        <v>24</v>
      </c>
      <c r="C580" t="s">
        <v>33</v>
      </c>
      <c r="D580" t="s">
        <v>34</v>
      </c>
      <c r="E580" t="s">
        <v>309</v>
      </c>
      <c r="F580" t="s">
        <v>310</v>
      </c>
      <c r="G580" s="20" t="s">
        <v>38</v>
      </c>
      <c r="H580" s="20" t="s">
        <v>39</v>
      </c>
      <c r="I580" t="str">
        <f t="shared" si="14"/>
        <v>Apis mellifera</v>
      </c>
      <c r="J580" t="s">
        <v>70</v>
      </c>
      <c r="K580" t="s">
        <v>332</v>
      </c>
      <c r="L580" t="s">
        <v>275</v>
      </c>
      <c r="M580" t="s">
        <v>157</v>
      </c>
      <c r="N580">
        <v>498</v>
      </c>
      <c r="O580" t="s">
        <v>155</v>
      </c>
      <c r="P580" t="s">
        <v>154</v>
      </c>
      <c r="Q580" s="6">
        <v>45216</v>
      </c>
      <c r="R580">
        <v>1</v>
      </c>
      <c r="U580" t="s">
        <v>225</v>
      </c>
      <c r="AD580">
        <v>3</v>
      </c>
      <c r="AE580" s="7" t="s">
        <v>179</v>
      </c>
      <c r="AF580">
        <v>57</v>
      </c>
      <c r="AG580">
        <v>12</v>
      </c>
      <c r="AH580">
        <v>20</v>
      </c>
      <c r="AI580">
        <v>359</v>
      </c>
    </row>
    <row r="581" spans="1:35" x14ac:dyDescent="0.35">
      <c r="A581" t="s">
        <v>192</v>
      </c>
      <c r="B581" t="s">
        <v>24</v>
      </c>
      <c r="C581" t="s">
        <v>33</v>
      </c>
      <c r="D581" t="s">
        <v>34</v>
      </c>
      <c r="E581" t="s">
        <v>309</v>
      </c>
      <c r="F581" t="s">
        <v>310</v>
      </c>
      <c r="G581" s="20" t="s">
        <v>38</v>
      </c>
      <c r="H581" s="20" t="s">
        <v>39</v>
      </c>
      <c r="I581" t="str">
        <f t="shared" si="14"/>
        <v>Apis mellifera</v>
      </c>
      <c r="J581" t="s">
        <v>70</v>
      </c>
      <c r="K581" t="s">
        <v>332</v>
      </c>
      <c r="L581" t="s">
        <v>275</v>
      </c>
      <c r="M581" t="s">
        <v>157</v>
      </c>
      <c r="N581">
        <v>508</v>
      </c>
      <c r="O581" t="s">
        <v>155</v>
      </c>
      <c r="P581" t="s">
        <v>223</v>
      </c>
      <c r="Q581" s="6">
        <v>45201</v>
      </c>
      <c r="R581">
        <v>1</v>
      </c>
      <c r="U581" t="s">
        <v>225</v>
      </c>
      <c r="AD581">
        <v>1</v>
      </c>
      <c r="AE581" s="7" t="s">
        <v>179</v>
      </c>
      <c r="AF581">
        <v>7</v>
      </c>
      <c r="AG581">
        <v>39</v>
      </c>
      <c r="AH581">
        <v>0</v>
      </c>
      <c r="AI581">
        <v>1</v>
      </c>
    </row>
    <row r="582" spans="1:35" x14ac:dyDescent="0.35">
      <c r="A582" t="s">
        <v>192</v>
      </c>
      <c r="B582" t="s">
        <v>24</v>
      </c>
      <c r="C582" t="s">
        <v>33</v>
      </c>
      <c r="D582" t="s">
        <v>34</v>
      </c>
      <c r="E582" t="s">
        <v>309</v>
      </c>
      <c r="F582" t="s">
        <v>310</v>
      </c>
      <c r="G582" s="20" t="s">
        <v>38</v>
      </c>
      <c r="H582" s="20" t="s">
        <v>39</v>
      </c>
      <c r="I582" t="str">
        <f t="shared" si="14"/>
        <v>Apis mellifera</v>
      </c>
      <c r="J582" t="s">
        <v>70</v>
      </c>
      <c r="K582" t="s">
        <v>332</v>
      </c>
      <c r="L582" t="s">
        <v>275</v>
      </c>
      <c r="M582" t="s">
        <v>157</v>
      </c>
      <c r="N582">
        <v>509</v>
      </c>
      <c r="O582" t="s">
        <v>155</v>
      </c>
      <c r="P582" t="s">
        <v>223</v>
      </c>
      <c r="Q582" s="6">
        <v>45201</v>
      </c>
      <c r="R582">
        <v>1</v>
      </c>
      <c r="U582" t="s">
        <v>225</v>
      </c>
      <c r="AD582">
        <v>1</v>
      </c>
      <c r="AE582" s="7" t="s">
        <v>178</v>
      </c>
      <c r="AF582">
        <v>6</v>
      </c>
      <c r="AG582">
        <v>39</v>
      </c>
      <c r="AH582">
        <v>0</v>
      </c>
      <c r="AI582">
        <v>2</v>
      </c>
    </row>
    <row r="583" spans="1:35" x14ac:dyDescent="0.35">
      <c r="A583" t="s">
        <v>192</v>
      </c>
      <c r="B583" t="s">
        <v>24</v>
      </c>
      <c r="C583" t="s">
        <v>33</v>
      </c>
      <c r="D583" t="s">
        <v>34</v>
      </c>
      <c r="E583" t="s">
        <v>309</v>
      </c>
      <c r="F583" t="s">
        <v>310</v>
      </c>
      <c r="G583" s="20" t="s">
        <v>38</v>
      </c>
      <c r="H583" s="20" t="s">
        <v>39</v>
      </c>
      <c r="I583" t="str">
        <f t="shared" si="14"/>
        <v>Apis mellifera</v>
      </c>
      <c r="J583" t="s">
        <v>70</v>
      </c>
      <c r="K583" t="s">
        <v>332</v>
      </c>
      <c r="L583" t="s">
        <v>275</v>
      </c>
      <c r="M583" t="s">
        <v>157</v>
      </c>
      <c r="N583">
        <v>510</v>
      </c>
      <c r="O583" t="s">
        <v>155</v>
      </c>
      <c r="P583" t="s">
        <v>223</v>
      </c>
      <c r="Q583" s="6">
        <v>45201</v>
      </c>
      <c r="R583">
        <v>1</v>
      </c>
      <c r="U583" t="s">
        <v>225</v>
      </c>
      <c r="AD583">
        <v>1</v>
      </c>
      <c r="AE583" s="7" t="s">
        <v>179</v>
      </c>
      <c r="AF583">
        <v>20</v>
      </c>
      <c r="AG583">
        <v>39</v>
      </c>
      <c r="AH583">
        <v>0</v>
      </c>
      <c r="AI583">
        <v>3</v>
      </c>
    </row>
    <row r="584" spans="1:35" x14ac:dyDescent="0.35">
      <c r="A584" t="s">
        <v>192</v>
      </c>
      <c r="B584" t="s">
        <v>24</v>
      </c>
      <c r="C584" t="s">
        <v>33</v>
      </c>
      <c r="D584" t="s">
        <v>34</v>
      </c>
      <c r="E584" t="s">
        <v>309</v>
      </c>
      <c r="F584" t="s">
        <v>310</v>
      </c>
      <c r="G584" s="20" t="s">
        <v>38</v>
      </c>
      <c r="H584" s="20" t="s">
        <v>39</v>
      </c>
      <c r="I584" t="str">
        <f t="shared" si="14"/>
        <v>Apis mellifera</v>
      </c>
      <c r="J584" t="s">
        <v>70</v>
      </c>
      <c r="K584" t="s">
        <v>332</v>
      </c>
      <c r="L584" t="s">
        <v>275</v>
      </c>
      <c r="M584" t="s">
        <v>157</v>
      </c>
      <c r="N584">
        <v>511</v>
      </c>
      <c r="O584" t="s">
        <v>155</v>
      </c>
      <c r="P584" t="s">
        <v>223</v>
      </c>
      <c r="Q584" s="6">
        <v>45201</v>
      </c>
      <c r="R584">
        <v>1</v>
      </c>
      <c r="U584" t="s">
        <v>225</v>
      </c>
      <c r="AD584">
        <v>1</v>
      </c>
      <c r="AE584" s="7" t="s">
        <v>179</v>
      </c>
      <c r="AF584">
        <v>13</v>
      </c>
      <c r="AG584">
        <v>39</v>
      </c>
      <c r="AH584">
        <v>0</v>
      </c>
      <c r="AI584">
        <v>4</v>
      </c>
    </row>
    <row r="585" spans="1:35" x14ac:dyDescent="0.35">
      <c r="A585" t="s">
        <v>192</v>
      </c>
      <c r="B585" t="s">
        <v>24</v>
      </c>
      <c r="C585" t="s">
        <v>33</v>
      </c>
      <c r="D585" t="s">
        <v>34</v>
      </c>
      <c r="E585" t="s">
        <v>309</v>
      </c>
      <c r="F585" t="s">
        <v>310</v>
      </c>
      <c r="G585" s="20" t="s">
        <v>38</v>
      </c>
      <c r="H585" s="20" t="s">
        <v>39</v>
      </c>
      <c r="I585" t="str">
        <f t="shared" si="14"/>
        <v>Apis mellifera</v>
      </c>
      <c r="J585" t="s">
        <v>70</v>
      </c>
      <c r="K585" t="s">
        <v>332</v>
      </c>
      <c r="L585" t="s">
        <v>275</v>
      </c>
      <c r="M585" t="s">
        <v>157</v>
      </c>
      <c r="N585">
        <v>512</v>
      </c>
      <c r="O585" t="s">
        <v>155</v>
      </c>
      <c r="P585" t="s">
        <v>223</v>
      </c>
      <c r="Q585" s="6">
        <v>45201</v>
      </c>
      <c r="R585">
        <v>1</v>
      </c>
      <c r="U585" t="s">
        <v>225</v>
      </c>
      <c r="AD585">
        <v>1</v>
      </c>
      <c r="AE585" s="7" t="s">
        <v>178</v>
      </c>
      <c r="AF585">
        <v>17</v>
      </c>
      <c r="AG585">
        <v>39</v>
      </c>
      <c r="AH585">
        <v>0</v>
      </c>
      <c r="AI585">
        <v>5</v>
      </c>
    </row>
    <row r="586" spans="1:35" x14ac:dyDescent="0.35">
      <c r="A586" t="s">
        <v>192</v>
      </c>
      <c r="B586" t="s">
        <v>24</v>
      </c>
      <c r="C586" t="s">
        <v>33</v>
      </c>
      <c r="D586" t="s">
        <v>34</v>
      </c>
      <c r="E586" t="s">
        <v>309</v>
      </c>
      <c r="F586" t="s">
        <v>310</v>
      </c>
      <c r="G586" s="20" t="s">
        <v>38</v>
      </c>
      <c r="H586" s="20" t="s">
        <v>39</v>
      </c>
      <c r="I586" t="str">
        <f t="shared" si="14"/>
        <v>Apis mellifera</v>
      </c>
      <c r="J586" t="s">
        <v>70</v>
      </c>
      <c r="K586" t="s">
        <v>332</v>
      </c>
      <c r="L586" t="s">
        <v>275</v>
      </c>
      <c r="M586" t="s">
        <v>157</v>
      </c>
      <c r="N586">
        <v>513</v>
      </c>
      <c r="O586" t="s">
        <v>155</v>
      </c>
      <c r="P586" t="s">
        <v>223</v>
      </c>
      <c r="Q586" s="6">
        <v>45201</v>
      </c>
      <c r="R586">
        <v>1</v>
      </c>
      <c r="U586" t="s">
        <v>225</v>
      </c>
      <c r="AD586">
        <v>1</v>
      </c>
      <c r="AE586" s="7" t="s">
        <v>179</v>
      </c>
      <c r="AF586">
        <v>17</v>
      </c>
      <c r="AG586">
        <v>39</v>
      </c>
      <c r="AH586">
        <v>0</v>
      </c>
      <c r="AI586">
        <v>6</v>
      </c>
    </row>
    <row r="587" spans="1:35" x14ac:dyDescent="0.35">
      <c r="A587" t="s">
        <v>192</v>
      </c>
      <c r="B587" t="s">
        <v>24</v>
      </c>
      <c r="C587" t="s">
        <v>33</v>
      </c>
      <c r="D587" t="s">
        <v>34</v>
      </c>
      <c r="E587" t="s">
        <v>309</v>
      </c>
      <c r="F587" t="s">
        <v>310</v>
      </c>
      <c r="G587" s="20" t="s">
        <v>38</v>
      </c>
      <c r="H587" s="20" t="s">
        <v>39</v>
      </c>
      <c r="I587" t="str">
        <f t="shared" si="14"/>
        <v>Apis mellifera</v>
      </c>
      <c r="J587" t="s">
        <v>70</v>
      </c>
      <c r="K587" t="s">
        <v>332</v>
      </c>
      <c r="L587" t="s">
        <v>275</v>
      </c>
      <c r="M587" t="s">
        <v>157</v>
      </c>
      <c r="N587">
        <v>514</v>
      </c>
      <c r="O587" t="s">
        <v>155</v>
      </c>
      <c r="P587" t="s">
        <v>223</v>
      </c>
      <c r="Q587" s="6">
        <v>45201</v>
      </c>
      <c r="R587">
        <v>1</v>
      </c>
      <c r="U587" t="s">
        <v>225</v>
      </c>
      <c r="AD587">
        <v>1</v>
      </c>
      <c r="AE587" s="7" t="s">
        <v>177</v>
      </c>
      <c r="AF587">
        <v>17</v>
      </c>
      <c r="AG587">
        <v>39</v>
      </c>
      <c r="AH587">
        <v>0</v>
      </c>
      <c r="AI587">
        <v>7</v>
      </c>
    </row>
    <row r="588" spans="1:35" x14ac:dyDescent="0.35">
      <c r="A588" t="s">
        <v>192</v>
      </c>
      <c r="B588" t="s">
        <v>24</v>
      </c>
      <c r="C588" t="s">
        <v>33</v>
      </c>
      <c r="D588" t="s">
        <v>34</v>
      </c>
      <c r="E588" t="s">
        <v>309</v>
      </c>
      <c r="F588" t="s">
        <v>310</v>
      </c>
      <c r="G588" s="20" t="s">
        <v>38</v>
      </c>
      <c r="H588" s="20" t="s">
        <v>39</v>
      </c>
      <c r="I588" t="str">
        <f t="shared" si="14"/>
        <v>Apis mellifera</v>
      </c>
      <c r="J588" t="s">
        <v>70</v>
      </c>
      <c r="K588" t="s">
        <v>332</v>
      </c>
      <c r="L588" t="s">
        <v>275</v>
      </c>
      <c r="M588" t="s">
        <v>157</v>
      </c>
      <c r="N588">
        <v>515</v>
      </c>
      <c r="O588" t="s">
        <v>155</v>
      </c>
      <c r="P588" t="s">
        <v>223</v>
      </c>
      <c r="Q588" s="6">
        <v>45201</v>
      </c>
      <c r="R588">
        <v>1</v>
      </c>
      <c r="U588" t="s">
        <v>225</v>
      </c>
      <c r="AD588">
        <v>1</v>
      </c>
      <c r="AE588" s="7" t="s">
        <v>177</v>
      </c>
      <c r="AF588">
        <v>17</v>
      </c>
      <c r="AG588">
        <v>39</v>
      </c>
      <c r="AH588">
        <v>0</v>
      </c>
      <c r="AI588">
        <v>8</v>
      </c>
    </row>
    <row r="589" spans="1:35" x14ac:dyDescent="0.35">
      <c r="A589" t="s">
        <v>192</v>
      </c>
      <c r="B589" t="s">
        <v>24</v>
      </c>
      <c r="C589" t="s">
        <v>33</v>
      </c>
      <c r="D589" t="s">
        <v>34</v>
      </c>
      <c r="E589" t="s">
        <v>309</v>
      </c>
      <c r="F589" t="s">
        <v>310</v>
      </c>
      <c r="G589" s="20" t="s">
        <v>38</v>
      </c>
      <c r="H589" s="20" t="s">
        <v>39</v>
      </c>
      <c r="I589" t="str">
        <f t="shared" si="14"/>
        <v>Apis mellifera</v>
      </c>
      <c r="J589" t="s">
        <v>70</v>
      </c>
      <c r="K589" t="s">
        <v>332</v>
      </c>
      <c r="L589" t="s">
        <v>275</v>
      </c>
      <c r="M589" t="s">
        <v>157</v>
      </c>
      <c r="N589">
        <v>516</v>
      </c>
      <c r="O589" t="s">
        <v>155</v>
      </c>
      <c r="P589" t="s">
        <v>223</v>
      </c>
      <c r="Q589" s="6">
        <v>45201</v>
      </c>
      <c r="R589">
        <v>1</v>
      </c>
      <c r="U589" t="s">
        <v>225</v>
      </c>
      <c r="AD589">
        <v>2</v>
      </c>
      <c r="AE589" s="7" t="s">
        <v>178</v>
      </c>
      <c r="AF589">
        <v>17</v>
      </c>
      <c r="AG589">
        <v>39</v>
      </c>
      <c r="AH589">
        <v>0</v>
      </c>
      <c r="AI589">
        <v>9</v>
      </c>
    </row>
    <row r="590" spans="1:35" x14ac:dyDescent="0.35">
      <c r="A590" t="s">
        <v>192</v>
      </c>
      <c r="B590" t="s">
        <v>24</v>
      </c>
      <c r="C590" t="s">
        <v>33</v>
      </c>
      <c r="D590" t="s">
        <v>34</v>
      </c>
      <c r="E590" t="s">
        <v>309</v>
      </c>
      <c r="F590" t="s">
        <v>310</v>
      </c>
      <c r="G590" s="20" t="s">
        <v>38</v>
      </c>
      <c r="H590" s="20" t="s">
        <v>39</v>
      </c>
      <c r="I590" t="str">
        <f t="shared" si="14"/>
        <v>Apis mellifera</v>
      </c>
      <c r="J590" t="s">
        <v>70</v>
      </c>
      <c r="K590" t="s">
        <v>332</v>
      </c>
      <c r="L590" t="s">
        <v>275</v>
      </c>
      <c r="M590" t="s">
        <v>157</v>
      </c>
      <c r="N590">
        <v>517</v>
      </c>
      <c r="O590" t="s">
        <v>155</v>
      </c>
      <c r="P590" t="s">
        <v>223</v>
      </c>
      <c r="Q590" s="6">
        <v>45201</v>
      </c>
      <c r="R590">
        <v>1</v>
      </c>
      <c r="U590" t="s">
        <v>225</v>
      </c>
      <c r="AD590">
        <v>2</v>
      </c>
      <c r="AE590" s="7" t="s">
        <v>178</v>
      </c>
      <c r="AF590">
        <v>17</v>
      </c>
      <c r="AG590">
        <v>39</v>
      </c>
      <c r="AH590">
        <v>0</v>
      </c>
      <c r="AI590">
        <v>10</v>
      </c>
    </row>
    <row r="591" spans="1:35" x14ac:dyDescent="0.35">
      <c r="A591" t="s">
        <v>192</v>
      </c>
      <c r="B591" t="s">
        <v>24</v>
      </c>
      <c r="C591" t="s">
        <v>33</v>
      </c>
      <c r="D591" t="s">
        <v>34</v>
      </c>
      <c r="E591" t="s">
        <v>309</v>
      </c>
      <c r="F591" t="s">
        <v>310</v>
      </c>
      <c r="G591" s="20" t="s">
        <v>38</v>
      </c>
      <c r="H591" s="20" t="s">
        <v>39</v>
      </c>
      <c r="I591" t="str">
        <f t="shared" si="14"/>
        <v>Apis mellifera</v>
      </c>
      <c r="J591" t="s">
        <v>70</v>
      </c>
      <c r="K591" t="s">
        <v>332</v>
      </c>
      <c r="L591" t="s">
        <v>275</v>
      </c>
      <c r="M591" t="s">
        <v>157</v>
      </c>
      <c r="N591">
        <v>518</v>
      </c>
      <c r="O591" t="s">
        <v>155</v>
      </c>
      <c r="P591" t="s">
        <v>223</v>
      </c>
      <c r="Q591" s="6">
        <v>45201</v>
      </c>
      <c r="R591">
        <v>1</v>
      </c>
      <c r="U591" t="s">
        <v>225</v>
      </c>
      <c r="AD591">
        <v>1</v>
      </c>
      <c r="AE591" s="7" t="s">
        <v>179</v>
      </c>
      <c r="AF591">
        <v>17</v>
      </c>
      <c r="AG591">
        <v>39</v>
      </c>
      <c r="AH591">
        <v>0</v>
      </c>
      <c r="AI591">
        <v>11</v>
      </c>
    </row>
    <row r="592" spans="1:35" x14ac:dyDescent="0.35">
      <c r="A592" t="s">
        <v>192</v>
      </c>
      <c r="B592" t="s">
        <v>24</v>
      </c>
      <c r="C592" t="s">
        <v>33</v>
      </c>
      <c r="D592" t="s">
        <v>34</v>
      </c>
      <c r="E592" t="s">
        <v>309</v>
      </c>
      <c r="F592" t="s">
        <v>310</v>
      </c>
      <c r="G592" s="20" t="s">
        <v>38</v>
      </c>
      <c r="H592" s="20" t="s">
        <v>39</v>
      </c>
      <c r="I592" t="str">
        <f t="shared" si="14"/>
        <v>Apis mellifera</v>
      </c>
      <c r="J592" t="s">
        <v>70</v>
      </c>
      <c r="K592" t="s">
        <v>332</v>
      </c>
      <c r="L592" t="s">
        <v>275</v>
      </c>
      <c r="M592" t="s">
        <v>157</v>
      </c>
      <c r="N592">
        <v>519</v>
      </c>
      <c r="O592" t="s">
        <v>155</v>
      </c>
      <c r="P592" t="s">
        <v>223</v>
      </c>
      <c r="Q592" s="6">
        <v>45201</v>
      </c>
      <c r="R592">
        <v>1</v>
      </c>
      <c r="U592" t="s">
        <v>225</v>
      </c>
      <c r="AD592">
        <v>1</v>
      </c>
      <c r="AE592" s="7" t="s">
        <v>178</v>
      </c>
      <c r="AF592">
        <v>17</v>
      </c>
      <c r="AG592">
        <v>39</v>
      </c>
      <c r="AH592">
        <v>0</v>
      </c>
      <c r="AI592">
        <v>12</v>
      </c>
    </row>
    <row r="593" spans="1:35" x14ac:dyDescent="0.35">
      <c r="A593" t="s">
        <v>192</v>
      </c>
      <c r="B593" t="s">
        <v>24</v>
      </c>
      <c r="C593" t="s">
        <v>33</v>
      </c>
      <c r="D593" t="s">
        <v>34</v>
      </c>
      <c r="E593" t="s">
        <v>309</v>
      </c>
      <c r="F593" t="s">
        <v>310</v>
      </c>
      <c r="G593" s="20" t="s">
        <v>38</v>
      </c>
      <c r="H593" s="20" t="s">
        <v>39</v>
      </c>
      <c r="I593" t="str">
        <f t="shared" si="14"/>
        <v>Apis mellifera</v>
      </c>
      <c r="J593" t="s">
        <v>70</v>
      </c>
      <c r="K593" t="s">
        <v>332</v>
      </c>
      <c r="L593" t="s">
        <v>275</v>
      </c>
      <c r="M593" t="s">
        <v>157</v>
      </c>
      <c r="N593">
        <v>520</v>
      </c>
      <c r="O593" t="s">
        <v>155</v>
      </c>
      <c r="P593" t="s">
        <v>223</v>
      </c>
      <c r="Q593" s="6">
        <v>45201</v>
      </c>
      <c r="R593">
        <v>1</v>
      </c>
      <c r="U593" t="s">
        <v>225</v>
      </c>
      <c r="AD593">
        <v>2</v>
      </c>
      <c r="AE593" s="7" t="s">
        <v>178</v>
      </c>
      <c r="AF593">
        <v>17</v>
      </c>
      <c r="AG593">
        <v>39</v>
      </c>
      <c r="AH593">
        <v>0</v>
      </c>
      <c r="AI593">
        <v>13</v>
      </c>
    </row>
    <row r="594" spans="1:35" x14ac:dyDescent="0.35">
      <c r="A594" t="s">
        <v>192</v>
      </c>
      <c r="B594" t="s">
        <v>24</v>
      </c>
      <c r="C594" t="s">
        <v>33</v>
      </c>
      <c r="D594" t="s">
        <v>34</v>
      </c>
      <c r="E594" t="s">
        <v>309</v>
      </c>
      <c r="F594" t="s">
        <v>310</v>
      </c>
      <c r="G594" s="20" t="s">
        <v>38</v>
      </c>
      <c r="H594" s="20" t="s">
        <v>39</v>
      </c>
      <c r="I594" t="str">
        <f t="shared" si="14"/>
        <v>Apis mellifera</v>
      </c>
      <c r="J594" t="s">
        <v>70</v>
      </c>
      <c r="K594" t="s">
        <v>332</v>
      </c>
      <c r="L594" t="s">
        <v>275</v>
      </c>
      <c r="M594" t="s">
        <v>157</v>
      </c>
      <c r="N594">
        <v>521</v>
      </c>
      <c r="O594" t="s">
        <v>155</v>
      </c>
      <c r="P594" t="s">
        <v>223</v>
      </c>
      <c r="Q594" s="6">
        <v>45201</v>
      </c>
      <c r="R594">
        <v>1</v>
      </c>
      <c r="U594" t="s">
        <v>225</v>
      </c>
      <c r="AD594">
        <v>2</v>
      </c>
      <c r="AE594" s="7" t="s">
        <v>178</v>
      </c>
      <c r="AF594">
        <v>17</v>
      </c>
      <c r="AG594">
        <v>39</v>
      </c>
      <c r="AH594">
        <v>0</v>
      </c>
      <c r="AI594">
        <v>14</v>
      </c>
    </row>
    <row r="595" spans="1:35" x14ac:dyDescent="0.35">
      <c r="A595" t="s">
        <v>192</v>
      </c>
      <c r="B595" t="s">
        <v>24</v>
      </c>
      <c r="C595" t="s">
        <v>33</v>
      </c>
      <c r="D595" t="s">
        <v>34</v>
      </c>
      <c r="E595" t="s">
        <v>309</v>
      </c>
      <c r="F595" t="s">
        <v>310</v>
      </c>
      <c r="G595" s="20" t="s">
        <v>38</v>
      </c>
      <c r="H595" s="20" t="s">
        <v>39</v>
      </c>
      <c r="I595" t="str">
        <f t="shared" si="14"/>
        <v>Apis mellifera</v>
      </c>
      <c r="J595" t="s">
        <v>70</v>
      </c>
      <c r="K595" t="s">
        <v>332</v>
      </c>
      <c r="L595" t="s">
        <v>275</v>
      </c>
      <c r="M595" t="s">
        <v>157</v>
      </c>
      <c r="N595">
        <v>522</v>
      </c>
      <c r="O595" t="s">
        <v>155</v>
      </c>
      <c r="P595" t="s">
        <v>223</v>
      </c>
      <c r="Q595" s="6">
        <v>45201</v>
      </c>
      <c r="R595">
        <v>1</v>
      </c>
      <c r="U595" t="s">
        <v>225</v>
      </c>
      <c r="AD595">
        <v>1</v>
      </c>
      <c r="AE595" s="7" t="s">
        <v>177</v>
      </c>
      <c r="AF595">
        <v>17</v>
      </c>
      <c r="AG595">
        <v>39</v>
      </c>
      <c r="AH595">
        <v>0</v>
      </c>
      <c r="AI595">
        <v>15</v>
      </c>
    </row>
    <row r="596" spans="1:35" x14ac:dyDescent="0.35">
      <c r="A596" t="s">
        <v>192</v>
      </c>
      <c r="B596" t="s">
        <v>24</v>
      </c>
      <c r="C596" t="s">
        <v>33</v>
      </c>
      <c r="D596" t="s">
        <v>34</v>
      </c>
      <c r="E596" t="s">
        <v>309</v>
      </c>
      <c r="F596" t="s">
        <v>310</v>
      </c>
      <c r="G596" s="20" t="s">
        <v>38</v>
      </c>
      <c r="H596" s="20" t="s">
        <v>39</v>
      </c>
      <c r="I596" t="str">
        <f t="shared" si="14"/>
        <v>Apis mellifera</v>
      </c>
      <c r="J596" t="s">
        <v>70</v>
      </c>
      <c r="K596" t="s">
        <v>332</v>
      </c>
      <c r="L596" t="s">
        <v>275</v>
      </c>
      <c r="M596" t="s">
        <v>157</v>
      </c>
      <c r="N596">
        <v>523</v>
      </c>
      <c r="O596" t="s">
        <v>155</v>
      </c>
      <c r="P596" t="s">
        <v>223</v>
      </c>
      <c r="Q596" s="6">
        <v>45201</v>
      </c>
      <c r="R596">
        <v>1</v>
      </c>
      <c r="U596" t="s">
        <v>225</v>
      </c>
      <c r="AD596">
        <v>1</v>
      </c>
      <c r="AE596" s="7" t="s">
        <v>178</v>
      </c>
      <c r="AF596">
        <v>17</v>
      </c>
      <c r="AG596">
        <v>39</v>
      </c>
      <c r="AH596">
        <v>0</v>
      </c>
      <c r="AI596">
        <v>16</v>
      </c>
    </row>
    <row r="597" spans="1:35" x14ac:dyDescent="0.35">
      <c r="A597" t="s">
        <v>192</v>
      </c>
      <c r="B597" t="s">
        <v>24</v>
      </c>
      <c r="C597" t="s">
        <v>33</v>
      </c>
      <c r="D597" t="s">
        <v>34</v>
      </c>
      <c r="E597" t="s">
        <v>309</v>
      </c>
      <c r="F597" t="s">
        <v>310</v>
      </c>
      <c r="G597" s="20" t="s">
        <v>38</v>
      </c>
      <c r="H597" s="20" t="s">
        <v>39</v>
      </c>
      <c r="I597" t="str">
        <f t="shared" si="14"/>
        <v>Apis mellifera</v>
      </c>
      <c r="J597" t="s">
        <v>70</v>
      </c>
      <c r="K597" t="s">
        <v>332</v>
      </c>
      <c r="L597" t="s">
        <v>275</v>
      </c>
      <c r="M597" t="s">
        <v>157</v>
      </c>
      <c r="N597">
        <v>524</v>
      </c>
      <c r="O597" t="s">
        <v>155</v>
      </c>
      <c r="P597" t="s">
        <v>223</v>
      </c>
      <c r="Q597" s="6">
        <v>45201</v>
      </c>
      <c r="R597">
        <v>1</v>
      </c>
      <c r="U597" t="s">
        <v>225</v>
      </c>
      <c r="AD597">
        <v>2</v>
      </c>
      <c r="AE597" s="7" t="s">
        <v>178</v>
      </c>
      <c r="AF597">
        <v>12</v>
      </c>
      <c r="AG597">
        <v>24</v>
      </c>
      <c r="AH597">
        <v>10</v>
      </c>
      <c r="AI597">
        <v>17</v>
      </c>
    </row>
    <row r="598" spans="1:35" x14ac:dyDescent="0.35">
      <c r="A598" t="s">
        <v>192</v>
      </c>
      <c r="B598" t="s">
        <v>24</v>
      </c>
      <c r="C598" t="s">
        <v>33</v>
      </c>
      <c r="D598" t="s">
        <v>34</v>
      </c>
      <c r="E598" t="s">
        <v>309</v>
      </c>
      <c r="F598" t="s">
        <v>310</v>
      </c>
      <c r="G598" s="20" t="s">
        <v>38</v>
      </c>
      <c r="H598" s="20" t="s">
        <v>39</v>
      </c>
      <c r="I598" t="str">
        <f t="shared" si="14"/>
        <v>Apis mellifera</v>
      </c>
      <c r="J598" t="s">
        <v>70</v>
      </c>
      <c r="K598" t="s">
        <v>332</v>
      </c>
      <c r="L598" t="s">
        <v>275</v>
      </c>
      <c r="M598" t="s">
        <v>157</v>
      </c>
      <c r="N598">
        <v>525</v>
      </c>
      <c r="O598" t="s">
        <v>155</v>
      </c>
      <c r="P598" t="s">
        <v>223</v>
      </c>
      <c r="Q598" s="6">
        <v>45201</v>
      </c>
      <c r="R598">
        <v>1</v>
      </c>
      <c r="U598" t="s">
        <v>225</v>
      </c>
      <c r="AD598">
        <v>2</v>
      </c>
      <c r="AE598" s="7" t="s">
        <v>178</v>
      </c>
      <c r="AF598">
        <v>12</v>
      </c>
      <c r="AG598">
        <v>24</v>
      </c>
      <c r="AH598">
        <v>10</v>
      </c>
      <c r="AI598">
        <v>18</v>
      </c>
    </row>
    <row r="599" spans="1:35" x14ac:dyDescent="0.35">
      <c r="A599" t="s">
        <v>192</v>
      </c>
      <c r="B599" t="s">
        <v>24</v>
      </c>
      <c r="C599" t="s">
        <v>33</v>
      </c>
      <c r="D599" t="s">
        <v>34</v>
      </c>
      <c r="E599" t="s">
        <v>309</v>
      </c>
      <c r="F599" t="s">
        <v>310</v>
      </c>
      <c r="G599" s="20" t="s">
        <v>38</v>
      </c>
      <c r="H599" s="20" t="s">
        <v>39</v>
      </c>
      <c r="I599" t="str">
        <f t="shared" si="14"/>
        <v>Apis mellifera</v>
      </c>
      <c r="J599" t="s">
        <v>70</v>
      </c>
      <c r="K599" t="s">
        <v>332</v>
      </c>
      <c r="L599" t="s">
        <v>275</v>
      </c>
      <c r="M599" t="s">
        <v>157</v>
      </c>
      <c r="N599">
        <v>527</v>
      </c>
      <c r="O599" t="s">
        <v>155</v>
      </c>
      <c r="P599" t="s">
        <v>223</v>
      </c>
      <c r="Q599" s="6">
        <v>45201</v>
      </c>
      <c r="R599">
        <v>1</v>
      </c>
      <c r="S599" t="s">
        <v>171</v>
      </c>
      <c r="T599" t="s">
        <v>72</v>
      </c>
      <c r="U599" t="s">
        <v>271</v>
      </c>
      <c r="AD599">
        <v>2</v>
      </c>
      <c r="AE599" s="7" t="s">
        <v>178</v>
      </c>
      <c r="AF599">
        <v>12</v>
      </c>
      <c r="AG599">
        <v>24</v>
      </c>
      <c r="AH599">
        <v>10</v>
      </c>
      <c r="AI599">
        <v>19</v>
      </c>
    </row>
    <row r="600" spans="1:35" x14ac:dyDescent="0.35">
      <c r="A600" t="s">
        <v>192</v>
      </c>
      <c r="B600" t="s">
        <v>24</v>
      </c>
      <c r="C600" t="s">
        <v>33</v>
      </c>
      <c r="D600" t="s">
        <v>34</v>
      </c>
      <c r="E600" t="s">
        <v>309</v>
      </c>
      <c r="F600" t="s">
        <v>310</v>
      </c>
      <c r="G600" s="20" t="s">
        <v>38</v>
      </c>
      <c r="H600" s="20" t="s">
        <v>39</v>
      </c>
      <c r="I600" t="str">
        <f t="shared" si="14"/>
        <v>Apis mellifera</v>
      </c>
      <c r="J600" t="s">
        <v>70</v>
      </c>
      <c r="K600" t="s">
        <v>332</v>
      </c>
      <c r="L600" t="s">
        <v>275</v>
      </c>
      <c r="M600" t="s">
        <v>157</v>
      </c>
      <c r="N600">
        <v>528</v>
      </c>
      <c r="O600" t="s">
        <v>155</v>
      </c>
      <c r="P600" t="s">
        <v>223</v>
      </c>
      <c r="Q600" s="6">
        <v>45201</v>
      </c>
      <c r="R600">
        <v>1</v>
      </c>
      <c r="S600" t="s">
        <v>171</v>
      </c>
      <c r="T600" t="s">
        <v>72</v>
      </c>
      <c r="U600" t="s">
        <v>271</v>
      </c>
      <c r="AD600">
        <v>2</v>
      </c>
      <c r="AE600" s="7" t="s">
        <v>179</v>
      </c>
      <c r="AF600">
        <v>12</v>
      </c>
      <c r="AG600">
        <v>24</v>
      </c>
      <c r="AH600">
        <v>10</v>
      </c>
      <c r="AI600">
        <v>20</v>
      </c>
    </row>
    <row r="601" spans="1:35" x14ac:dyDescent="0.35">
      <c r="A601" t="s">
        <v>192</v>
      </c>
      <c r="B601" t="s">
        <v>24</v>
      </c>
      <c r="C601" t="s">
        <v>33</v>
      </c>
      <c r="D601" t="s">
        <v>34</v>
      </c>
      <c r="E601" t="s">
        <v>309</v>
      </c>
      <c r="F601" t="s">
        <v>310</v>
      </c>
      <c r="G601" s="20" t="s">
        <v>38</v>
      </c>
      <c r="H601" s="20" t="s">
        <v>39</v>
      </c>
      <c r="I601" t="str">
        <f t="shared" si="14"/>
        <v>Apis mellifera</v>
      </c>
      <c r="J601" t="s">
        <v>70</v>
      </c>
      <c r="K601" t="s">
        <v>332</v>
      </c>
      <c r="L601" t="s">
        <v>275</v>
      </c>
      <c r="M601" t="s">
        <v>157</v>
      </c>
      <c r="N601">
        <v>529</v>
      </c>
      <c r="O601" t="s">
        <v>155</v>
      </c>
      <c r="P601" t="s">
        <v>223</v>
      </c>
      <c r="Q601" s="6">
        <v>45201</v>
      </c>
      <c r="R601">
        <v>1</v>
      </c>
      <c r="S601" t="s">
        <v>171</v>
      </c>
      <c r="T601" t="s">
        <v>72</v>
      </c>
      <c r="U601" t="s">
        <v>271</v>
      </c>
      <c r="AD601">
        <v>4</v>
      </c>
      <c r="AE601" s="7" t="s">
        <v>178</v>
      </c>
      <c r="AF601">
        <v>12</v>
      </c>
      <c r="AG601">
        <v>24</v>
      </c>
      <c r="AH601">
        <v>10</v>
      </c>
      <c r="AI601">
        <v>21</v>
      </c>
    </row>
    <row r="602" spans="1:35" x14ac:dyDescent="0.35">
      <c r="A602" t="s">
        <v>192</v>
      </c>
      <c r="B602" t="s">
        <v>24</v>
      </c>
      <c r="C602" t="s">
        <v>33</v>
      </c>
      <c r="D602" t="s">
        <v>34</v>
      </c>
      <c r="E602" t="s">
        <v>309</v>
      </c>
      <c r="F602" t="s">
        <v>310</v>
      </c>
      <c r="G602" s="20" t="s">
        <v>38</v>
      </c>
      <c r="H602" s="20" t="s">
        <v>39</v>
      </c>
      <c r="I602" t="str">
        <f t="shared" si="14"/>
        <v>Apis mellifera</v>
      </c>
      <c r="J602" t="s">
        <v>70</v>
      </c>
      <c r="K602" t="s">
        <v>332</v>
      </c>
      <c r="L602" t="s">
        <v>275</v>
      </c>
      <c r="M602" t="s">
        <v>157</v>
      </c>
      <c r="N602">
        <v>530</v>
      </c>
      <c r="O602" t="s">
        <v>155</v>
      </c>
      <c r="P602" t="s">
        <v>223</v>
      </c>
      <c r="Q602" s="6">
        <v>45201</v>
      </c>
      <c r="R602">
        <v>1</v>
      </c>
      <c r="S602" t="s">
        <v>172</v>
      </c>
      <c r="T602" t="s">
        <v>78</v>
      </c>
      <c r="U602" t="s">
        <v>271</v>
      </c>
      <c r="AD602">
        <v>3</v>
      </c>
      <c r="AE602" s="7" t="s">
        <v>178</v>
      </c>
      <c r="AF602">
        <v>12</v>
      </c>
      <c r="AG602">
        <v>24</v>
      </c>
      <c r="AH602">
        <v>10</v>
      </c>
      <c r="AI602">
        <v>22</v>
      </c>
    </row>
    <row r="603" spans="1:35" x14ac:dyDescent="0.35">
      <c r="A603" t="s">
        <v>192</v>
      </c>
      <c r="B603" t="s">
        <v>24</v>
      </c>
      <c r="C603" t="s">
        <v>33</v>
      </c>
      <c r="D603" t="s">
        <v>34</v>
      </c>
      <c r="E603" t="s">
        <v>309</v>
      </c>
      <c r="F603" t="s">
        <v>310</v>
      </c>
      <c r="G603" s="20" t="s">
        <v>38</v>
      </c>
      <c r="H603" s="20" t="s">
        <v>39</v>
      </c>
      <c r="I603" t="str">
        <f t="shared" si="14"/>
        <v>Apis mellifera</v>
      </c>
      <c r="J603" t="s">
        <v>70</v>
      </c>
      <c r="K603" t="s">
        <v>332</v>
      </c>
      <c r="L603" t="s">
        <v>275</v>
      </c>
      <c r="M603" t="s">
        <v>157</v>
      </c>
      <c r="N603">
        <v>531</v>
      </c>
      <c r="O603" t="s">
        <v>155</v>
      </c>
      <c r="P603" t="s">
        <v>223</v>
      </c>
      <c r="Q603" s="6">
        <v>45201</v>
      </c>
      <c r="R603">
        <v>1</v>
      </c>
      <c r="S603" t="s">
        <v>109</v>
      </c>
      <c r="T603" t="s">
        <v>72</v>
      </c>
      <c r="U603" t="s">
        <v>271</v>
      </c>
      <c r="AD603">
        <v>2</v>
      </c>
      <c r="AE603" s="7" t="s">
        <v>178</v>
      </c>
      <c r="AF603">
        <v>12</v>
      </c>
      <c r="AG603">
        <v>24</v>
      </c>
      <c r="AH603">
        <v>10</v>
      </c>
      <c r="AI603">
        <v>23</v>
      </c>
    </row>
    <row r="604" spans="1:35" x14ac:dyDescent="0.35">
      <c r="A604" t="s">
        <v>192</v>
      </c>
      <c r="B604" t="s">
        <v>24</v>
      </c>
      <c r="C604" t="s">
        <v>33</v>
      </c>
      <c r="D604" t="s">
        <v>34</v>
      </c>
      <c r="E604" t="s">
        <v>309</v>
      </c>
      <c r="F604" t="s">
        <v>310</v>
      </c>
      <c r="G604" s="20" t="s">
        <v>38</v>
      </c>
      <c r="H604" s="20" t="s">
        <v>39</v>
      </c>
      <c r="I604" t="str">
        <f t="shared" si="14"/>
        <v>Apis mellifera</v>
      </c>
      <c r="J604" t="s">
        <v>70</v>
      </c>
      <c r="K604" t="s">
        <v>332</v>
      </c>
      <c r="L604" t="s">
        <v>275</v>
      </c>
      <c r="M604" t="s">
        <v>157</v>
      </c>
      <c r="N604">
        <v>532</v>
      </c>
      <c r="O604" t="s">
        <v>155</v>
      </c>
      <c r="P604" t="s">
        <v>223</v>
      </c>
      <c r="Q604" s="6">
        <v>45201</v>
      </c>
      <c r="R604">
        <v>1</v>
      </c>
      <c r="S604" t="s">
        <v>109</v>
      </c>
      <c r="T604" t="s">
        <v>72</v>
      </c>
      <c r="U604" t="s">
        <v>271</v>
      </c>
      <c r="AD604">
        <v>2</v>
      </c>
      <c r="AE604" s="7" t="s">
        <v>179</v>
      </c>
      <c r="AF604">
        <v>12</v>
      </c>
      <c r="AG604">
        <v>24</v>
      </c>
      <c r="AH604">
        <v>10</v>
      </c>
      <c r="AI604">
        <v>24</v>
      </c>
    </row>
    <row r="605" spans="1:35" x14ac:dyDescent="0.35">
      <c r="A605" t="s">
        <v>192</v>
      </c>
      <c r="B605" t="s">
        <v>24</v>
      </c>
      <c r="C605" t="s">
        <v>33</v>
      </c>
      <c r="D605" t="s">
        <v>34</v>
      </c>
      <c r="E605" t="s">
        <v>309</v>
      </c>
      <c r="F605" t="s">
        <v>310</v>
      </c>
      <c r="G605" s="20" t="s">
        <v>38</v>
      </c>
      <c r="H605" s="20" t="s">
        <v>39</v>
      </c>
      <c r="I605" t="str">
        <f t="shared" si="14"/>
        <v>Apis mellifera</v>
      </c>
      <c r="J605" t="s">
        <v>70</v>
      </c>
      <c r="K605" t="s">
        <v>332</v>
      </c>
      <c r="L605" t="s">
        <v>275</v>
      </c>
      <c r="M605" t="s">
        <v>157</v>
      </c>
      <c r="N605">
        <v>533</v>
      </c>
      <c r="O605" t="s">
        <v>155</v>
      </c>
      <c r="P605" t="s">
        <v>223</v>
      </c>
      <c r="Q605" s="6">
        <v>45201</v>
      </c>
      <c r="R605">
        <v>1</v>
      </c>
      <c r="S605" t="s">
        <v>109</v>
      </c>
      <c r="T605" t="s">
        <v>72</v>
      </c>
      <c r="U605" t="s">
        <v>271</v>
      </c>
      <c r="AD605">
        <v>5</v>
      </c>
      <c r="AE605" s="7" t="s">
        <v>178</v>
      </c>
      <c r="AF605">
        <v>12</v>
      </c>
      <c r="AG605">
        <v>24</v>
      </c>
      <c r="AH605">
        <v>10</v>
      </c>
      <c r="AI605">
        <v>25</v>
      </c>
    </row>
    <row r="606" spans="1:35" x14ac:dyDescent="0.35">
      <c r="A606" t="s">
        <v>192</v>
      </c>
      <c r="B606" t="s">
        <v>24</v>
      </c>
      <c r="C606" t="s">
        <v>33</v>
      </c>
      <c r="D606" t="s">
        <v>34</v>
      </c>
      <c r="E606" t="s">
        <v>309</v>
      </c>
      <c r="F606" t="s">
        <v>310</v>
      </c>
      <c r="G606" s="20" t="s">
        <v>38</v>
      </c>
      <c r="H606" s="20" t="s">
        <v>39</v>
      </c>
      <c r="I606" t="str">
        <f t="shared" si="14"/>
        <v>Apis mellifera</v>
      </c>
      <c r="J606" t="s">
        <v>70</v>
      </c>
      <c r="K606" t="s">
        <v>332</v>
      </c>
      <c r="L606" t="s">
        <v>275</v>
      </c>
      <c r="M606" t="s">
        <v>157</v>
      </c>
      <c r="N606">
        <v>534</v>
      </c>
      <c r="O606" t="s">
        <v>155</v>
      </c>
      <c r="P606" t="s">
        <v>223</v>
      </c>
      <c r="Q606" s="6">
        <v>45201</v>
      </c>
      <c r="R606">
        <v>1</v>
      </c>
      <c r="S606" t="s">
        <v>109</v>
      </c>
      <c r="T606" t="s">
        <v>72</v>
      </c>
      <c r="U606" t="s">
        <v>271</v>
      </c>
      <c r="AD606">
        <v>4</v>
      </c>
      <c r="AE606" s="7" t="s">
        <v>180</v>
      </c>
      <c r="AF606">
        <v>12</v>
      </c>
      <c r="AG606">
        <v>24</v>
      </c>
      <c r="AH606">
        <v>10</v>
      </c>
      <c r="AI606">
        <v>26</v>
      </c>
    </row>
    <row r="607" spans="1:35" x14ac:dyDescent="0.35">
      <c r="A607" t="s">
        <v>192</v>
      </c>
      <c r="B607" t="s">
        <v>24</v>
      </c>
      <c r="C607" t="s">
        <v>33</v>
      </c>
      <c r="D607" t="s">
        <v>34</v>
      </c>
      <c r="E607" t="s">
        <v>309</v>
      </c>
      <c r="F607" t="s">
        <v>310</v>
      </c>
      <c r="G607" s="20" t="s">
        <v>38</v>
      </c>
      <c r="H607" s="20" t="s">
        <v>39</v>
      </c>
      <c r="I607" t="str">
        <f t="shared" si="14"/>
        <v>Apis mellifera</v>
      </c>
      <c r="J607" t="s">
        <v>70</v>
      </c>
      <c r="K607" t="s">
        <v>332</v>
      </c>
      <c r="L607" t="s">
        <v>275</v>
      </c>
      <c r="M607" t="s">
        <v>157</v>
      </c>
      <c r="N607">
        <v>535</v>
      </c>
      <c r="O607" t="s">
        <v>155</v>
      </c>
      <c r="P607" t="s">
        <v>223</v>
      </c>
      <c r="Q607" s="6">
        <v>45201</v>
      </c>
      <c r="R607">
        <v>1</v>
      </c>
      <c r="S607" t="s">
        <v>109</v>
      </c>
      <c r="T607" t="s">
        <v>72</v>
      </c>
      <c r="U607" t="s">
        <v>271</v>
      </c>
      <c r="AD607">
        <v>3</v>
      </c>
      <c r="AE607" s="7"/>
      <c r="AF607">
        <v>12</v>
      </c>
      <c r="AG607">
        <v>24</v>
      </c>
      <c r="AH607">
        <v>10</v>
      </c>
      <c r="AI607">
        <v>27</v>
      </c>
    </row>
    <row r="608" spans="1:35" x14ac:dyDescent="0.35">
      <c r="A608" t="s">
        <v>192</v>
      </c>
      <c r="B608" t="s">
        <v>24</v>
      </c>
      <c r="C608" t="s">
        <v>33</v>
      </c>
      <c r="D608" t="s">
        <v>34</v>
      </c>
      <c r="E608" t="s">
        <v>309</v>
      </c>
      <c r="F608" t="s">
        <v>310</v>
      </c>
      <c r="G608" s="20" t="s">
        <v>38</v>
      </c>
      <c r="H608" s="20" t="s">
        <v>39</v>
      </c>
      <c r="I608" t="str">
        <f t="shared" si="14"/>
        <v>Apis mellifera</v>
      </c>
      <c r="J608" t="s">
        <v>70</v>
      </c>
      <c r="K608" t="s">
        <v>332</v>
      </c>
      <c r="L608" t="s">
        <v>275</v>
      </c>
      <c r="M608" t="s">
        <v>157</v>
      </c>
      <c r="N608">
        <v>536</v>
      </c>
      <c r="O608" t="s">
        <v>155</v>
      </c>
      <c r="P608" t="s">
        <v>223</v>
      </c>
      <c r="Q608" s="6">
        <v>45201</v>
      </c>
      <c r="R608">
        <v>1</v>
      </c>
      <c r="S608" t="s">
        <v>72</v>
      </c>
      <c r="T608" t="s">
        <v>72</v>
      </c>
      <c r="U608" t="s">
        <v>271</v>
      </c>
      <c r="AD608">
        <v>2</v>
      </c>
      <c r="AE608" s="7" t="s">
        <v>180</v>
      </c>
      <c r="AF608">
        <v>12</v>
      </c>
      <c r="AG608">
        <v>24</v>
      </c>
      <c r="AH608">
        <v>10</v>
      </c>
      <c r="AI608">
        <v>28</v>
      </c>
    </row>
    <row r="609" spans="1:35" x14ac:dyDescent="0.35">
      <c r="A609" t="s">
        <v>192</v>
      </c>
      <c r="B609" t="s">
        <v>24</v>
      </c>
      <c r="C609" t="s">
        <v>33</v>
      </c>
      <c r="D609" t="s">
        <v>34</v>
      </c>
      <c r="E609" t="s">
        <v>309</v>
      </c>
      <c r="F609" t="s">
        <v>310</v>
      </c>
      <c r="G609" s="20" t="s">
        <v>38</v>
      </c>
      <c r="H609" s="20" t="s">
        <v>39</v>
      </c>
      <c r="I609" t="str">
        <f t="shared" si="14"/>
        <v>Apis mellifera</v>
      </c>
      <c r="J609" t="s">
        <v>70</v>
      </c>
      <c r="K609" t="s">
        <v>332</v>
      </c>
      <c r="L609" t="s">
        <v>275</v>
      </c>
      <c r="M609" t="s">
        <v>157</v>
      </c>
      <c r="N609">
        <v>538</v>
      </c>
      <c r="O609" t="s">
        <v>155</v>
      </c>
      <c r="P609" t="s">
        <v>223</v>
      </c>
      <c r="Q609" s="6">
        <v>45201</v>
      </c>
      <c r="R609">
        <v>1</v>
      </c>
      <c r="S609" t="s">
        <v>72</v>
      </c>
      <c r="T609" t="s">
        <v>72</v>
      </c>
      <c r="U609" t="s">
        <v>271</v>
      </c>
      <c r="AD609">
        <v>2</v>
      </c>
      <c r="AE609" s="7" t="s">
        <v>179</v>
      </c>
      <c r="AF609">
        <v>12</v>
      </c>
      <c r="AG609">
        <v>24</v>
      </c>
      <c r="AH609">
        <v>10</v>
      </c>
      <c r="AI609">
        <v>29</v>
      </c>
    </row>
    <row r="610" spans="1:35" x14ac:dyDescent="0.35">
      <c r="A610" t="s">
        <v>192</v>
      </c>
      <c r="B610" t="s">
        <v>24</v>
      </c>
      <c r="C610" t="s">
        <v>33</v>
      </c>
      <c r="D610" t="s">
        <v>34</v>
      </c>
      <c r="E610" t="s">
        <v>309</v>
      </c>
      <c r="F610" t="s">
        <v>310</v>
      </c>
      <c r="G610" s="20" t="s">
        <v>38</v>
      </c>
      <c r="H610" s="20" t="s">
        <v>39</v>
      </c>
      <c r="I610" t="str">
        <f t="shared" si="14"/>
        <v>Apis mellifera</v>
      </c>
      <c r="J610" t="s">
        <v>70</v>
      </c>
      <c r="K610" t="s">
        <v>332</v>
      </c>
      <c r="L610" t="s">
        <v>275</v>
      </c>
      <c r="M610" t="s">
        <v>157</v>
      </c>
      <c r="N610">
        <v>539</v>
      </c>
      <c r="O610" t="s">
        <v>155</v>
      </c>
      <c r="P610" t="s">
        <v>223</v>
      </c>
      <c r="Q610" s="6">
        <v>45201</v>
      </c>
      <c r="R610">
        <v>1</v>
      </c>
      <c r="S610" t="s">
        <v>72</v>
      </c>
      <c r="T610" t="s">
        <v>72</v>
      </c>
      <c r="U610" t="s">
        <v>271</v>
      </c>
      <c r="AD610">
        <v>1</v>
      </c>
      <c r="AE610" s="7" t="s">
        <v>178</v>
      </c>
      <c r="AF610">
        <v>12</v>
      </c>
      <c r="AG610">
        <v>24</v>
      </c>
      <c r="AH610">
        <v>10</v>
      </c>
      <c r="AI610">
        <v>30</v>
      </c>
    </row>
    <row r="611" spans="1:35" x14ac:dyDescent="0.35">
      <c r="A611" t="s">
        <v>192</v>
      </c>
      <c r="B611" t="s">
        <v>24</v>
      </c>
      <c r="C611" t="s">
        <v>33</v>
      </c>
      <c r="D611" t="s">
        <v>34</v>
      </c>
      <c r="E611" t="s">
        <v>309</v>
      </c>
      <c r="F611" t="s">
        <v>310</v>
      </c>
      <c r="G611" s="20" t="s">
        <v>38</v>
      </c>
      <c r="H611" s="20" t="s">
        <v>39</v>
      </c>
      <c r="I611" t="str">
        <f t="shared" si="14"/>
        <v>Apis mellifera</v>
      </c>
      <c r="J611" t="s">
        <v>70</v>
      </c>
      <c r="K611" t="s">
        <v>332</v>
      </c>
      <c r="L611" t="s">
        <v>275</v>
      </c>
      <c r="M611" t="s">
        <v>157</v>
      </c>
      <c r="N611">
        <v>540</v>
      </c>
      <c r="O611" t="s">
        <v>155</v>
      </c>
      <c r="P611" t="s">
        <v>223</v>
      </c>
      <c r="Q611" s="6">
        <v>45201</v>
      </c>
      <c r="R611">
        <v>1</v>
      </c>
      <c r="S611" t="s">
        <v>72</v>
      </c>
      <c r="T611" t="s">
        <v>72</v>
      </c>
      <c r="U611" t="s">
        <v>271</v>
      </c>
      <c r="AD611">
        <v>2</v>
      </c>
      <c r="AE611" s="7" t="s">
        <v>180</v>
      </c>
      <c r="AF611">
        <v>12</v>
      </c>
      <c r="AG611">
        <v>24</v>
      </c>
      <c r="AH611">
        <v>10</v>
      </c>
      <c r="AI611">
        <v>31</v>
      </c>
    </row>
    <row r="612" spans="1:35" x14ac:dyDescent="0.35">
      <c r="A612" t="s">
        <v>192</v>
      </c>
      <c r="B612" t="s">
        <v>24</v>
      </c>
      <c r="C612" t="s">
        <v>33</v>
      </c>
      <c r="D612" t="s">
        <v>34</v>
      </c>
      <c r="E612" t="s">
        <v>309</v>
      </c>
      <c r="F612" t="s">
        <v>310</v>
      </c>
      <c r="G612" s="20" t="s">
        <v>38</v>
      </c>
      <c r="H612" s="20" t="s">
        <v>39</v>
      </c>
      <c r="I612" t="str">
        <f t="shared" si="14"/>
        <v>Apis mellifera</v>
      </c>
      <c r="J612" t="s">
        <v>70</v>
      </c>
      <c r="K612" t="s">
        <v>332</v>
      </c>
      <c r="L612" t="s">
        <v>275</v>
      </c>
      <c r="M612" t="s">
        <v>157</v>
      </c>
      <c r="N612">
        <v>541</v>
      </c>
      <c r="O612" t="s">
        <v>155</v>
      </c>
      <c r="P612" t="s">
        <v>223</v>
      </c>
      <c r="Q612" s="6">
        <v>45201</v>
      </c>
      <c r="R612">
        <v>1</v>
      </c>
      <c r="S612" t="s">
        <v>72</v>
      </c>
      <c r="T612" t="s">
        <v>72</v>
      </c>
      <c r="U612" t="s">
        <v>271</v>
      </c>
      <c r="AD612">
        <v>6</v>
      </c>
      <c r="AE612" s="7" t="s">
        <v>179</v>
      </c>
      <c r="AF612">
        <v>12</v>
      </c>
      <c r="AG612">
        <v>24</v>
      </c>
      <c r="AH612">
        <v>10</v>
      </c>
      <c r="AI612">
        <v>32</v>
      </c>
    </row>
    <row r="613" spans="1:35" x14ac:dyDescent="0.35">
      <c r="A613" t="s">
        <v>192</v>
      </c>
      <c r="B613" t="s">
        <v>24</v>
      </c>
      <c r="C613" t="s">
        <v>33</v>
      </c>
      <c r="D613" t="s">
        <v>34</v>
      </c>
      <c r="E613" t="s">
        <v>309</v>
      </c>
      <c r="F613" t="s">
        <v>310</v>
      </c>
      <c r="G613" s="20" t="s">
        <v>38</v>
      </c>
      <c r="H613" s="20" t="s">
        <v>39</v>
      </c>
      <c r="I613" t="str">
        <f t="shared" si="14"/>
        <v>Apis mellifera</v>
      </c>
      <c r="J613" t="s">
        <v>70</v>
      </c>
      <c r="K613" t="s">
        <v>332</v>
      </c>
      <c r="L613" t="s">
        <v>275</v>
      </c>
      <c r="M613" t="s">
        <v>157</v>
      </c>
      <c r="N613">
        <v>542</v>
      </c>
      <c r="O613" t="s">
        <v>155</v>
      </c>
      <c r="P613" t="s">
        <v>223</v>
      </c>
      <c r="Q613" s="6">
        <v>45201</v>
      </c>
      <c r="R613">
        <v>1</v>
      </c>
      <c r="S613" t="s">
        <v>72</v>
      </c>
      <c r="T613" t="s">
        <v>72</v>
      </c>
      <c r="U613" t="s">
        <v>271</v>
      </c>
      <c r="AD613">
        <v>3</v>
      </c>
      <c r="AE613" s="7" t="s">
        <v>178</v>
      </c>
      <c r="AF613">
        <v>12</v>
      </c>
      <c r="AG613">
        <v>24</v>
      </c>
      <c r="AH613">
        <v>10</v>
      </c>
      <c r="AI613">
        <v>33</v>
      </c>
    </row>
    <row r="614" spans="1:35" x14ac:dyDescent="0.35">
      <c r="A614" t="s">
        <v>192</v>
      </c>
      <c r="B614" t="s">
        <v>24</v>
      </c>
      <c r="C614" t="s">
        <v>33</v>
      </c>
      <c r="D614" t="s">
        <v>34</v>
      </c>
      <c r="E614" t="s">
        <v>309</v>
      </c>
      <c r="F614" t="s">
        <v>310</v>
      </c>
      <c r="G614" s="20" t="s">
        <v>38</v>
      </c>
      <c r="H614" s="20" t="s">
        <v>39</v>
      </c>
      <c r="I614" t="str">
        <f t="shared" ref="I614:I677" si="15">G614&amp;" "&amp;H614</f>
        <v>Apis mellifera</v>
      </c>
      <c r="J614" t="s">
        <v>70</v>
      </c>
      <c r="K614" t="s">
        <v>332</v>
      </c>
      <c r="L614" t="s">
        <v>275</v>
      </c>
      <c r="M614" t="s">
        <v>157</v>
      </c>
      <c r="N614">
        <v>543</v>
      </c>
      <c r="O614" t="s">
        <v>155</v>
      </c>
      <c r="P614" t="s">
        <v>223</v>
      </c>
      <c r="Q614" s="6">
        <v>45201</v>
      </c>
      <c r="R614">
        <v>1</v>
      </c>
      <c r="S614" t="s">
        <v>72</v>
      </c>
      <c r="T614" t="s">
        <v>72</v>
      </c>
      <c r="U614" t="s">
        <v>271</v>
      </c>
      <c r="AD614">
        <v>1</v>
      </c>
      <c r="AE614" s="7" t="s">
        <v>178</v>
      </c>
      <c r="AF614">
        <v>12</v>
      </c>
      <c r="AG614">
        <v>24</v>
      </c>
      <c r="AH614">
        <v>10</v>
      </c>
      <c r="AI614">
        <v>34</v>
      </c>
    </row>
    <row r="615" spans="1:35" x14ac:dyDescent="0.35">
      <c r="A615" t="s">
        <v>192</v>
      </c>
      <c r="B615" t="s">
        <v>24</v>
      </c>
      <c r="C615" t="s">
        <v>33</v>
      </c>
      <c r="D615" t="s">
        <v>34</v>
      </c>
      <c r="E615" t="s">
        <v>309</v>
      </c>
      <c r="F615" t="s">
        <v>310</v>
      </c>
      <c r="G615" s="20" t="s">
        <v>38</v>
      </c>
      <c r="H615" s="20" t="s">
        <v>39</v>
      </c>
      <c r="I615" t="str">
        <f t="shared" si="15"/>
        <v>Apis mellifera</v>
      </c>
      <c r="J615" t="s">
        <v>70</v>
      </c>
      <c r="K615" t="s">
        <v>332</v>
      </c>
      <c r="L615" t="s">
        <v>275</v>
      </c>
      <c r="M615" t="s">
        <v>157</v>
      </c>
      <c r="N615">
        <v>544</v>
      </c>
      <c r="O615" t="s">
        <v>155</v>
      </c>
      <c r="P615" t="s">
        <v>223</v>
      </c>
      <c r="Q615" s="6">
        <v>45201</v>
      </c>
      <c r="R615">
        <v>1</v>
      </c>
      <c r="S615" t="s">
        <v>72</v>
      </c>
      <c r="T615" t="s">
        <v>72</v>
      </c>
      <c r="U615" t="s">
        <v>271</v>
      </c>
      <c r="AD615">
        <v>1</v>
      </c>
      <c r="AE615" s="7" t="s">
        <v>179</v>
      </c>
      <c r="AF615">
        <v>12</v>
      </c>
      <c r="AG615">
        <v>24</v>
      </c>
      <c r="AH615">
        <v>10</v>
      </c>
      <c r="AI615">
        <v>35</v>
      </c>
    </row>
    <row r="616" spans="1:35" x14ac:dyDescent="0.35">
      <c r="A616" t="s">
        <v>192</v>
      </c>
      <c r="B616" t="s">
        <v>24</v>
      </c>
      <c r="C616" t="s">
        <v>33</v>
      </c>
      <c r="D616" t="s">
        <v>34</v>
      </c>
      <c r="E616" t="s">
        <v>309</v>
      </c>
      <c r="F616" t="s">
        <v>310</v>
      </c>
      <c r="G616" s="20" t="s">
        <v>38</v>
      </c>
      <c r="H616" s="20" t="s">
        <v>39</v>
      </c>
      <c r="I616" t="str">
        <f t="shared" si="15"/>
        <v>Apis mellifera</v>
      </c>
      <c r="J616" t="s">
        <v>70</v>
      </c>
      <c r="K616" t="s">
        <v>332</v>
      </c>
      <c r="L616" t="s">
        <v>275</v>
      </c>
      <c r="M616" t="s">
        <v>157</v>
      </c>
      <c r="N616">
        <v>545</v>
      </c>
      <c r="O616" t="s">
        <v>155</v>
      </c>
      <c r="P616" t="s">
        <v>223</v>
      </c>
      <c r="Q616" s="6">
        <v>45201</v>
      </c>
      <c r="R616">
        <v>1</v>
      </c>
      <c r="S616" t="s">
        <v>72</v>
      </c>
      <c r="T616" t="s">
        <v>72</v>
      </c>
      <c r="U616" t="s">
        <v>271</v>
      </c>
      <c r="AD616">
        <v>3</v>
      </c>
      <c r="AE616" s="7" t="s">
        <v>179</v>
      </c>
      <c r="AF616">
        <v>12</v>
      </c>
      <c r="AG616">
        <v>24</v>
      </c>
      <c r="AH616">
        <v>10</v>
      </c>
      <c r="AI616">
        <v>36</v>
      </c>
    </row>
    <row r="617" spans="1:35" x14ac:dyDescent="0.35">
      <c r="A617" t="s">
        <v>192</v>
      </c>
      <c r="B617" t="s">
        <v>24</v>
      </c>
      <c r="C617" t="s">
        <v>33</v>
      </c>
      <c r="D617" t="s">
        <v>34</v>
      </c>
      <c r="E617" t="s">
        <v>309</v>
      </c>
      <c r="F617" t="s">
        <v>310</v>
      </c>
      <c r="G617" s="20" t="s">
        <v>38</v>
      </c>
      <c r="H617" s="20" t="s">
        <v>39</v>
      </c>
      <c r="I617" t="str">
        <f t="shared" si="15"/>
        <v>Apis mellifera</v>
      </c>
      <c r="J617" t="s">
        <v>70</v>
      </c>
      <c r="K617" t="s">
        <v>332</v>
      </c>
      <c r="L617" t="s">
        <v>275</v>
      </c>
      <c r="M617" t="s">
        <v>157</v>
      </c>
      <c r="N617">
        <v>546</v>
      </c>
      <c r="O617" t="s">
        <v>155</v>
      </c>
      <c r="P617" t="s">
        <v>223</v>
      </c>
      <c r="Q617" s="6">
        <v>45201</v>
      </c>
      <c r="R617">
        <v>1</v>
      </c>
      <c r="S617" t="s">
        <v>166</v>
      </c>
      <c r="T617" t="s">
        <v>72</v>
      </c>
      <c r="U617" t="s">
        <v>271</v>
      </c>
      <c r="AD617">
        <v>1</v>
      </c>
      <c r="AE617" s="7" t="s">
        <v>178</v>
      </c>
      <c r="AF617">
        <v>12</v>
      </c>
      <c r="AG617">
        <v>24</v>
      </c>
      <c r="AH617">
        <v>10</v>
      </c>
      <c r="AI617">
        <v>37</v>
      </c>
    </row>
    <row r="618" spans="1:35" x14ac:dyDescent="0.35">
      <c r="A618" t="s">
        <v>192</v>
      </c>
      <c r="B618" t="s">
        <v>24</v>
      </c>
      <c r="C618" t="s">
        <v>33</v>
      </c>
      <c r="D618" t="s">
        <v>34</v>
      </c>
      <c r="E618" t="s">
        <v>309</v>
      </c>
      <c r="F618" t="s">
        <v>310</v>
      </c>
      <c r="G618" s="20" t="s">
        <v>38</v>
      </c>
      <c r="H618" s="20" t="s">
        <v>39</v>
      </c>
      <c r="I618" t="str">
        <f t="shared" si="15"/>
        <v>Apis mellifera</v>
      </c>
      <c r="J618" t="s">
        <v>70</v>
      </c>
      <c r="K618" t="s">
        <v>332</v>
      </c>
      <c r="L618" t="s">
        <v>275</v>
      </c>
      <c r="M618" t="s">
        <v>157</v>
      </c>
      <c r="N618">
        <v>547</v>
      </c>
      <c r="O618" t="s">
        <v>155</v>
      </c>
      <c r="P618" t="s">
        <v>223</v>
      </c>
      <c r="Q618" s="6">
        <v>45201</v>
      </c>
      <c r="U618" t="s">
        <v>225</v>
      </c>
      <c r="AF618">
        <v>12</v>
      </c>
      <c r="AG618">
        <v>24</v>
      </c>
      <c r="AH618">
        <v>10</v>
      </c>
      <c r="AI618">
        <v>38</v>
      </c>
    </row>
    <row r="619" spans="1:35" x14ac:dyDescent="0.35">
      <c r="A619" t="s">
        <v>192</v>
      </c>
      <c r="B619" t="s">
        <v>24</v>
      </c>
      <c r="C619" t="s">
        <v>33</v>
      </c>
      <c r="D619" t="s">
        <v>34</v>
      </c>
      <c r="E619" t="s">
        <v>309</v>
      </c>
      <c r="F619" t="s">
        <v>310</v>
      </c>
      <c r="G619" s="20" t="s">
        <v>38</v>
      </c>
      <c r="H619" s="20" t="s">
        <v>39</v>
      </c>
      <c r="I619" t="str">
        <f t="shared" si="15"/>
        <v>Apis mellifera</v>
      </c>
      <c r="J619" t="s">
        <v>70</v>
      </c>
      <c r="K619" t="s">
        <v>332</v>
      </c>
      <c r="L619" t="s">
        <v>275</v>
      </c>
      <c r="M619" t="s">
        <v>157</v>
      </c>
      <c r="N619">
        <v>548</v>
      </c>
      <c r="O619" t="s">
        <v>155</v>
      </c>
      <c r="P619" t="s">
        <v>223</v>
      </c>
      <c r="Q619" s="6">
        <v>45201</v>
      </c>
      <c r="U619" t="s">
        <v>225</v>
      </c>
      <c r="AF619">
        <v>12</v>
      </c>
      <c r="AG619">
        <v>24</v>
      </c>
      <c r="AH619">
        <v>10</v>
      </c>
      <c r="AI619">
        <v>39</v>
      </c>
    </row>
    <row r="620" spans="1:35" x14ac:dyDescent="0.35">
      <c r="A620" t="s">
        <v>192</v>
      </c>
      <c r="B620" t="s">
        <v>24</v>
      </c>
      <c r="C620" t="s">
        <v>33</v>
      </c>
      <c r="D620" t="s">
        <v>34</v>
      </c>
      <c r="E620" t="s">
        <v>309</v>
      </c>
      <c r="F620" t="s">
        <v>310</v>
      </c>
      <c r="G620" s="20" t="s">
        <v>38</v>
      </c>
      <c r="H620" s="20" t="s">
        <v>39</v>
      </c>
      <c r="I620" t="str">
        <f t="shared" si="15"/>
        <v>Apis mellifera</v>
      </c>
      <c r="J620" t="s">
        <v>70</v>
      </c>
      <c r="K620" t="s">
        <v>332</v>
      </c>
      <c r="L620" t="s">
        <v>275</v>
      </c>
      <c r="M620" t="s">
        <v>157</v>
      </c>
      <c r="N620">
        <v>549</v>
      </c>
      <c r="O620" t="s">
        <v>155</v>
      </c>
      <c r="P620" t="s">
        <v>223</v>
      </c>
      <c r="Q620" s="6">
        <v>45201</v>
      </c>
      <c r="U620" t="s">
        <v>225</v>
      </c>
      <c r="AF620">
        <v>12</v>
      </c>
      <c r="AG620">
        <v>24</v>
      </c>
      <c r="AH620">
        <v>10</v>
      </c>
      <c r="AI620">
        <v>40</v>
      </c>
    </row>
    <row r="621" spans="1:35" x14ac:dyDescent="0.35">
      <c r="A621" t="s">
        <v>192</v>
      </c>
      <c r="B621" t="s">
        <v>24</v>
      </c>
      <c r="C621" t="s">
        <v>33</v>
      </c>
      <c r="D621" t="s">
        <v>34</v>
      </c>
      <c r="E621" t="s">
        <v>309</v>
      </c>
      <c r="F621" t="s">
        <v>310</v>
      </c>
      <c r="G621" s="20" t="s">
        <v>38</v>
      </c>
      <c r="H621" s="20" t="s">
        <v>39</v>
      </c>
      <c r="I621" t="str">
        <f t="shared" si="15"/>
        <v>Apis mellifera</v>
      </c>
      <c r="J621" t="s">
        <v>70</v>
      </c>
      <c r="K621" t="s">
        <v>332</v>
      </c>
      <c r="L621" t="s">
        <v>275</v>
      </c>
      <c r="M621" t="s">
        <v>157</v>
      </c>
      <c r="N621">
        <v>550</v>
      </c>
      <c r="O621" t="s">
        <v>155</v>
      </c>
      <c r="P621" t="s">
        <v>223</v>
      </c>
      <c r="Q621" s="6">
        <v>45201</v>
      </c>
      <c r="U621" t="s">
        <v>225</v>
      </c>
      <c r="AF621">
        <v>12</v>
      </c>
      <c r="AG621">
        <v>24</v>
      </c>
      <c r="AH621">
        <v>10</v>
      </c>
      <c r="AI621">
        <v>41</v>
      </c>
    </row>
    <row r="622" spans="1:35" x14ac:dyDescent="0.35">
      <c r="A622" t="s">
        <v>192</v>
      </c>
      <c r="B622" t="s">
        <v>24</v>
      </c>
      <c r="C622" t="s">
        <v>33</v>
      </c>
      <c r="D622" t="s">
        <v>34</v>
      </c>
      <c r="E622" t="s">
        <v>309</v>
      </c>
      <c r="F622" t="s">
        <v>310</v>
      </c>
      <c r="G622" s="20" t="s">
        <v>38</v>
      </c>
      <c r="H622" s="20" t="s">
        <v>39</v>
      </c>
      <c r="I622" t="str">
        <f t="shared" si="15"/>
        <v>Apis mellifera</v>
      </c>
      <c r="J622" t="s">
        <v>70</v>
      </c>
      <c r="K622" t="s">
        <v>332</v>
      </c>
      <c r="L622" t="s">
        <v>275</v>
      </c>
      <c r="M622" t="s">
        <v>157</v>
      </c>
      <c r="N622">
        <v>551</v>
      </c>
      <c r="O622" t="s">
        <v>155</v>
      </c>
      <c r="P622" t="s">
        <v>223</v>
      </c>
      <c r="Q622" s="6">
        <v>45201</v>
      </c>
      <c r="U622" t="s">
        <v>225</v>
      </c>
      <c r="AF622">
        <v>12</v>
      </c>
      <c r="AG622">
        <v>24</v>
      </c>
      <c r="AH622">
        <v>10</v>
      </c>
      <c r="AI622">
        <v>42</v>
      </c>
    </row>
    <row r="623" spans="1:35" x14ac:dyDescent="0.35">
      <c r="A623" t="s">
        <v>192</v>
      </c>
      <c r="B623" t="s">
        <v>24</v>
      </c>
      <c r="C623" t="s">
        <v>33</v>
      </c>
      <c r="D623" t="s">
        <v>34</v>
      </c>
      <c r="E623" t="s">
        <v>309</v>
      </c>
      <c r="F623" t="s">
        <v>310</v>
      </c>
      <c r="G623" s="20" t="s">
        <v>38</v>
      </c>
      <c r="H623" s="20" t="s">
        <v>39</v>
      </c>
      <c r="I623" t="str">
        <f t="shared" si="15"/>
        <v>Apis mellifera</v>
      </c>
      <c r="J623" t="s">
        <v>70</v>
      </c>
      <c r="K623" t="s">
        <v>332</v>
      </c>
      <c r="L623" t="s">
        <v>275</v>
      </c>
      <c r="M623" t="s">
        <v>157</v>
      </c>
      <c r="N623">
        <v>552</v>
      </c>
      <c r="O623" t="s">
        <v>155</v>
      </c>
      <c r="P623" t="s">
        <v>223</v>
      </c>
      <c r="Q623" s="6">
        <v>45201</v>
      </c>
      <c r="R623">
        <v>1</v>
      </c>
      <c r="U623" t="s">
        <v>225</v>
      </c>
      <c r="AD623">
        <v>1</v>
      </c>
      <c r="AE623" s="7" t="s">
        <v>178</v>
      </c>
      <c r="AF623">
        <v>10</v>
      </c>
      <c r="AG623">
        <v>20</v>
      </c>
      <c r="AH623">
        <v>0</v>
      </c>
      <c r="AI623">
        <v>43</v>
      </c>
    </row>
    <row r="624" spans="1:35" x14ac:dyDescent="0.35">
      <c r="A624" t="s">
        <v>192</v>
      </c>
      <c r="B624" t="s">
        <v>24</v>
      </c>
      <c r="C624" t="s">
        <v>33</v>
      </c>
      <c r="D624" t="s">
        <v>34</v>
      </c>
      <c r="E624" t="s">
        <v>309</v>
      </c>
      <c r="F624" t="s">
        <v>310</v>
      </c>
      <c r="G624" s="20" t="s">
        <v>38</v>
      </c>
      <c r="H624" s="20" t="s">
        <v>39</v>
      </c>
      <c r="I624" t="str">
        <f t="shared" si="15"/>
        <v>Apis mellifera</v>
      </c>
      <c r="J624" t="s">
        <v>70</v>
      </c>
      <c r="K624" t="s">
        <v>332</v>
      </c>
      <c r="L624" t="s">
        <v>275</v>
      </c>
      <c r="M624" t="s">
        <v>157</v>
      </c>
      <c r="N624">
        <v>553</v>
      </c>
      <c r="O624" t="s">
        <v>155</v>
      </c>
      <c r="P624" t="s">
        <v>223</v>
      </c>
      <c r="Q624" s="6">
        <v>45201</v>
      </c>
      <c r="R624">
        <v>1</v>
      </c>
      <c r="U624" t="s">
        <v>225</v>
      </c>
      <c r="AD624">
        <v>1</v>
      </c>
      <c r="AE624" s="7" t="s">
        <v>177</v>
      </c>
      <c r="AF624">
        <v>10</v>
      </c>
      <c r="AG624">
        <v>20</v>
      </c>
      <c r="AH624">
        <v>0</v>
      </c>
      <c r="AI624">
        <v>44</v>
      </c>
    </row>
    <row r="625" spans="1:35" x14ac:dyDescent="0.35">
      <c r="A625" t="s">
        <v>192</v>
      </c>
      <c r="B625" t="s">
        <v>24</v>
      </c>
      <c r="C625" t="s">
        <v>33</v>
      </c>
      <c r="D625" t="s">
        <v>34</v>
      </c>
      <c r="E625" t="s">
        <v>309</v>
      </c>
      <c r="F625" t="s">
        <v>310</v>
      </c>
      <c r="G625" s="20" t="s">
        <v>38</v>
      </c>
      <c r="H625" s="20" t="s">
        <v>39</v>
      </c>
      <c r="I625" t="str">
        <f t="shared" si="15"/>
        <v>Apis mellifera</v>
      </c>
      <c r="J625" t="s">
        <v>70</v>
      </c>
      <c r="K625" t="s">
        <v>332</v>
      </c>
      <c r="L625" t="s">
        <v>275</v>
      </c>
      <c r="M625" t="s">
        <v>157</v>
      </c>
      <c r="N625">
        <v>554</v>
      </c>
      <c r="O625" t="s">
        <v>155</v>
      </c>
      <c r="P625" t="s">
        <v>223</v>
      </c>
      <c r="Q625" s="6">
        <v>45201</v>
      </c>
      <c r="R625">
        <v>1</v>
      </c>
      <c r="U625" t="s">
        <v>225</v>
      </c>
      <c r="AD625">
        <v>1</v>
      </c>
      <c r="AE625" s="7" t="s">
        <v>178</v>
      </c>
      <c r="AF625">
        <v>10</v>
      </c>
      <c r="AG625">
        <v>20</v>
      </c>
      <c r="AH625">
        <v>0</v>
      </c>
      <c r="AI625">
        <v>45</v>
      </c>
    </row>
    <row r="626" spans="1:35" x14ac:dyDescent="0.35">
      <c r="A626" t="s">
        <v>192</v>
      </c>
      <c r="B626" t="s">
        <v>24</v>
      </c>
      <c r="C626" t="s">
        <v>33</v>
      </c>
      <c r="D626" t="s">
        <v>34</v>
      </c>
      <c r="E626" t="s">
        <v>309</v>
      </c>
      <c r="F626" t="s">
        <v>310</v>
      </c>
      <c r="G626" s="20" t="s">
        <v>38</v>
      </c>
      <c r="H626" s="20" t="s">
        <v>39</v>
      </c>
      <c r="I626" t="str">
        <f t="shared" si="15"/>
        <v>Apis mellifera</v>
      </c>
      <c r="J626" t="s">
        <v>70</v>
      </c>
      <c r="K626" t="s">
        <v>332</v>
      </c>
      <c r="L626" t="s">
        <v>275</v>
      </c>
      <c r="M626" t="s">
        <v>157</v>
      </c>
      <c r="N626">
        <v>555</v>
      </c>
      <c r="O626" t="s">
        <v>155</v>
      </c>
      <c r="P626" t="s">
        <v>223</v>
      </c>
      <c r="Q626" s="6">
        <v>45201</v>
      </c>
      <c r="R626">
        <v>1</v>
      </c>
      <c r="U626" t="s">
        <v>225</v>
      </c>
      <c r="AD626">
        <v>2</v>
      </c>
      <c r="AE626" s="7" t="s">
        <v>177</v>
      </c>
      <c r="AF626">
        <v>10</v>
      </c>
      <c r="AG626">
        <v>20</v>
      </c>
      <c r="AH626">
        <v>0</v>
      </c>
      <c r="AI626">
        <v>46</v>
      </c>
    </row>
    <row r="627" spans="1:35" x14ac:dyDescent="0.35">
      <c r="A627" t="s">
        <v>192</v>
      </c>
      <c r="B627" t="s">
        <v>24</v>
      </c>
      <c r="C627" t="s">
        <v>33</v>
      </c>
      <c r="D627" t="s">
        <v>34</v>
      </c>
      <c r="E627" t="s">
        <v>309</v>
      </c>
      <c r="F627" t="s">
        <v>310</v>
      </c>
      <c r="G627" s="20" t="s">
        <v>38</v>
      </c>
      <c r="H627" s="20" t="s">
        <v>39</v>
      </c>
      <c r="I627" t="str">
        <f t="shared" si="15"/>
        <v>Apis mellifera</v>
      </c>
      <c r="J627" t="s">
        <v>70</v>
      </c>
      <c r="K627" t="s">
        <v>332</v>
      </c>
      <c r="L627" t="s">
        <v>275</v>
      </c>
      <c r="M627" t="s">
        <v>157</v>
      </c>
      <c r="N627">
        <v>556</v>
      </c>
      <c r="O627" t="s">
        <v>155</v>
      </c>
      <c r="P627" t="s">
        <v>223</v>
      </c>
      <c r="Q627" s="6">
        <v>45201</v>
      </c>
      <c r="R627">
        <v>1</v>
      </c>
      <c r="U627" t="s">
        <v>225</v>
      </c>
      <c r="AD627">
        <v>1</v>
      </c>
      <c r="AE627" s="7" t="s">
        <v>177</v>
      </c>
      <c r="AF627">
        <v>10</v>
      </c>
      <c r="AG627">
        <v>20</v>
      </c>
      <c r="AH627">
        <v>0</v>
      </c>
      <c r="AI627">
        <v>47</v>
      </c>
    </row>
    <row r="628" spans="1:35" x14ac:dyDescent="0.35">
      <c r="A628" t="s">
        <v>192</v>
      </c>
      <c r="B628" t="s">
        <v>24</v>
      </c>
      <c r="C628" t="s">
        <v>33</v>
      </c>
      <c r="D628" t="s">
        <v>34</v>
      </c>
      <c r="E628" t="s">
        <v>309</v>
      </c>
      <c r="F628" t="s">
        <v>310</v>
      </c>
      <c r="G628" s="20" t="s">
        <v>38</v>
      </c>
      <c r="H628" s="20" t="s">
        <v>39</v>
      </c>
      <c r="I628" t="str">
        <f t="shared" si="15"/>
        <v>Apis mellifera</v>
      </c>
      <c r="J628" t="s">
        <v>70</v>
      </c>
      <c r="K628" t="s">
        <v>332</v>
      </c>
      <c r="L628" t="s">
        <v>275</v>
      </c>
      <c r="M628" t="s">
        <v>157</v>
      </c>
      <c r="N628">
        <v>557</v>
      </c>
      <c r="O628" t="s">
        <v>155</v>
      </c>
      <c r="P628" t="s">
        <v>223</v>
      </c>
      <c r="Q628" s="6">
        <v>45201</v>
      </c>
      <c r="R628">
        <v>1</v>
      </c>
      <c r="U628" t="s">
        <v>225</v>
      </c>
      <c r="AD628">
        <v>1</v>
      </c>
      <c r="AE628" s="7" t="s">
        <v>178</v>
      </c>
      <c r="AF628">
        <v>10</v>
      </c>
      <c r="AG628">
        <v>20</v>
      </c>
      <c r="AH628">
        <v>0</v>
      </c>
      <c r="AI628">
        <v>48</v>
      </c>
    </row>
    <row r="629" spans="1:35" x14ac:dyDescent="0.35">
      <c r="A629" t="s">
        <v>192</v>
      </c>
      <c r="B629" t="s">
        <v>24</v>
      </c>
      <c r="C629" t="s">
        <v>33</v>
      </c>
      <c r="D629" t="s">
        <v>34</v>
      </c>
      <c r="E629" t="s">
        <v>309</v>
      </c>
      <c r="F629" t="s">
        <v>310</v>
      </c>
      <c r="G629" s="20" t="s">
        <v>38</v>
      </c>
      <c r="H629" s="20" t="s">
        <v>39</v>
      </c>
      <c r="I629" t="str">
        <f t="shared" si="15"/>
        <v>Apis mellifera</v>
      </c>
      <c r="J629" t="s">
        <v>70</v>
      </c>
      <c r="K629" t="s">
        <v>332</v>
      </c>
      <c r="L629" t="s">
        <v>275</v>
      </c>
      <c r="M629" t="s">
        <v>157</v>
      </c>
      <c r="N629">
        <v>558</v>
      </c>
      <c r="O629" t="s">
        <v>155</v>
      </c>
      <c r="P629" t="s">
        <v>223</v>
      </c>
      <c r="Q629" s="6">
        <v>45201</v>
      </c>
      <c r="R629">
        <v>1</v>
      </c>
      <c r="U629" t="s">
        <v>225</v>
      </c>
      <c r="AD629">
        <v>2</v>
      </c>
      <c r="AE629" s="7" t="s">
        <v>177</v>
      </c>
      <c r="AF629">
        <v>10</v>
      </c>
      <c r="AG629">
        <v>20</v>
      </c>
      <c r="AH629">
        <v>0</v>
      </c>
      <c r="AI629">
        <v>49</v>
      </c>
    </row>
    <row r="630" spans="1:35" x14ac:dyDescent="0.35">
      <c r="A630" t="s">
        <v>192</v>
      </c>
      <c r="B630" t="s">
        <v>24</v>
      </c>
      <c r="C630" t="s">
        <v>33</v>
      </c>
      <c r="D630" t="s">
        <v>34</v>
      </c>
      <c r="E630" t="s">
        <v>309</v>
      </c>
      <c r="F630" t="s">
        <v>310</v>
      </c>
      <c r="G630" s="20" t="s">
        <v>38</v>
      </c>
      <c r="H630" s="20" t="s">
        <v>39</v>
      </c>
      <c r="I630" t="str">
        <f t="shared" si="15"/>
        <v>Apis mellifera</v>
      </c>
      <c r="J630" t="s">
        <v>70</v>
      </c>
      <c r="K630" t="s">
        <v>332</v>
      </c>
      <c r="L630" t="s">
        <v>275</v>
      </c>
      <c r="M630" t="s">
        <v>157</v>
      </c>
      <c r="N630">
        <v>559</v>
      </c>
      <c r="O630" t="s">
        <v>155</v>
      </c>
      <c r="P630" t="s">
        <v>223</v>
      </c>
      <c r="Q630" s="6">
        <v>45201</v>
      </c>
      <c r="R630">
        <v>1</v>
      </c>
      <c r="U630" t="s">
        <v>225</v>
      </c>
      <c r="AD630">
        <v>2</v>
      </c>
      <c r="AE630" s="7" t="s">
        <v>177</v>
      </c>
      <c r="AF630">
        <v>10</v>
      </c>
      <c r="AG630">
        <v>20</v>
      </c>
      <c r="AH630">
        <v>0</v>
      </c>
      <c r="AI630">
        <v>50</v>
      </c>
    </row>
    <row r="631" spans="1:35" x14ac:dyDescent="0.35">
      <c r="A631" t="s">
        <v>192</v>
      </c>
      <c r="B631" t="s">
        <v>24</v>
      </c>
      <c r="C631" t="s">
        <v>33</v>
      </c>
      <c r="D631" t="s">
        <v>34</v>
      </c>
      <c r="E631" t="s">
        <v>309</v>
      </c>
      <c r="F631" t="s">
        <v>310</v>
      </c>
      <c r="G631" s="20" t="s">
        <v>38</v>
      </c>
      <c r="H631" s="20" t="s">
        <v>39</v>
      </c>
      <c r="I631" t="str">
        <f t="shared" si="15"/>
        <v>Apis mellifera</v>
      </c>
      <c r="J631" t="s">
        <v>70</v>
      </c>
      <c r="K631" t="s">
        <v>332</v>
      </c>
      <c r="L631" t="s">
        <v>275</v>
      </c>
      <c r="M631" t="s">
        <v>157</v>
      </c>
      <c r="N631">
        <v>560</v>
      </c>
      <c r="O631" t="s">
        <v>155</v>
      </c>
      <c r="P631" t="s">
        <v>223</v>
      </c>
      <c r="Q631" s="6">
        <v>45201</v>
      </c>
      <c r="U631" t="s">
        <v>225</v>
      </c>
      <c r="AD631">
        <v>1</v>
      </c>
      <c r="AE631" s="7" t="s">
        <v>178</v>
      </c>
      <c r="AF631">
        <v>10</v>
      </c>
      <c r="AG631">
        <v>20</v>
      </c>
      <c r="AH631">
        <v>0</v>
      </c>
      <c r="AI631">
        <v>51</v>
      </c>
    </row>
    <row r="632" spans="1:35" x14ac:dyDescent="0.35">
      <c r="A632" t="s">
        <v>192</v>
      </c>
      <c r="B632" t="s">
        <v>24</v>
      </c>
      <c r="C632" t="s">
        <v>33</v>
      </c>
      <c r="D632" t="s">
        <v>34</v>
      </c>
      <c r="E632" t="s">
        <v>309</v>
      </c>
      <c r="F632" t="s">
        <v>310</v>
      </c>
      <c r="G632" s="20" t="s">
        <v>38</v>
      </c>
      <c r="H632" s="20" t="s">
        <v>39</v>
      </c>
      <c r="I632" t="str">
        <f t="shared" si="15"/>
        <v>Apis mellifera</v>
      </c>
      <c r="J632" t="s">
        <v>70</v>
      </c>
      <c r="K632" t="s">
        <v>332</v>
      </c>
      <c r="L632" t="s">
        <v>275</v>
      </c>
      <c r="M632" t="s">
        <v>157</v>
      </c>
      <c r="N632">
        <v>561</v>
      </c>
      <c r="O632" t="s">
        <v>155</v>
      </c>
      <c r="P632" t="s">
        <v>223</v>
      </c>
      <c r="Q632" s="6">
        <v>45201</v>
      </c>
      <c r="R632">
        <v>1</v>
      </c>
      <c r="U632" t="s">
        <v>225</v>
      </c>
      <c r="AD632">
        <v>2</v>
      </c>
      <c r="AE632" s="7" t="s">
        <v>178</v>
      </c>
      <c r="AF632">
        <v>10</v>
      </c>
      <c r="AG632">
        <v>20</v>
      </c>
      <c r="AH632">
        <v>0</v>
      </c>
      <c r="AI632">
        <v>52</v>
      </c>
    </row>
    <row r="633" spans="1:35" x14ac:dyDescent="0.35">
      <c r="A633" t="s">
        <v>192</v>
      </c>
      <c r="B633" t="s">
        <v>24</v>
      </c>
      <c r="C633" t="s">
        <v>33</v>
      </c>
      <c r="D633" t="s">
        <v>34</v>
      </c>
      <c r="E633" t="s">
        <v>309</v>
      </c>
      <c r="F633" t="s">
        <v>310</v>
      </c>
      <c r="G633" s="20" t="s">
        <v>38</v>
      </c>
      <c r="H633" s="20" t="s">
        <v>39</v>
      </c>
      <c r="I633" t="str">
        <f t="shared" si="15"/>
        <v>Apis mellifera</v>
      </c>
      <c r="J633" t="s">
        <v>70</v>
      </c>
      <c r="K633" t="s">
        <v>332</v>
      </c>
      <c r="L633" t="s">
        <v>275</v>
      </c>
      <c r="M633" t="s">
        <v>157</v>
      </c>
      <c r="N633">
        <v>562</v>
      </c>
      <c r="O633" t="s">
        <v>155</v>
      </c>
      <c r="P633" t="s">
        <v>223</v>
      </c>
      <c r="Q633" s="6">
        <v>45201</v>
      </c>
      <c r="R633">
        <v>1</v>
      </c>
      <c r="U633" t="s">
        <v>225</v>
      </c>
      <c r="AD633">
        <v>1</v>
      </c>
      <c r="AE633" s="7" t="s">
        <v>178</v>
      </c>
      <c r="AF633">
        <v>10</v>
      </c>
      <c r="AG633">
        <v>20</v>
      </c>
      <c r="AH633">
        <v>0</v>
      </c>
      <c r="AI633">
        <v>53</v>
      </c>
    </row>
    <row r="634" spans="1:35" x14ac:dyDescent="0.35">
      <c r="A634" t="s">
        <v>192</v>
      </c>
      <c r="B634" t="s">
        <v>24</v>
      </c>
      <c r="C634" t="s">
        <v>33</v>
      </c>
      <c r="D634" t="s">
        <v>34</v>
      </c>
      <c r="E634" t="s">
        <v>309</v>
      </c>
      <c r="F634" t="s">
        <v>310</v>
      </c>
      <c r="G634" s="20" t="s">
        <v>38</v>
      </c>
      <c r="H634" s="20" t="s">
        <v>39</v>
      </c>
      <c r="I634" t="str">
        <f t="shared" si="15"/>
        <v>Apis mellifera</v>
      </c>
      <c r="J634" t="s">
        <v>70</v>
      </c>
      <c r="K634" t="s">
        <v>332</v>
      </c>
      <c r="L634" t="s">
        <v>275</v>
      </c>
      <c r="M634" t="s">
        <v>157</v>
      </c>
      <c r="N634">
        <v>563</v>
      </c>
      <c r="O634" t="s">
        <v>155</v>
      </c>
      <c r="P634" t="s">
        <v>223</v>
      </c>
      <c r="Q634" s="6">
        <v>45201</v>
      </c>
      <c r="R634">
        <v>0</v>
      </c>
      <c r="U634" t="s">
        <v>225</v>
      </c>
      <c r="AD634">
        <v>2</v>
      </c>
      <c r="AE634" s="7" t="s">
        <v>179</v>
      </c>
      <c r="AF634">
        <v>10</v>
      </c>
      <c r="AG634">
        <v>16</v>
      </c>
      <c r="AH634">
        <v>0</v>
      </c>
      <c r="AI634">
        <v>54</v>
      </c>
    </row>
    <row r="635" spans="1:35" x14ac:dyDescent="0.35">
      <c r="A635" t="s">
        <v>192</v>
      </c>
      <c r="B635" t="s">
        <v>24</v>
      </c>
      <c r="C635" t="s">
        <v>33</v>
      </c>
      <c r="D635" t="s">
        <v>34</v>
      </c>
      <c r="E635" t="s">
        <v>309</v>
      </c>
      <c r="F635" t="s">
        <v>310</v>
      </c>
      <c r="G635" s="20" t="s">
        <v>38</v>
      </c>
      <c r="H635" s="20" t="s">
        <v>39</v>
      </c>
      <c r="I635" t="str">
        <f t="shared" si="15"/>
        <v>Apis mellifera</v>
      </c>
      <c r="J635" t="s">
        <v>70</v>
      </c>
      <c r="K635" t="s">
        <v>332</v>
      </c>
      <c r="L635" t="s">
        <v>275</v>
      </c>
      <c r="M635" t="s">
        <v>157</v>
      </c>
      <c r="N635">
        <v>564</v>
      </c>
      <c r="O635" t="s">
        <v>155</v>
      </c>
      <c r="P635" t="s">
        <v>223</v>
      </c>
      <c r="Q635" s="6">
        <v>45201</v>
      </c>
      <c r="R635">
        <v>1</v>
      </c>
      <c r="S635" t="s">
        <v>166</v>
      </c>
      <c r="T635" t="s">
        <v>72</v>
      </c>
      <c r="U635" t="s">
        <v>271</v>
      </c>
      <c r="AD635">
        <v>1</v>
      </c>
      <c r="AE635" s="7" t="s">
        <v>180</v>
      </c>
      <c r="AF635">
        <v>12</v>
      </c>
      <c r="AG635">
        <v>24</v>
      </c>
      <c r="AH635">
        <v>10</v>
      </c>
      <c r="AI635">
        <v>55</v>
      </c>
    </row>
    <row r="636" spans="1:35" x14ac:dyDescent="0.35">
      <c r="A636" t="s">
        <v>192</v>
      </c>
      <c r="B636" t="s">
        <v>24</v>
      </c>
      <c r="C636" t="s">
        <v>33</v>
      </c>
      <c r="D636" t="s">
        <v>34</v>
      </c>
      <c r="E636" t="s">
        <v>309</v>
      </c>
      <c r="F636" t="s">
        <v>310</v>
      </c>
      <c r="G636" s="20" t="s">
        <v>38</v>
      </c>
      <c r="H636" s="20" t="s">
        <v>39</v>
      </c>
      <c r="I636" t="str">
        <f t="shared" si="15"/>
        <v>Apis mellifera</v>
      </c>
      <c r="J636" t="s">
        <v>70</v>
      </c>
      <c r="K636" t="s">
        <v>332</v>
      </c>
      <c r="L636" t="s">
        <v>275</v>
      </c>
      <c r="M636" t="s">
        <v>157</v>
      </c>
      <c r="N636">
        <v>565</v>
      </c>
      <c r="O636" t="s">
        <v>155</v>
      </c>
      <c r="P636" t="s">
        <v>223</v>
      </c>
      <c r="Q636" s="6">
        <v>45201</v>
      </c>
      <c r="R636">
        <v>0</v>
      </c>
      <c r="U636" t="s">
        <v>225</v>
      </c>
      <c r="AD636">
        <v>2</v>
      </c>
      <c r="AE636" s="7" t="s">
        <v>178</v>
      </c>
      <c r="AF636">
        <v>10</v>
      </c>
      <c r="AG636">
        <v>16</v>
      </c>
      <c r="AH636">
        <v>0</v>
      </c>
      <c r="AI636">
        <v>56</v>
      </c>
    </row>
    <row r="637" spans="1:35" x14ac:dyDescent="0.35">
      <c r="A637" t="s">
        <v>192</v>
      </c>
      <c r="B637" t="s">
        <v>24</v>
      </c>
      <c r="C637" t="s">
        <v>33</v>
      </c>
      <c r="D637" t="s">
        <v>34</v>
      </c>
      <c r="E637" t="s">
        <v>309</v>
      </c>
      <c r="F637" t="s">
        <v>310</v>
      </c>
      <c r="G637" s="20" t="s">
        <v>38</v>
      </c>
      <c r="H637" s="20" t="s">
        <v>39</v>
      </c>
      <c r="I637" t="str">
        <f t="shared" si="15"/>
        <v>Apis mellifera</v>
      </c>
      <c r="J637" t="s">
        <v>70</v>
      </c>
      <c r="K637" t="s">
        <v>332</v>
      </c>
      <c r="L637" t="s">
        <v>275</v>
      </c>
      <c r="M637" t="s">
        <v>157</v>
      </c>
      <c r="N637">
        <v>567</v>
      </c>
      <c r="O637" t="s">
        <v>155</v>
      </c>
      <c r="P637" t="s">
        <v>223</v>
      </c>
      <c r="Q637" s="6">
        <v>45201</v>
      </c>
      <c r="S637" s="7"/>
      <c r="T637" s="7"/>
      <c r="U637" t="s">
        <v>225</v>
      </c>
      <c r="AD637">
        <v>2</v>
      </c>
      <c r="AE637" s="7"/>
      <c r="AF637">
        <v>10</v>
      </c>
      <c r="AG637">
        <v>16</v>
      </c>
      <c r="AH637">
        <v>0</v>
      </c>
      <c r="AI637">
        <v>57</v>
      </c>
    </row>
    <row r="638" spans="1:35" x14ac:dyDescent="0.35">
      <c r="A638" t="s">
        <v>192</v>
      </c>
      <c r="B638" t="s">
        <v>24</v>
      </c>
      <c r="C638" t="s">
        <v>33</v>
      </c>
      <c r="D638" t="s">
        <v>34</v>
      </c>
      <c r="E638" t="s">
        <v>309</v>
      </c>
      <c r="F638" t="s">
        <v>310</v>
      </c>
      <c r="G638" s="20" t="s">
        <v>38</v>
      </c>
      <c r="H638" s="20" t="s">
        <v>39</v>
      </c>
      <c r="I638" t="str">
        <f t="shared" si="15"/>
        <v>Apis mellifera</v>
      </c>
      <c r="J638" t="s">
        <v>70</v>
      </c>
      <c r="K638" t="s">
        <v>332</v>
      </c>
      <c r="L638" t="s">
        <v>275</v>
      </c>
      <c r="M638" t="s">
        <v>157</v>
      </c>
      <c r="N638">
        <v>568</v>
      </c>
      <c r="O638" t="s">
        <v>155</v>
      </c>
      <c r="P638" t="s">
        <v>223</v>
      </c>
      <c r="Q638" s="6">
        <v>45201</v>
      </c>
      <c r="R638">
        <v>1</v>
      </c>
      <c r="S638" t="s">
        <v>166</v>
      </c>
      <c r="T638" t="s">
        <v>72</v>
      </c>
      <c r="U638" t="s">
        <v>271</v>
      </c>
      <c r="AD638">
        <v>3</v>
      </c>
      <c r="AE638" s="7" t="s">
        <v>178</v>
      </c>
      <c r="AF638">
        <v>10</v>
      </c>
      <c r="AG638">
        <v>16</v>
      </c>
      <c r="AH638">
        <v>0</v>
      </c>
      <c r="AI638">
        <v>58</v>
      </c>
    </row>
    <row r="639" spans="1:35" x14ac:dyDescent="0.35">
      <c r="A639" t="s">
        <v>192</v>
      </c>
      <c r="B639" t="s">
        <v>24</v>
      </c>
      <c r="C639" t="s">
        <v>33</v>
      </c>
      <c r="D639" t="s">
        <v>34</v>
      </c>
      <c r="E639" t="s">
        <v>309</v>
      </c>
      <c r="F639" t="s">
        <v>310</v>
      </c>
      <c r="G639" s="20" t="s">
        <v>38</v>
      </c>
      <c r="H639" s="20" t="s">
        <v>39</v>
      </c>
      <c r="I639" t="str">
        <f t="shared" si="15"/>
        <v>Apis mellifera</v>
      </c>
      <c r="J639" t="s">
        <v>70</v>
      </c>
      <c r="K639" t="s">
        <v>332</v>
      </c>
      <c r="L639" t="s">
        <v>275</v>
      </c>
      <c r="M639" t="s">
        <v>157</v>
      </c>
      <c r="N639">
        <v>569</v>
      </c>
      <c r="O639" t="s">
        <v>155</v>
      </c>
      <c r="P639" t="s">
        <v>223</v>
      </c>
      <c r="Q639" s="6">
        <v>45201</v>
      </c>
      <c r="R639">
        <v>1</v>
      </c>
      <c r="S639" t="s">
        <v>166</v>
      </c>
      <c r="T639" t="s">
        <v>72</v>
      </c>
      <c r="U639" t="s">
        <v>271</v>
      </c>
      <c r="AD639">
        <v>2</v>
      </c>
      <c r="AE639" s="7"/>
      <c r="AF639">
        <v>10</v>
      </c>
      <c r="AG639">
        <v>16</v>
      </c>
      <c r="AH639">
        <v>0</v>
      </c>
      <c r="AI639">
        <v>59</v>
      </c>
    </row>
    <row r="640" spans="1:35" x14ac:dyDescent="0.35">
      <c r="A640" t="s">
        <v>192</v>
      </c>
      <c r="B640" t="s">
        <v>24</v>
      </c>
      <c r="C640" t="s">
        <v>33</v>
      </c>
      <c r="D640" t="s">
        <v>34</v>
      </c>
      <c r="E640" t="s">
        <v>309</v>
      </c>
      <c r="F640" t="s">
        <v>310</v>
      </c>
      <c r="G640" s="20" t="s">
        <v>38</v>
      </c>
      <c r="H640" s="20" t="s">
        <v>39</v>
      </c>
      <c r="I640" t="str">
        <f t="shared" si="15"/>
        <v>Apis mellifera</v>
      </c>
      <c r="J640" t="s">
        <v>70</v>
      </c>
      <c r="K640" t="s">
        <v>332</v>
      </c>
      <c r="L640" t="s">
        <v>275</v>
      </c>
      <c r="M640" t="s">
        <v>157</v>
      </c>
      <c r="N640">
        <v>570</v>
      </c>
      <c r="O640" t="s">
        <v>155</v>
      </c>
      <c r="P640" t="s">
        <v>223</v>
      </c>
      <c r="Q640" s="6">
        <v>45201</v>
      </c>
      <c r="R640">
        <v>0</v>
      </c>
      <c r="S640" t="s">
        <v>166</v>
      </c>
      <c r="T640" t="s">
        <v>72</v>
      </c>
      <c r="U640" t="s">
        <v>271</v>
      </c>
      <c r="AD640">
        <v>1</v>
      </c>
      <c r="AE640" s="7" t="s">
        <v>177</v>
      </c>
      <c r="AF640">
        <v>10</v>
      </c>
      <c r="AG640">
        <v>16</v>
      </c>
      <c r="AH640">
        <v>0</v>
      </c>
      <c r="AI640">
        <v>60</v>
      </c>
    </row>
    <row r="641" spans="1:35" x14ac:dyDescent="0.35">
      <c r="A641" t="s">
        <v>192</v>
      </c>
      <c r="B641" t="s">
        <v>24</v>
      </c>
      <c r="C641" t="s">
        <v>33</v>
      </c>
      <c r="D641" t="s">
        <v>34</v>
      </c>
      <c r="E641" t="s">
        <v>309</v>
      </c>
      <c r="F641" t="s">
        <v>310</v>
      </c>
      <c r="G641" s="20" t="s">
        <v>38</v>
      </c>
      <c r="H641" s="20" t="s">
        <v>39</v>
      </c>
      <c r="I641" t="str">
        <f t="shared" si="15"/>
        <v>Apis mellifera</v>
      </c>
      <c r="J641" t="s">
        <v>70</v>
      </c>
      <c r="K641" t="s">
        <v>332</v>
      </c>
      <c r="L641" t="s">
        <v>275</v>
      </c>
      <c r="M641" t="s">
        <v>157</v>
      </c>
      <c r="N641">
        <v>571</v>
      </c>
      <c r="O641" t="s">
        <v>155</v>
      </c>
      <c r="P641" t="s">
        <v>223</v>
      </c>
      <c r="Q641" s="6">
        <v>45201</v>
      </c>
      <c r="R641">
        <v>1</v>
      </c>
      <c r="S641" t="s">
        <v>166</v>
      </c>
      <c r="T641" t="s">
        <v>72</v>
      </c>
      <c r="U641" t="s">
        <v>271</v>
      </c>
      <c r="AD641">
        <v>2</v>
      </c>
      <c r="AE641" s="7" t="s">
        <v>178</v>
      </c>
      <c r="AF641">
        <v>10</v>
      </c>
      <c r="AG641">
        <v>16</v>
      </c>
      <c r="AH641">
        <v>0</v>
      </c>
      <c r="AI641">
        <v>61</v>
      </c>
    </row>
    <row r="642" spans="1:35" x14ac:dyDescent="0.35">
      <c r="A642" t="s">
        <v>192</v>
      </c>
      <c r="B642" t="s">
        <v>24</v>
      </c>
      <c r="C642" t="s">
        <v>33</v>
      </c>
      <c r="D642" t="s">
        <v>34</v>
      </c>
      <c r="E642" t="s">
        <v>309</v>
      </c>
      <c r="F642" t="s">
        <v>310</v>
      </c>
      <c r="G642" s="20" t="s">
        <v>38</v>
      </c>
      <c r="H642" s="20" t="s">
        <v>39</v>
      </c>
      <c r="I642" t="str">
        <f t="shared" si="15"/>
        <v>Apis mellifera</v>
      </c>
      <c r="J642" t="s">
        <v>70</v>
      </c>
      <c r="K642" t="s">
        <v>332</v>
      </c>
      <c r="L642" t="s">
        <v>275</v>
      </c>
      <c r="M642" t="s">
        <v>157</v>
      </c>
      <c r="N642">
        <v>572</v>
      </c>
      <c r="O642" t="s">
        <v>155</v>
      </c>
      <c r="P642" t="s">
        <v>223</v>
      </c>
      <c r="Q642" s="6">
        <v>45201</v>
      </c>
      <c r="R642">
        <v>1</v>
      </c>
      <c r="S642" t="s">
        <v>166</v>
      </c>
      <c r="T642" t="s">
        <v>72</v>
      </c>
      <c r="U642" t="s">
        <v>271</v>
      </c>
      <c r="AD642">
        <v>2</v>
      </c>
      <c r="AE642" s="7" t="s">
        <v>178</v>
      </c>
      <c r="AF642">
        <v>10</v>
      </c>
      <c r="AG642">
        <v>16</v>
      </c>
      <c r="AH642">
        <v>0</v>
      </c>
      <c r="AI642">
        <v>62</v>
      </c>
    </row>
    <row r="643" spans="1:35" x14ac:dyDescent="0.35">
      <c r="A643" t="s">
        <v>192</v>
      </c>
      <c r="B643" t="s">
        <v>24</v>
      </c>
      <c r="C643" t="s">
        <v>33</v>
      </c>
      <c r="D643" t="s">
        <v>34</v>
      </c>
      <c r="E643" t="s">
        <v>309</v>
      </c>
      <c r="F643" t="s">
        <v>310</v>
      </c>
      <c r="G643" s="20" t="s">
        <v>38</v>
      </c>
      <c r="H643" s="20" t="s">
        <v>39</v>
      </c>
      <c r="I643" t="str">
        <f t="shared" si="15"/>
        <v>Apis mellifera</v>
      </c>
      <c r="J643" t="s">
        <v>70</v>
      </c>
      <c r="K643" t="s">
        <v>332</v>
      </c>
      <c r="L643" t="s">
        <v>275</v>
      </c>
      <c r="M643" t="s">
        <v>157</v>
      </c>
      <c r="N643">
        <v>573</v>
      </c>
      <c r="O643" t="s">
        <v>155</v>
      </c>
      <c r="P643" t="s">
        <v>223</v>
      </c>
      <c r="Q643" s="6">
        <v>45201</v>
      </c>
      <c r="R643">
        <v>1</v>
      </c>
      <c r="S643" t="s">
        <v>166</v>
      </c>
      <c r="T643" t="s">
        <v>72</v>
      </c>
      <c r="U643" t="s">
        <v>271</v>
      </c>
      <c r="AD643">
        <v>2</v>
      </c>
      <c r="AE643" s="7" t="s">
        <v>180</v>
      </c>
      <c r="AF643">
        <v>10</v>
      </c>
      <c r="AG643">
        <v>16</v>
      </c>
      <c r="AH643">
        <v>0</v>
      </c>
      <c r="AI643">
        <v>63</v>
      </c>
    </row>
    <row r="644" spans="1:35" x14ac:dyDescent="0.35">
      <c r="A644" t="s">
        <v>192</v>
      </c>
      <c r="B644" t="s">
        <v>24</v>
      </c>
      <c r="C644" t="s">
        <v>33</v>
      </c>
      <c r="D644" t="s">
        <v>34</v>
      </c>
      <c r="E644" t="s">
        <v>309</v>
      </c>
      <c r="F644" t="s">
        <v>310</v>
      </c>
      <c r="G644" s="20" t="s">
        <v>38</v>
      </c>
      <c r="H644" s="20" t="s">
        <v>39</v>
      </c>
      <c r="I644" t="str">
        <f t="shared" si="15"/>
        <v>Apis mellifera</v>
      </c>
      <c r="J644" t="s">
        <v>70</v>
      </c>
      <c r="K644" t="s">
        <v>332</v>
      </c>
      <c r="L644" t="s">
        <v>275</v>
      </c>
      <c r="M644" t="s">
        <v>157</v>
      </c>
      <c r="N644">
        <v>574</v>
      </c>
      <c r="O644" t="s">
        <v>155</v>
      </c>
      <c r="P644" t="s">
        <v>223</v>
      </c>
      <c r="Q644" s="6">
        <v>45201</v>
      </c>
      <c r="R644">
        <v>0</v>
      </c>
      <c r="S644" t="s">
        <v>166</v>
      </c>
      <c r="T644" t="s">
        <v>72</v>
      </c>
      <c r="U644" t="s">
        <v>271</v>
      </c>
      <c r="AD644">
        <v>3</v>
      </c>
      <c r="AE644" s="7" t="s">
        <v>180</v>
      </c>
      <c r="AF644">
        <v>10</v>
      </c>
      <c r="AG644">
        <v>16</v>
      </c>
      <c r="AH644">
        <v>0</v>
      </c>
      <c r="AI644">
        <v>64</v>
      </c>
    </row>
    <row r="645" spans="1:35" x14ac:dyDescent="0.35">
      <c r="A645" t="s">
        <v>192</v>
      </c>
      <c r="B645" t="s">
        <v>24</v>
      </c>
      <c r="C645" t="s">
        <v>33</v>
      </c>
      <c r="D645" t="s">
        <v>34</v>
      </c>
      <c r="E645" t="s">
        <v>309</v>
      </c>
      <c r="F645" t="s">
        <v>310</v>
      </c>
      <c r="G645" s="20" t="s">
        <v>38</v>
      </c>
      <c r="H645" s="20" t="s">
        <v>39</v>
      </c>
      <c r="I645" t="str">
        <f t="shared" si="15"/>
        <v>Apis mellifera</v>
      </c>
      <c r="J645" t="s">
        <v>70</v>
      </c>
      <c r="K645" t="s">
        <v>332</v>
      </c>
      <c r="L645" t="s">
        <v>275</v>
      </c>
      <c r="M645" t="s">
        <v>157</v>
      </c>
      <c r="N645">
        <v>575</v>
      </c>
      <c r="O645" t="s">
        <v>155</v>
      </c>
      <c r="P645" t="s">
        <v>223</v>
      </c>
      <c r="Q645" s="6">
        <v>45201</v>
      </c>
      <c r="R645">
        <v>1</v>
      </c>
      <c r="S645" t="s">
        <v>166</v>
      </c>
      <c r="T645" t="s">
        <v>72</v>
      </c>
      <c r="U645" t="s">
        <v>271</v>
      </c>
      <c r="AD645">
        <v>1</v>
      </c>
      <c r="AE645" s="7" t="s">
        <v>178</v>
      </c>
      <c r="AF645">
        <v>10</v>
      </c>
      <c r="AG645">
        <v>16</v>
      </c>
      <c r="AH645">
        <v>0</v>
      </c>
      <c r="AI645">
        <v>65</v>
      </c>
    </row>
    <row r="646" spans="1:35" x14ac:dyDescent="0.35">
      <c r="A646" t="s">
        <v>192</v>
      </c>
      <c r="B646" t="s">
        <v>24</v>
      </c>
      <c r="C646" t="s">
        <v>33</v>
      </c>
      <c r="D646" t="s">
        <v>34</v>
      </c>
      <c r="E646" t="s">
        <v>309</v>
      </c>
      <c r="F646" t="s">
        <v>310</v>
      </c>
      <c r="G646" s="20" t="s">
        <v>38</v>
      </c>
      <c r="H646" s="20" t="s">
        <v>39</v>
      </c>
      <c r="I646" t="str">
        <f t="shared" si="15"/>
        <v>Apis mellifera</v>
      </c>
      <c r="J646" t="s">
        <v>70</v>
      </c>
      <c r="K646" t="s">
        <v>332</v>
      </c>
      <c r="L646" t="s">
        <v>275</v>
      </c>
      <c r="M646" t="s">
        <v>157</v>
      </c>
      <c r="N646">
        <v>576</v>
      </c>
      <c r="O646" t="s">
        <v>155</v>
      </c>
      <c r="P646" t="s">
        <v>223</v>
      </c>
      <c r="Q646" s="6">
        <v>45201</v>
      </c>
      <c r="R646">
        <v>1</v>
      </c>
      <c r="S646" t="s">
        <v>166</v>
      </c>
      <c r="T646" t="s">
        <v>72</v>
      </c>
      <c r="U646" t="s">
        <v>271</v>
      </c>
      <c r="AD646">
        <v>4</v>
      </c>
      <c r="AE646" s="7" t="s">
        <v>180</v>
      </c>
      <c r="AF646">
        <v>10</v>
      </c>
      <c r="AG646">
        <v>16</v>
      </c>
      <c r="AH646">
        <v>0</v>
      </c>
      <c r="AI646">
        <v>66</v>
      </c>
    </row>
    <row r="647" spans="1:35" x14ac:dyDescent="0.35">
      <c r="A647" t="s">
        <v>192</v>
      </c>
      <c r="B647" t="s">
        <v>24</v>
      </c>
      <c r="C647" t="s">
        <v>33</v>
      </c>
      <c r="D647" t="s">
        <v>34</v>
      </c>
      <c r="E647" t="s">
        <v>309</v>
      </c>
      <c r="F647" t="s">
        <v>310</v>
      </c>
      <c r="G647" s="20" t="s">
        <v>38</v>
      </c>
      <c r="H647" s="20" t="s">
        <v>39</v>
      </c>
      <c r="I647" t="str">
        <f t="shared" si="15"/>
        <v>Apis mellifera</v>
      </c>
      <c r="J647" t="s">
        <v>70</v>
      </c>
      <c r="K647" t="s">
        <v>332</v>
      </c>
      <c r="L647" t="s">
        <v>275</v>
      </c>
      <c r="M647" t="s">
        <v>157</v>
      </c>
      <c r="N647">
        <v>577</v>
      </c>
      <c r="O647" t="s">
        <v>155</v>
      </c>
      <c r="P647" t="s">
        <v>223</v>
      </c>
      <c r="Q647" s="6">
        <v>45201</v>
      </c>
      <c r="R647">
        <v>1</v>
      </c>
      <c r="S647" t="s">
        <v>166</v>
      </c>
      <c r="T647" t="s">
        <v>72</v>
      </c>
      <c r="U647" t="s">
        <v>271</v>
      </c>
      <c r="AD647">
        <v>1</v>
      </c>
      <c r="AE647" s="7" t="s">
        <v>178</v>
      </c>
      <c r="AF647">
        <v>10</v>
      </c>
      <c r="AG647">
        <v>16</v>
      </c>
      <c r="AH647">
        <v>0</v>
      </c>
      <c r="AI647">
        <v>67</v>
      </c>
    </row>
    <row r="648" spans="1:35" x14ac:dyDescent="0.35">
      <c r="A648" t="s">
        <v>192</v>
      </c>
      <c r="B648" t="s">
        <v>24</v>
      </c>
      <c r="C648" t="s">
        <v>33</v>
      </c>
      <c r="D648" t="s">
        <v>34</v>
      </c>
      <c r="E648" t="s">
        <v>309</v>
      </c>
      <c r="F648" t="s">
        <v>310</v>
      </c>
      <c r="G648" s="20" t="s">
        <v>38</v>
      </c>
      <c r="H648" s="20" t="s">
        <v>39</v>
      </c>
      <c r="I648" t="str">
        <f t="shared" si="15"/>
        <v>Apis mellifera</v>
      </c>
      <c r="J648" t="s">
        <v>70</v>
      </c>
      <c r="K648" t="s">
        <v>332</v>
      </c>
      <c r="L648" t="s">
        <v>275</v>
      </c>
      <c r="M648" t="s">
        <v>157</v>
      </c>
      <c r="N648">
        <v>578</v>
      </c>
      <c r="O648" t="s">
        <v>155</v>
      </c>
      <c r="P648" t="s">
        <v>223</v>
      </c>
      <c r="Q648" s="6">
        <v>45201</v>
      </c>
      <c r="R648">
        <v>1</v>
      </c>
      <c r="U648" t="s">
        <v>225</v>
      </c>
      <c r="AD648">
        <v>1</v>
      </c>
      <c r="AE648" s="7" t="s">
        <v>178</v>
      </c>
      <c r="AF648">
        <v>9</v>
      </c>
      <c r="AG648">
        <v>22</v>
      </c>
      <c r="AH648">
        <v>0</v>
      </c>
      <c r="AI648">
        <v>68</v>
      </c>
    </row>
    <row r="649" spans="1:35" x14ac:dyDescent="0.35">
      <c r="A649" t="s">
        <v>192</v>
      </c>
      <c r="B649" t="s">
        <v>24</v>
      </c>
      <c r="C649" t="s">
        <v>33</v>
      </c>
      <c r="D649" t="s">
        <v>34</v>
      </c>
      <c r="E649" t="s">
        <v>309</v>
      </c>
      <c r="F649" t="s">
        <v>310</v>
      </c>
      <c r="G649" s="20" t="s">
        <v>38</v>
      </c>
      <c r="H649" s="20" t="s">
        <v>39</v>
      </c>
      <c r="I649" t="str">
        <f t="shared" si="15"/>
        <v>Apis mellifera</v>
      </c>
      <c r="J649" t="s">
        <v>70</v>
      </c>
      <c r="K649" t="s">
        <v>332</v>
      </c>
      <c r="L649" t="s">
        <v>275</v>
      </c>
      <c r="M649" t="s">
        <v>157</v>
      </c>
      <c r="N649">
        <v>579</v>
      </c>
      <c r="O649" t="s">
        <v>155</v>
      </c>
      <c r="P649" t="s">
        <v>223</v>
      </c>
      <c r="Q649" s="6">
        <v>45201</v>
      </c>
      <c r="R649">
        <v>1</v>
      </c>
      <c r="S649" t="s">
        <v>166</v>
      </c>
      <c r="T649" t="s">
        <v>72</v>
      </c>
      <c r="U649" t="s">
        <v>271</v>
      </c>
      <c r="AD649">
        <v>1</v>
      </c>
      <c r="AE649" s="7" t="s">
        <v>178</v>
      </c>
      <c r="AF649">
        <v>10</v>
      </c>
      <c r="AG649">
        <v>16</v>
      </c>
      <c r="AH649">
        <v>0</v>
      </c>
      <c r="AI649">
        <v>69</v>
      </c>
    </row>
    <row r="650" spans="1:35" x14ac:dyDescent="0.35">
      <c r="A650" t="s">
        <v>192</v>
      </c>
      <c r="B650" t="s">
        <v>24</v>
      </c>
      <c r="C650" t="s">
        <v>33</v>
      </c>
      <c r="D650" t="s">
        <v>34</v>
      </c>
      <c r="E650" t="s">
        <v>309</v>
      </c>
      <c r="F650" t="s">
        <v>310</v>
      </c>
      <c r="G650" s="20" t="s">
        <v>38</v>
      </c>
      <c r="H650" s="20" t="s">
        <v>39</v>
      </c>
      <c r="I650" t="str">
        <f t="shared" si="15"/>
        <v>Apis mellifera</v>
      </c>
      <c r="J650" t="s">
        <v>70</v>
      </c>
      <c r="K650" t="s">
        <v>332</v>
      </c>
      <c r="L650" t="s">
        <v>275</v>
      </c>
      <c r="M650" t="s">
        <v>157</v>
      </c>
      <c r="N650">
        <v>580</v>
      </c>
      <c r="O650" t="s">
        <v>155</v>
      </c>
      <c r="P650" t="s">
        <v>223</v>
      </c>
      <c r="Q650" s="6">
        <v>45201</v>
      </c>
      <c r="R650">
        <v>1</v>
      </c>
      <c r="S650" t="s">
        <v>166</v>
      </c>
      <c r="T650" t="s">
        <v>72</v>
      </c>
      <c r="U650" t="s">
        <v>271</v>
      </c>
      <c r="AD650">
        <v>3</v>
      </c>
      <c r="AE650" s="7" t="s">
        <v>178</v>
      </c>
      <c r="AF650">
        <v>9</v>
      </c>
      <c r="AG650">
        <v>15</v>
      </c>
      <c r="AH650">
        <v>0</v>
      </c>
      <c r="AI650">
        <v>70</v>
      </c>
    </row>
    <row r="651" spans="1:35" x14ac:dyDescent="0.35">
      <c r="A651" t="s">
        <v>192</v>
      </c>
      <c r="B651" t="s">
        <v>24</v>
      </c>
      <c r="C651" t="s">
        <v>33</v>
      </c>
      <c r="D651" t="s">
        <v>34</v>
      </c>
      <c r="E651" t="s">
        <v>309</v>
      </c>
      <c r="F651" t="s">
        <v>310</v>
      </c>
      <c r="G651" s="20" t="s">
        <v>38</v>
      </c>
      <c r="H651" s="20" t="s">
        <v>39</v>
      </c>
      <c r="I651" t="str">
        <f t="shared" si="15"/>
        <v>Apis mellifera</v>
      </c>
      <c r="J651" t="s">
        <v>70</v>
      </c>
      <c r="K651" t="s">
        <v>332</v>
      </c>
      <c r="L651" t="s">
        <v>275</v>
      </c>
      <c r="M651" t="s">
        <v>157</v>
      </c>
      <c r="N651">
        <v>581</v>
      </c>
      <c r="O651" t="s">
        <v>155</v>
      </c>
      <c r="P651" t="s">
        <v>223</v>
      </c>
      <c r="Q651" s="6">
        <v>45210</v>
      </c>
      <c r="R651">
        <v>1</v>
      </c>
      <c r="U651" t="s">
        <v>225</v>
      </c>
      <c r="AD651">
        <v>3</v>
      </c>
      <c r="AE651" s="7" t="s">
        <v>178</v>
      </c>
      <c r="AF651">
        <v>17</v>
      </c>
      <c r="AG651">
        <v>14</v>
      </c>
      <c r="AH651">
        <v>9</v>
      </c>
      <c r="AI651">
        <v>189</v>
      </c>
    </row>
    <row r="652" spans="1:35" x14ac:dyDescent="0.35">
      <c r="A652" t="s">
        <v>192</v>
      </c>
      <c r="B652" t="s">
        <v>24</v>
      </c>
      <c r="C652" t="s">
        <v>33</v>
      </c>
      <c r="D652" t="s">
        <v>34</v>
      </c>
      <c r="E652" t="s">
        <v>309</v>
      </c>
      <c r="F652" t="s">
        <v>310</v>
      </c>
      <c r="G652" s="20" t="s">
        <v>38</v>
      </c>
      <c r="H652" s="20" t="s">
        <v>39</v>
      </c>
      <c r="I652" t="str">
        <f t="shared" si="15"/>
        <v>Apis mellifera</v>
      </c>
      <c r="J652" t="s">
        <v>70</v>
      </c>
      <c r="K652" t="s">
        <v>332</v>
      </c>
      <c r="L652" t="s">
        <v>275</v>
      </c>
      <c r="M652" t="s">
        <v>157</v>
      </c>
      <c r="N652">
        <v>582</v>
      </c>
      <c r="O652" t="s">
        <v>155</v>
      </c>
      <c r="P652" t="s">
        <v>223</v>
      </c>
      <c r="Q652" s="6">
        <v>45210</v>
      </c>
      <c r="R652">
        <v>1</v>
      </c>
      <c r="U652" t="s">
        <v>225</v>
      </c>
      <c r="AD652">
        <v>3</v>
      </c>
      <c r="AE652" s="7" t="s">
        <v>177</v>
      </c>
      <c r="AF652">
        <v>17</v>
      </c>
      <c r="AG652">
        <v>14</v>
      </c>
      <c r="AH652">
        <v>9</v>
      </c>
      <c r="AI652">
        <v>190</v>
      </c>
    </row>
    <row r="653" spans="1:35" x14ac:dyDescent="0.35">
      <c r="A653" t="s">
        <v>192</v>
      </c>
      <c r="B653" t="s">
        <v>24</v>
      </c>
      <c r="C653" t="s">
        <v>33</v>
      </c>
      <c r="D653" t="s">
        <v>34</v>
      </c>
      <c r="E653" t="s">
        <v>309</v>
      </c>
      <c r="F653" t="s">
        <v>310</v>
      </c>
      <c r="G653" s="20" t="s">
        <v>38</v>
      </c>
      <c r="H653" s="20" t="s">
        <v>39</v>
      </c>
      <c r="I653" t="str">
        <f t="shared" si="15"/>
        <v>Apis mellifera</v>
      </c>
      <c r="J653" t="s">
        <v>70</v>
      </c>
      <c r="K653" t="s">
        <v>332</v>
      </c>
      <c r="L653" t="s">
        <v>275</v>
      </c>
      <c r="M653" t="s">
        <v>157</v>
      </c>
      <c r="N653">
        <v>583</v>
      </c>
      <c r="O653" t="s">
        <v>155</v>
      </c>
      <c r="P653" t="s">
        <v>223</v>
      </c>
      <c r="Q653" s="6">
        <v>45210</v>
      </c>
      <c r="R653">
        <v>1</v>
      </c>
      <c r="U653" t="s">
        <v>225</v>
      </c>
      <c r="AD653">
        <v>3</v>
      </c>
      <c r="AE653" s="7" t="s">
        <v>177</v>
      </c>
      <c r="AF653">
        <v>17</v>
      </c>
      <c r="AG653">
        <v>14</v>
      </c>
      <c r="AH653">
        <v>9</v>
      </c>
      <c r="AI653">
        <v>191</v>
      </c>
    </row>
    <row r="654" spans="1:35" x14ac:dyDescent="0.35">
      <c r="A654" t="s">
        <v>192</v>
      </c>
      <c r="B654" t="s">
        <v>24</v>
      </c>
      <c r="C654" t="s">
        <v>33</v>
      </c>
      <c r="D654" t="s">
        <v>34</v>
      </c>
      <c r="E654" t="s">
        <v>309</v>
      </c>
      <c r="F654" t="s">
        <v>310</v>
      </c>
      <c r="G654" s="20" t="s">
        <v>38</v>
      </c>
      <c r="H654" s="20" t="s">
        <v>39</v>
      </c>
      <c r="I654" t="str">
        <f t="shared" si="15"/>
        <v>Apis mellifera</v>
      </c>
      <c r="J654" t="s">
        <v>70</v>
      </c>
      <c r="K654" t="s">
        <v>332</v>
      </c>
      <c r="L654" t="s">
        <v>275</v>
      </c>
      <c r="M654" t="s">
        <v>157</v>
      </c>
      <c r="N654">
        <v>584</v>
      </c>
      <c r="O654" t="s">
        <v>155</v>
      </c>
      <c r="P654" t="s">
        <v>223</v>
      </c>
      <c r="Q654" s="6">
        <v>45210</v>
      </c>
      <c r="R654">
        <v>0</v>
      </c>
      <c r="U654" t="s">
        <v>225</v>
      </c>
      <c r="AD654">
        <v>4</v>
      </c>
      <c r="AE654" s="7" t="s">
        <v>177</v>
      </c>
      <c r="AF654">
        <v>17</v>
      </c>
      <c r="AG654">
        <v>14</v>
      </c>
      <c r="AH654">
        <v>9</v>
      </c>
      <c r="AI654">
        <v>192</v>
      </c>
    </row>
    <row r="655" spans="1:35" x14ac:dyDescent="0.35">
      <c r="A655" t="s">
        <v>192</v>
      </c>
      <c r="B655" t="s">
        <v>24</v>
      </c>
      <c r="C655" t="s">
        <v>33</v>
      </c>
      <c r="D655" t="s">
        <v>34</v>
      </c>
      <c r="E655" t="s">
        <v>309</v>
      </c>
      <c r="F655" t="s">
        <v>310</v>
      </c>
      <c r="G655" s="20" t="s">
        <v>38</v>
      </c>
      <c r="H655" s="20" t="s">
        <v>39</v>
      </c>
      <c r="I655" t="str">
        <f t="shared" si="15"/>
        <v>Apis mellifera</v>
      </c>
      <c r="J655" t="s">
        <v>70</v>
      </c>
      <c r="K655" t="s">
        <v>332</v>
      </c>
      <c r="L655" t="s">
        <v>275</v>
      </c>
      <c r="M655" t="s">
        <v>157</v>
      </c>
      <c r="N655">
        <v>585</v>
      </c>
      <c r="O655" t="s">
        <v>155</v>
      </c>
      <c r="P655" t="s">
        <v>223</v>
      </c>
      <c r="Q655" s="6">
        <v>45210</v>
      </c>
      <c r="R655">
        <v>1</v>
      </c>
      <c r="U655" t="s">
        <v>225</v>
      </c>
      <c r="AD655">
        <v>1</v>
      </c>
      <c r="AE655" s="7" t="s">
        <v>178</v>
      </c>
      <c r="AF655">
        <v>17</v>
      </c>
      <c r="AG655">
        <v>14</v>
      </c>
      <c r="AH655">
        <v>9</v>
      </c>
      <c r="AI655">
        <v>193</v>
      </c>
    </row>
    <row r="656" spans="1:35" x14ac:dyDescent="0.35">
      <c r="A656" t="s">
        <v>192</v>
      </c>
      <c r="B656" t="s">
        <v>24</v>
      </c>
      <c r="C656" t="s">
        <v>33</v>
      </c>
      <c r="D656" t="s">
        <v>34</v>
      </c>
      <c r="E656" t="s">
        <v>309</v>
      </c>
      <c r="F656" t="s">
        <v>310</v>
      </c>
      <c r="G656" s="20" t="s">
        <v>38</v>
      </c>
      <c r="H656" s="20" t="s">
        <v>39</v>
      </c>
      <c r="I656" t="str">
        <f t="shared" si="15"/>
        <v>Apis mellifera</v>
      </c>
      <c r="J656" t="s">
        <v>70</v>
      </c>
      <c r="K656" t="s">
        <v>332</v>
      </c>
      <c r="L656" t="s">
        <v>275</v>
      </c>
      <c r="M656" t="s">
        <v>157</v>
      </c>
      <c r="N656">
        <v>587</v>
      </c>
      <c r="O656" t="s">
        <v>155</v>
      </c>
      <c r="P656" t="s">
        <v>223</v>
      </c>
      <c r="Q656" s="6">
        <v>45210</v>
      </c>
      <c r="R656">
        <v>0</v>
      </c>
      <c r="U656" t="s">
        <v>225</v>
      </c>
      <c r="AD656">
        <v>5</v>
      </c>
      <c r="AE656" s="7" t="s">
        <v>178</v>
      </c>
      <c r="AF656">
        <v>17</v>
      </c>
      <c r="AG656">
        <v>14</v>
      </c>
      <c r="AH656">
        <v>9</v>
      </c>
      <c r="AI656">
        <v>194</v>
      </c>
    </row>
    <row r="657" spans="1:35" x14ac:dyDescent="0.35">
      <c r="A657" t="s">
        <v>192</v>
      </c>
      <c r="B657" t="s">
        <v>24</v>
      </c>
      <c r="C657" t="s">
        <v>33</v>
      </c>
      <c r="D657" t="s">
        <v>34</v>
      </c>
      <c r="E657" t="s">
        <v>309</v>
      </c>
      <c r="F657" t="s">
        <v>310</v>
      </c>
      <c r="G657" s="20" t="s">
        <v>38</v>
      </c>
      <c r="H657" s="20" t="s">
        <v>39</v>
      </c>
      <c r="I657" t="str">
        <f t="shared" si="15"/>
        <v>Apis mellifera</v>
      </c>
      <c r="J657" t="s">
        <v>70</v>
      </c>
      <c r="K657" t="s">
        <v>332</v>
      </c>
      <c r="L657" t="s">
        <v>275</v>
      </c>
      <c r="M657" t="s">
        <v>157</v>
      </c>
      <c r="N657">
        <v>588</v>
      </c>
      <c r="O657" t="s">
        <v>155</v>
      </c>
      <c r="P657" t="s">
        <v>223</v>
      </c>
      <c r="Q657" s="6">
        <v>45210</v>
      </c>
      <c r="R657">
        <v>1</v>
      </c>
      <c r="U657" t="s">
        <v>225</v>
      </c>
      <c r="AD657">
        <v>5</v>
      </c>
      <c r="AE657" s="7" t="s">
        <v>177</v>
      </c>
      <c r="AF657">
        <v>17</v>
      </c>
      <c r="AG657">
        <v>14</v>
      </c>
      <c r="AH657">
        <v>9</v>
      </c>
      <c r="AI657">
        <v>195</v>
      </c>
    </row>
    <row r="658" spans="1:35" x14ac:dyDescent="0.35">
      <c r="A658" t="s">
        <v>192</v>
      </c>
      <c r="B658" t="s">
        <v>24</v>
      </c>
      <c r="C658" t="s">
        <v>33</v>
      </c>
      <c r="D658" t="s">
        <v>34</v>
      </c>
      <c r="E658" t="s">
        <v>309</v>
      </c>
      <c r="F658" t="s">
        <v>310</v>
      </c>
      <c r="G658" s="20" t="s">
        <v>38</v>
      </c>
      <c r="H658" s="20" t="s">
        <v>39</v>
      </c>
      <c r="I658" t="str">
        <f t="shared" si="15"/>
        <v>Apis mellifera</v>
      </c>
      <c r="J658" t="s">
        <v>70</v>
      </c>
      <c r="K658" t="s">
        <v>332</v>
      </c>
      <c r="L658" t="s">
        <v>275</v>
      </c>
      <c r="M658" t="s">
        <v>157</v>
      </c>
      <c r="N658">
        <v>589</v>
      </c>
      <c r="O658" t="s">
        <v>155</v>
      </c>
      <c r="P658" t="s">
        <v>223</v>
      </c>
      <c r="Q658" s="6">
        <v>45210</v>
      </c>
      <c r="R658">
        <v>1</v>
      </c>
      <c r="U658" t="s">
        <v>225</v>
      </c>
      <c r="AD658">
        <v>2</v>
      </c>
      <c r="AE658" s="7" t="s">
        <v>178</v>
      </c>
      <c r="AF658">
        <v>17</v>
      </c>
      <c r="AG658">
        <v>14</v>
      </c>
      <c r="AH658">
        <v>9</v>
      </c>
      <c r="AI658">
        <v>196</v>
      </c>
    </row>
    <row r="659" spans="1:35" x14ac:dyDescent="0.35">
      <c r="A659" t="s">
        <v>192</v>
      </c>
      <c r="B659" t="s">
        <v>24</v>
      </c>
      <c r="C659" t="s">
        <v>33</v>
      </c>
      <c r="D659" t="s">
        <v>34</v>
      </c>
      <c r="E659" t="s">
        <v>309</v>
      </c>
      <c r="F659" t="s">
        <v>310</v>
      </c>
      <c r="G659" s="20" t="s">
        <v>38</v>
      </c>
      <c r="H659" s="20" t="s">
        <v>39</v>
      </c>
      <c r="I659" t="str">
        <f t="shared" si="15"/>
        <v>Apis mellifera</v>
      </c>
      <c r="J659" t="s">
        <v>70</v>
      </c>
      <c r="K659" t="s">
        <v>332</v>
      </c>
      <c r="L659" t="s">
        <v>275</v>
      </c>
      <c r="M659" t="s">
        <v>157</v>
      </c>
      <c r="N659">
        <v>590</v>
      </c>
      <c r="O659" t="s">
        <v>155</v>
      </c>
      <c r="P659" t="s">
        <v>223</v>
      </c>
      <c r="Q659" s="6">
        <v>45210</v>
      </c>
      <c r="R659">
        <v>0</v>
      </c>
      <c r="U659" t="s">
        <v>225</v>
      </c>
      <c r="AD659">
        <v>1</v>
      </c>
      <c r="AE659" s="7" t="s">
        <v>177</v>
      </c>
      <c r="AF659">
        <v>17</v>
      </c>
      <c r="AG659">
        <v>14</v>
      </c>
      <c r="AH659">
        <v>9</v>
      </c>
      <c r="AI659">
        <v>197</v>
      </c>
    </row>
    <row r="660" spans="1:35" x14ac:dyDescent="0.35">
      <c r="A660" t="s">
        <v>192</v>
      </c>
      <c r="B660" t="s">
        <v>24</v>
      </c>
      <c r="C660" t="s">
        <v>33</v>
      </c>
      <c r="D660" t="s">
        <v>34</v>
      </c>
      <c r="E660" t="s">
        <v>309</v>
      </c>
      <c r="F660" t="s">
        <v>310</v>
      </c>
      <c r="G660" s="20" t="s">
        <v>38</v>
      </c>
      <c r="H660" s="20" t="s">
        <v>39</v>
      </c>
      <c r="I660" t="str">
        <f t="shared" si="15"/>
        <v>Apis mellifera</v>
      </c>
      <c r="J660" t="s">
        <v>70</v>
      </c>
      <c r="K660" t="s">
        <v>332</v>
      </c>
      <c r="L660" t="s">
        <v>275</v>
      </c>
      <c r="M660" t="s">
        <v>157</v>
      </c>
      <c r="N660">
        <v>591</v>
      </c>
      <c r="O660" t="s">
        <v>155</v>
      </c>
      <c r="P660" t="s">
        <v>223</v>
      </c>
      <c r="Q660" s="6">
        <v>45210</v>
      </c>
      <c r="R660">
        <v>0</v>
      </c>
      <c r="U660" t="s">
        <v>225</v>
      </c>
      <c r="AD660">
        <v>2</v>
      </c>
      <c r="AE660" s="7" t="s">
        <v>177</v>
      </c>
      <c r="AF660">
        <v>17</v>
      </c>
      <c r="AG660">
        <v>14</v>
      </c>
      <c r="AH660">
        <v>9</v>
      </c>
      <c r="AI660">
        <v>198</v>
      </c>
    </row>
    <row r="661" spans="1:35" x14ac:dyDescent="0.35">
      <c r="A661" t="s">
        <v>192</v>
      </c>
      <c r="B661" t="s">
        <v>24</v>
      </c>
      <c r="C661" t="s">
        <v>33</v>
      </c>
      <c r="D661" t="s">
        <v>34</v>
      </c>
      <c r="E661" t="s">
        <v>309</v>
      </c>
      <c r="F661" t="s">
        <v>310</v>
      </c>
      <c r="G661" s="20" t="s">
        <v>38</v>
      </c>
      <c r="H661" s="20" t="s">
        <v>39</v>
      </c>
      <c r="I661" t="str">
        <f t="shared" si="15"/>
        <v>Apis mellifera</v>
      </c>
      <c r="J661" t="s">
        <v>70</v>
      </c>
      <c r="K661" t="s">
        <v>332</v>
      </c>
      <c r="L661" t="s">
        <v>275</v>
      </c>
      <c r="M661" t="s">
        <v>157</v>
      </c>
      <c r="N661">
        <v>592</v>
      </c>
      <c r="O661" t="s">
        <v>155</v>
      </c>
      <c r="P661" t="s">
        <v>223</v>
      </c>
      <c r="Q661" s="6">
        <v>45201</v>
      </c>
      <c r="R661">
        <v>1</v>
      </c>
      <c r="S661" t="s">
        <v>166</v>
      </c>
      <c r="T661" t="s">
        <v>72</v>
      </c>
      <c r="U661" t="s">
        <v>271</v>
      </c>
      <c r="AD661">
        <v>3</v>
      </c>
      <c r="AE661" s="7" t="s">
        <v>178</v>
      </c>
      <c r="AF661">
        <v>9</v>
      </c>
      <c r="AG661">
        <v>15</v>
      </c>
      <c r="AH661">
        <v>0</v>
      </c>
      <c r="AI661">
        <v>71</v>
      </c>
    </row>
    <row r="662" spans="1:35" x14ac:dyDescent="0.35">
      <c r="A662" t="s">
        <v>192</v>
      </c>
      <c r="B662" t="s">
        <v>24</v>
      </c>
      <c r="C662" t="s">
        <v>33</v>
      </c>
      <c r="D662" t="s">
        <v>34</v>
      </c>
      <c r="E662" t="s">
        <v>309</v>
      </c>
      <c r="F662" t="s">
        <v>310</v>
      </c>
      <c r="G662" s="20" t="s">
        <v>38</v>
      </c>
      <c r="H662" s="20" t="s">
        <v>39</v>
      </c>
      <c r="I662" t="str">
        <f t="shared" si="15"/>
        <v>Apis mellifera</v>
      </c>
      <c r="J662" t="s">
        <v>70</v>
      </c>
      <c r="K662" t="s">
        <v>332</v>
      </c>
      <c r="L662" t="s">
        <v>275</v>
      </c>
      <c r="M662" t="s">
        <v>157</v>
      </c>
      <c r="N662">
        <v>593</v>
      </c>
      <c r="O662" t="s">
        <v>155</v>
      </c>
      <c r="P662" t="s">
        <v>223</v>
      </c>
      <c r="Q662" s="6">
        <v>45210</v>
      </c>
      <c r="R662">
        <v>1</v>
      </c>
      <c r="S662" t="s">
        <v>166</v>
      </c>
      <c r="T662" t="s">
        <v>72</v>
      </c>
      <c r="U662" t="s">
        <v>271</v>
      </c>
      <c r="AD662">
        <v>2</v>
      </c>
      <c r="AE662" s="7" t="s">
        <v>178</v>
      </c>
      <c r="AF662">
        <v>10</v>
      </c>
      <c r="AG662">
        <v>4</v>
      </c>
      <c r="AH662">
        <v>0</v>
      </c>
      <c r="AI662">
        <v>199</v>
      </c>
    </row>
    <row r="663" spans="1:35" x14ac:dyDescent="0.35">
      <c r="A663" t="s">
        <v>192</v>
      </c>
      <c r="B663" t="s">
        <v>24</v>
      </c>
      <c r="C663" t="s">
        <v>33</v>
      </c>
      <c r="D663" t="s">
        <v>34</v>
      </c>
      <c r="E663" t="s">
        <v>309</v>
      </c>
      <c r="F663" t="s">
        <v>310</v>
      </c>
      <c r="G663" s="20" t="s">
        <v>38</v>
      </c>
      <c r="H663" s="20" t="s">
        <v>39</v>
      </c>
      <c r="I663" t="str">
        <f t="shared" si="15"/>
        <v>Apis mellifera</v>
      </c>
      <c r="J663" t="s">
        <v>70</v>
      </c>
      <c r="K663" t="s">
        <v>332</v>
      </c>
      <c r="L663" t="s">
        <v>275</v>
      </c>
      <c r="M663" t="s">
        <v>157</v>
      </c>
      <c r="N663">
        <v>594</v>
      </c>
      <c r="O663" t="s">
        <v>155</v>
      </c>
      <c r="P663" t="s">
        <v>223</v>
      </c>
      <c r="Q663" s="6">
        <v>45210</v>
      </c>
      <c r="R663">
        <v>1</v>
      </c>
      <c r="S663" t="s">
        <v>166</v>
      </c>
      <c r="T663" t="s">
        <v>72</v>
      </c>
      <c r="U663" t="s">
        <v>271</v>
      </c>
      <c r="AD663">
        <v>5</v>
      </c>
      <c r="AE663" s="7" t="s">
        <v>178</v>
      </c>
      <c r="AF663">
        <v>10</v>
      </c>
      <c r="AG663">
        <v>4</v>
      </c>
      <c r="AH663">
        <v>0</v>
      </c>
      <c r="AI663">
        <v>200</v>
      </c>
    </row>
    <row r="664" spans="1:35" x14ac:dyDescent="0.35">
      <c r="A664" t="s">
        <v>192</v>
      </c>
      <c r="B664" t="s">
        <v>24</v>
      </c>
      <c r="C664" t="s">
        <v>33</v>
      </c>
      <c r="D664" t="s">
        <v>34</v>
      </c>
      <c r="E664" t="s">
        <v>309</v>
      </c>
      <c r="F664" t="s">
        <v>310</v>
      </c>
      <c r="G664" s="20" t="s">
        <v>38</v>
      </c>
      <c r="H664" s="20" t="s">
        <v>39</v>
      </c>
      <c r="I664" t="str">
        <f t="shared" si="15"/>
        <v>Apis mellifera</v>
      </c>
      <c r="J664" t="s">
        <v>70</v>
      </c>
      <c r="K664" t="s">
        <v>332</v>
      </c>
      <c r="L664" t="s">
        <v>275</v>
      </c>
      <c r="M664" t="s">
        <v>157</v>
      </c>
      <c r="N664">
        <v>595</v>
      </c>
      <c r="O664" t="s">
        <v>155</v>
      </c>
      <c r="P664" t="s">
        <v>223</v>
      </c>
      <c r="Q664" s="6">
        <v>45210</v>
      </c>
      <c r="R664">
        <v>1</v>
      </c>
      <c r="S664" t="s">
        <v>166</v>
      </c>
      <c r="T664" t="s">
        <v>72</v>
      </c>
      <c r="U664" t="s">
        <v>271</v>
      </c>
      <c r="AD664">
        <v>1</v>
      </c>
      <c r="AE664" s="7" t="s">
        <v>178</v>
      </c>
      <c r="AF664">
        <v>10</v>
      </c>
      <c r="AG664">
        <v>4</v>
      </c>
      <c r="AH664">
        <v>0</v>
      </c>
      <c r="AI664">
        <v>201</v>
      </c>
    </row>
    <row r="665" spans="1:35" x14ac:dyDescent="0.35">
      <c r="A665" t="s">
        <v>192</v>
      </c>
      <c r="B665" t="s">
        <v>24</v>
      </c>
      <c r="C665" t="s">
        <v>33</v>
      </c>
      <c r="D665" t="s">
        <v>34</v>
      </c>
      <c r="E665" t="s">
        <v>309</v>
      </c>
      <c r="F665" t="s">
        <v>310</v>
      </c>
      <c r="G665" s="20" t="s">
        <v>38</v>
      </c>
      <c r="H665" s="20" t="s">
        <v>39</v>
      </c>
      <c r="I665" t="str">
        <f t="shared" si="15"/>
        <v>Apis mellifera</v>
      </c>
      <c r="J665" t="s">
        <v>70</v>
      </c>
      <c r="K665" t="s">
        <v>332</v>
      </c>
      <c r="L665" t="s">
        <v>275</v>
      </c>
      <c r="M665" t="s">
        <v>157</v>
      </c>
      <c r="N665">
        <v>596</v>
      </c>
      <c r="O665" t="s">
        <v>155</v>
      </c>
      <c r="P665" t="s">
        <v>223</v>
      </c>
      <c r="Q665" s="6">
        <v>45210</v>
      </c>
      <c r="R665">
        <v>1</v>
      </c>
      <c r="S665" t="s">
        <v>166</v>
      </c>
      <c r="T665" t="s">
        <v>72</v>
      </c>
      <c r="U665" t="s">
        <v>271</v>
      </c>
      <c r="AD665">
        <v>2</v>
      </c>
      <c r="AE665" s="7" t="s">
        <v>178</v>
      </c>
      <c r="AF665">
        <v>10</v>
      </c>
      <c r="AG665">
        <v>4</v>
      </c>
      <c r="AH665">
        <v>0</v>
      </c>
      <c r="AI665">
        <v>202</v>
      </c>
    </row>
    <row r="666" spans="1:35" x14ac:dyDescent="0.35">
      <c r="A666" t="s">
        <v>192</v>
      </c>
      <c r="B666" t="s">
        <v>24</v>
      </c>
      <c r="C666" t="s">
        <v>33</v>
      </c>
      <c r="D666" t="s">
        <v>34</v>
      </c>
      <c r="E666" t="s">
        <v>309</v>
      </c>
      <c r="F666" t="s">
        <v>310</v>
      </c>
      <c r="G666" s="20" t="s">
        <v>38</v>
      </c>
      <c r="H666" s="20" t="s">
        <v>39</v>
      </c>
      <c r="I666" t="str">
        <f t="shared" si="15"/>
        <v>Apis mellifera</v>
      </c>
      <c r="J666" t="s">
        <v>70</v>
      </c>
      <c r="K666" t="s">
        <v>332</v>
      </c>
      <c r="L666" t="s">
        <v>275</v>
      </c>
      <c r="M666" t="s">
        <v>157</v>
      </c>
      <c r="N666">
        <v>597</v>
      </c>
      <c r="O666" t="s">
        <v>155</v>
      </c>
      <c r="P666" t="s">
        <v>223</v>
      </c>
      <c r="Q666" s="6">
        <v>45210</v>
      </c>
      <c r="R666">
        <v>1</v>
      </c>
      <c r="U666" t="s">
        <v>225</v>
      </c>
      <c r="AD666">
        <v>3</v>
      </c>
      <c r="AE666" s="7" t="s">
        <v>177</v>
      </c>
      <c r="AF666">
        <v>10</v>
      </c>
      <c r="AG666">
        <v>4</v>
      </c>
      <c r="AH666">
        <v>0</v>
      </c>
      <c r="AI666">
        <v>203</v>
      </c>
    </row>
    <row r="667" spans="1:35" x14ac:dyDescent="0.35">
      <c r="A667" t="s">
        <v>192</v>
      </c>
      <c r="B667" t="s">
        <v>24</v>
      </c>
      <c r="C667" t="s">
        <v>33</v>
      </c>
      <c r="D667" t="s">
        <v>34</v>
      </c>
      <c r="E667" t="s">
        <v>309</v>
      </c>
      <c r="F667" t="s">
        <v>310</v>
      </c>
      <c r="G667" s="20" t="s">
        <v>38</v>
      </c>
      <c r="H667" s="20" t="s">
        <v>39</v>
      </c>
      <c r="I667" t="str">
        <f t="shared" si="15"/>
        <v>Apis mellifera</v>
      </c>
      <c r="J667" t="s">
        <v>70</v>
      </c>
      <c r="K667" t="s">
        <v>332</v>
      </c>
      <c r="L667" t="s">
        <v>275</v>
      </c>
      <c r="M667" t="s">
        <v>157</v>
      </c>
      <c r="N667">
        <v>598</v>
      </c>
      <c r="O667" t="s">
        <v>155</v>
      </c>
      <c r="P667" t="s">
        <v>223</v>
      </c>
      <c r="Q667" s="6">
        <v>45210</v>
      </c>
      <c r="R667">
        <v>1</v>
      </c>
      <c r="S667" t="s">
        <v>166</v>
      </c>
      <c r="T667" t="s">
        <v>72</v>
      </c>
      <c r="U667" t="s">
        <v>271</v>
      </c>
      <c r="AD667">
        <v>2</v>
      </c>
      <c r="AE667" s="7" t="s">
        <v>178</v>
      </c>
      <c r="AF667">
        <v>10</v>
      </c>
      <c r="AG667">
        <v>4</v>
      </c>
      <c r="AH667">
        <v>0</v>
      </c>
      <c r="AI667">
        <v>204</v>
      </c>
    </row>
    <row r="668" spans="1:35" x14ac:dyDescent="0.35">
      <c r="A668" t="s">
        <v>192</v>
      </c>
      <c r="B668" t="s">
        <v>24</v>
      </c>
      <c r="C668" t="s">
        <v>33</v>
      </c>
      <c r="D668" t="s">
        <v>34</v>
      </c>
      <c r="E668" t="s">
        <v>309</v>
      </c>
      <c r="F668" t="s">
        <v>310</v>
      </c>
      <c r="G668" s="20" t="s">
        <v>38</v>
      </c>
      <c r="H668" s="20" t="s">
        <v>39</v>
      </c>
      <c r="I668" t="str">
        <f t="shared" si="15"/>
        <v>Apis mellifera</v>
      </c>
      <c r="J668" t="s">
        <v>70</v>
      </c>
      <c r="K668" t="s">
        <v>332</v>
      </c>
      <c r="L668" t="s">
        <v>275</v>
      </c>
      <c r="M668" t="s">
        <v>157</v>
      </c>
      <c r="N668">
        <v>599</v>
      </c>
      <c r="O668" t="s">
        <v>155</v>
      </c>
      <c r="P668" t="s">
        <v>223</v>
      </c>
      <c r="Q668" s="6">
        <v>45210</v>
      </c>
      <c r="R668">
        <v>1</v>
      </c>
      <c r="S668" t="s">
        <v>166</v>
      </c>
      <c r="T668" t="s">
        <v>72</v>
      </c>
      <c r="U668" t="s">
        <v>271</v>
      </c>
      <c r="AD668">
        <v>2</v>
      </c>
      <c r="AE668" s="7" t="s">
        <v>178</v>
      </c>
      <c r="AF668">
        <v>10</v>
      </c>
      <c r="AG668">
        <v>4</v>
      </c>
      <c r="AH668">
        <v>0</v>
      </c>
      <c r="AI668">
        <v>205</v>
      </c>
    </row>
    <row r="669" spans="1:35" x14ac:dyDescent="0.35">
      <c r="A669" t="s">
        <v>192</v>
      </c>
      <c r="B669" t="s">
        <v>24</v>
      </c>
      <c r="C669" t="s">
        <v>33</v>
      </c>
      <c r="D669" t="s">
        <v>34</v>
      </c>
      <c r="E669" t="s">
        <v>309</v>
      </c>
      <c r="F669" t="s">
        <v>310</v>
      </c>
      <c r="G669" s="20" t="s">
        <v>38</v>
      </c>
      <c r="H669" s="20" t="s">
        <v>39</v>
      </c>
      <c r="I669" t="str">
        <f t="shared" si="15"/>
        <v>Apis mellifera</v>
      </c>
      <c r="J669" t="s">
        <v>70</v>
      </c>
      <c r="K669" t="s">
        <v>332</v>
      </c>
      <c r="L669" t="s">
        <v>275</v>
      </c>
      <c r="M669" t="s">
        <v>157</v>
      </c>
      <c r="N669">
        <v>601</v>
      </c>
      <c r="O669" t="s">
        <v>155</v>
      </c>
      <c r="P669" t="s">
        <v>223</v>
      </c>
      <c r="Q669" s="6">
        <v>45210</v>
      </c>
      <c r="R669">
        <v>1</v>
      </c>
      <c r="S669" t="s">
        <v>166</v>
      </c>
      <c r="T669" t="s">
        <v>72</v>
      </c>
      <c r="U669" t="s">
        <v>271</v>
      </c>
      <c r="AD669">
        <v>2</v>
      </c>
      <c r="AE669" s="7" t="s">
        <v>178</v>
      </c>
      <c r="AF669">
        <v>10</v>
      </c>
      <c r="AG669">
        <v>4</v>
      </c>
      <c r="AH669">
        <v>0</v>
      </c>
      <c r="AI669">
        <v>206</v>
      </c>
    </row>
    <row r="670" spans="1:35" x14ac:dyDescent="0.35">
      <c r="A670" t="s">
        <v>192</v>
      </c>
      <c r="B670" t="s">
        <v>24</v>
      </c>
      <c r="C670" t="s">
        <v>33</v>
      </c>
      <c r="D670" t="s">
        <v>34</v>
      </c>
      <c r="E670" t="s">
        <v>309</v>
      </c>
      <c r="F670" t="s">
        <v>310</v>
      </c>
      <c r="G670" s="20" t="s">
        <v>38</v>
      </c>
      <c r="H670" s="20" t="s">
        <v>39</v>
      </c>
      <c r="I670" t="str">
        <f t="shared" si="15"/>
        <v>Apis mellifera</v>
      </c>
      <c r="J670" t="s">
        <v>70</v>
      </c>
      <c r="K670" t="s">
        <v>332</v>
      </c>
      <c r="L670" t="s">
        <v>275</v>
      </c>
      <c r="M670" t="s">
        <v>157</v>
      </c>
      <c r="N670">
        <v>602</v>
      </c>
      <c r="O670" t="s">
        <v>155</v>
      </c>
      <c r="P670" t="s">
        <v>223</v>
      </c>
      <c r="Q670" s="6">
        <v>45210</v>
      </c>
      <c r="R670">
        <v>1</v>
      </c>
      <c r="U670" t="s">
        <v>225</v>
      </c>
      <c r="AD670">
        <v>1</v>
      </c>
      <c r="AE670" s="7" t="s">
        <v>178</v>
      </c>
      <c r="AF670">
        <v>10</v>
      </c>
      <c r="AG670">
        <v>4</v>
      </c>
      <c r="AH670">
        <v>0</v>
      </c>
      <c r="AI670">
        <v>207</v>
      </c>
    </row>
    <row r="671" spans="1:35" x14ac:dyDescent="0.35">
      <c r="A671" t="s">
        <v>192</v>
      </c>
      <c r="B671" t="s">
        <v>24</v>
      </c>
      <c r="C671" t="s">
        <v>33</v>
      </c>
      <c r="D671" t="s">
        <v>34</v>
      </c>
      <c r="E671" t="s">
        <v>309</v>
      </c>
      <c r="F671" t="s">
        <v>310</v>
      </c>
      <c r="G671" s="20" t="s">
        <v>38</v>
      </c>
      <c r="H671" s="20" t="s">
        <v>39</v>
      </c>
      <c r="I671" t="str">
        <f t="shared" si="15"/>
        <v>Apis mellifera</v>
      </c>
      <c r="J671" t="s">
        <v>70</v>
      </c>
      <c r="K671" t="s">
        <v>332</v>
      </c>
      <c r="L671" t="s">
        <v>275</v>
      </c>
      <c r="M671" t="s">
        <v>157</v>
      </c>
      <c r="N671">
        <v>604</v>
      </c>
      <c r="O671" t="s">
        <v>155</v>
      </c>
      <c r="P671" t="s">
        <v>223</v>
      </c>
      <c r="Q671" s="6">
        <v>45210</v>
      </c>
      <c r="R671">
        <v>1</v>
      </c>
      <c r="S671" t="s">
        <v>166</v>
      </c>
      <c r="T671" t="s">
        <v>72</v>
      </c>
      <c r="U671" t="s">
        <v>271</v>
      </c>
      <c r="AD671">
        <v>1</v>
      </c>
      <c r="AE671" s="7" t="s">
        <v>178</v>
      </c>
      <c r="AF671">
        <v>10</v>
      </c>
      <c r="AG671">
        <v>4</v>
      </c>
      <c r="AH671">
        <v>0</v>
      </c>
      <c r="AI671">
        <v>208</v>
      </c>
    </row>
    <row r="672" spans="1:35" x14ac:dyDescent="0.35">
      <c r="A672" t="s">
        <v>192</v>
      </c>
      <c r="B672" t="s">
        <v>24</v>
      </c>
      <c r="C672" t="s">
        <v>33</v>
      </c>
      <c r="D672" t="s">
        <v>34</v>
      </c>
      <c r="E672" t="s">
        <v>309</v>
      </c>
      <c r="F672" t="s">
        <v>310</v>
      </c>
      <c r="G672" s="20" t="s">
        <v>38</v>
      </c>
      <c r="H672" s="20" t="s">
        <v>39</v>
      </c>
      <c r="I672" t="str">
        <f t="shared" si="15"/>
        <v>Apis mellifera</v>
      </c>
      <c r="J672" t="s">
        <v>70</v>
      </c>
      <c r="K672" t="s">
        <v>332</v>
      </c>
      <c r="L672" t="s">
        <v>275</v>
      </c>
      <c r="M672" t="s">
        <v>157</v>
      </c>
      <c r="N672">
        <v>605</v>
      </c>
      <c r="O672" t="s">
        <v>155</v>
      </c>
      <c r="P672" t="s">
        <v>223</v>
      </c>
      <c r="Q672" s="6">
        <v>45210</v>
      </c>
      <c r="R672">
        <v>1</v>
      </c>
      <c r="S672" t="s">
        <v>166</v>
      </c>
      <c r="T672" t="s">
        <v>72</v>
      </c>
      <c r="U672" t="s">
        <v>271</v>
      </c>
      <c r="AD672">
        <v>4</v>
      </c>
      <c r="AE672" s="7" t="s">
        <v>177</v>
      </c>
      <c r="AF672">
        <v>10</v>
      </c>
      <c r="AG672">
        <v>4</v>
      </c>
      <c r="AH672">
        <v>0</v>
      </c>
      <c r="AI672">
        <v>209</v>
      </c>
    </row>
    <row r="673" spans="1:35" x14ac:dyDescent="0.35">
      <c r="A673" t="s">
        <v>192</v>
      </c>
      <c r="B673" t="s">
        <v>24</v>
      </c>
      <c r="C673" t="s">
        <v>33</v>
      </c>
      <c r="D673" t="s">
        <v>34</v>
      </c>
      <c r="E673" t="s">
        <v>309</v>
      </c>
      <c r="F673" t="s">
        <v>310</v>
      </c>
      <c r="G673" s="20" t="s">
        <v>38</v>
      </c>
      <c r="H673" s="20" t="s">
        <v>39</v>
      </c>
      <c r="I673" t="str">
        <f t="shared" si="15"/>
        <v>Apis mellifera</v>
      </c>
      <c r="J673" t="s">
        <v>70</v>
      </c>
      <c r="K673" t="s">
        <v>332</v>
      </c>
      <c r="L673" t="s">
        <v>275</v>
      </c>
      <c r="M673" t="s">
        <v>157</v>
      </c>
      <c r="N673">
        <v>606</v>
      </c>
      <c r="O673" t="s">
        <v>155</v>
      </c>
      <c r="P673" t="s">
        <v>223</v>
      </c>
      <c r="Q673" s="6">
        <v>45210</v>
      </c>
      <c r="R673">
        <v>0</v>
      </c>
      <c r="U673" t="s">
        <v>225</v>
      </c>
      <c r="AD673">
        <v>2</v>
      </c>
      <c r="AE673" s="7" t="s">
        <v>177</v>
      </c>
      <c r="AF673">
        <v>16</v>
      </c>
      <c r="AG673">
        <v>14</v>
      </c>
      <c r="AH673">
        <v>3</v>
      </c>
      <c r="AI673">
        <v>210</v>
      </c>
    </row>
    <row r="674" spans="1:35" x14ac:dyDescent="0.35">
      <c r="A674" t="s">
        <v>192</v>
      </c>
      <c r="B674" t="s">
        <v>24</v>
      </c>
      <c r="C674" t="s">
        <v>33</v>
      </c>
      <c r="D674" t="s">
        <v>34</v>
      </c>
      <c r="E674" t="s">
        <v>309</v>
      </c>
      <c r="F674" t="s">
        <v>310</v>
      </c>
      <c r="G674" s="20" t="s">
        <v>38</v>
      </c>
      <c r="H674" s="20" t="s">
        <v>39</v>
      </c>
      <c r="I674" t="str">
        <f t="shared" si="15"/>
        <v>Apis mellifera</v>
      </c>
      <c r="J674" t="s">
        <v>70</v>
      </c>
      <c r="K674" t="s">
        <v>332</v>
      </c>
      <c r="L674" t="s">
        <v>275</v>
      </c>
      <c r="M674" t="s">
        <v>157</v>
      </c>
      <c r="N674">
        <v>607</v>
      </c>
      <c r="O674" t="s">
        <v>155</v>
      </c>
      <c r="P674" t="s">
        <v>223</v>
      </c>
      <c r="Q674" s="6">
        <v>45210</v>
      </c>
      <c r="R674">
        <v>1</v>
      </c>
      <c r="U674" t="s">
        <v>225</v>
      </c>
      <c r="AD674">
        <v>2</v>
      </c>
      <c r="AE674" s="7" t="s">
        <v>178</v>
      </c>
      <c r="AF674">
        <v>16</v>
      </c>
      <c r="AG674">
        <v>14</v>
      </c>
      <c r="AH674">
        <v>3</v>
      </c>
      <c r="AI674">
        <v>211</v>
      </c>
    </row>
    <row r="675" spans="1:35" x14ac:dyDescent="0.35">
      <c r="A675" t="s">
        <v>192</v>
      </c>
      <c r="B675" t="s">
        <v>24</v>
      </c>
      <c r="C675" t="s">
        <v>33</v>
      </c>
      <c r="D675" t="s">
        <v>34</v>
      </c>
      <c r="E675" t="s">
        <v>309</v>
      </c>
      <c r="F675" t="s">
        <v>310</v>
      </c>
      <c r="G675" s="20" t="s">
        <v>38</v>
      </c>
      <c r="H675" s="20" t="s">
        <v>39</v>
      </c>
      <c r="I675" t="str">
        <f t="shared" si="15"/>
        <v>Apis mellifera</v>
      </c>
      <c r="J675" t="s">
        <v>70</v>
      </c>
      <c r="K675" t="s">
        <v>332</v>
      </c>
      <c r="L675" t="s">
        <v>275</v>
      </c>
      <c r="M675" t="s">
        <v>157</v>
      </c>
      <c r="N675">
        <v>608</v>
      </c>
      <c r="O675" t="s">
        <v>155</v>
      </c>
      <c r="P675" t="s">
        <v>223</v>
      </c>
      <c r="Q675" s="6">
        <v>45210</v>
      </c>
      <c r="R675">
        <v>1</v>
      </c>
      <c r="U675" t="s">
        <v>225</v>
      </c>
      <c r="AD675">
        <v>5</v>
      </c>
      <c r="AE675" s="7" t="s">
        <v>178</v>
      </c>
      <c r="AF675">
        <v>16</v>
      </c>
      <c r="AG675">
        <v>14</v>
      </c>
      <c r="AH675">
        <v>3</v>
      </c>
      <c r="AI675">
        <v>212</v>
      </c>
    </row>
    <row r="676" spans="1:35" x14ac:dyDescent="0.35">
      <c r="A676" t="s">
        <v>192</v>
      </c>
      <c r="B676" t="s">
        <v>24</v>
      </c>
      <c r="C676" t="s">
        <v>33</v>
      </c>
      <c r="D676" t="s">
        <v>34</v>
      </c>
      <c r="E676" t="s">
        <v>309</v>
      </c>
      <c r="F676" t="s">
        <v>310</v>
      </c>
      <c r="G676" s="20" t="s">
        <v>38</v>
      </c>
      <c r="H676" s="20" t="s">
        <v>39</v>
      </c>
      <c r="I676" t="str">
        <f t="shared" si="15"/>
        <v>Apis mellifera</v>
      </c>
      <c r="J676" t="s">
        <v>70</v>
      </c>
      <c r="K676" t="s">
        <v>332</v>
      </c>
      <c r="L676" t="s">
        <v>275</v>
      </c>
      <c r="M676" t="s">
        <v>157</v>
      </c>
      <c r="N676">
        <v>609</v>
      </c>
      <c r="O676" t="s">
        <v>155</v>
      </c>
      <c r="P676" t="s">
        <v>223</v>
      </c>
      <c r="Q676" s="6">
        <v>45210</v>
      </c>
      <c r="R676">
        <v>1</v>
      </c>
      <c r="U676" t="s">
        <v>225</v>
      </c>
      <c r="AD676">
        <v>6</v>
      </c>
      <c r="AE676" s="7" t="s">
        <v>178</v>
      </c>
      <c r="AF676">
        <v>16</v>
      </c>
      <c r="AG676">
        <v>14</v>
      </c>
      <c r="AH676">
        <v>3</v>
      </c>
      <c r="AI676">
        <v>213</v>
      </c>
    </row>
    <row r="677" spans="1:35" x14ac:dyDescent="0.35">
      <c r="A677" t="s">
        <v>192</v>
      </c>
      <c r="B677" t="s">
        <v>24</v>
      </c>
      <c r="C677" t="s">
        <v>33</v>
      </c>
      <c r="D677" t="s">
        <v>34</v>
      </c>
      <c r="E677" t="s">
        <v>309</v>
      </c>
      <c r="F677" t="s">
        <v>310</v>
      </c>
      <c r="G677" s="20" t="s">
        <v>38</v>
      </c>
      <c r="H677" s="20" t="s">
        <v>39</v>
      </c>
      <c r="I677" t="str">
        <f t="shared" si="15"/>
        <v>Apis mellifera</v>
      </c>
      <c r="J677" t="s">
        <v>70</v>
      </c>
      <c r="K677" t="s">
        <v>332</v>
      </c>
      <c r="L677" t="s">
        <v>275</v>
      </c>
      <c r="M677" t="s">
        <v>157</v>
      </c>
      <c r="N677">
        <v>610</v>
      </c>
      <c r="O677" t="s">
        <v>155</v>
      </c>
      <c r="P677" t="s">
        <v>223</v>
      </c>
      <c r="Q677" s="6">
        <v>45210</v>
      </c>
      <c r="R677">
        <v>0</v>
      </c>
      <c r="U677" t="s">
        <v>225</v>
      </c>
      <c r="AD677">
        <v>3</v>
      </c>
      <c r="AE677" s="7" t="s">
        <v>178</v>
      </c>
      <c r="AF677">
        <v>16</v>
      </c>
      <c r="AG677">
        <v>14</v>
      </c>
      <c r="AH677">
        <v>3</v>
      </c>
      <c r="AI677">
        <v>214</v>
      </c>
    </row>
    <row r="678" spans="1:35" x14ac:dyDescent="0.35">
      <c r="A678" t="s">
        <v>192</v>
      </c>
      <c r="B678" t="s">
        <v>24</v>
      </c>
      <c r="C678" t="s">
        <v>33</v>
      </c>
      <c r="D678" t="s">
        <v>34</v>
      </c>
      <c r="E678" t="s">
        <v>309</v>
      </c>
      <c r="F678" t="s">
        <v>310</v>
      </c>
      <c r="G678" s="20" t="s">
        <v>38</v>
      </c>
      <c r="H678" s="20" t="s">
        <v>39</v>
      </c>
      <c r="I678" t="str">
        <f t="shared" ref="I678:I741" si="16">G678&amp;" "&amp;H678</f>
        <v>Apis mellifera</v>
      </c>
      <c r="J678" t="s">
        <v>70</v>
      </c>
      <c r="K678" t="s">
        <v>332</v>
      </c>
      <c r="L678" t="s">
        <v>275</v>
      </c>
      <c r="M678" t="s">
        <v>157</v>
      </c>
      <c r="N678">
        <v>611</v>
      </c>
      <c r="O678" t="s">
        <v>155</v>
      </c>
      <c r="P678" t="s">
        <v>223</v>
      </c>
      <c r="Q678" s="6">
        <v>45210</v>
      </c>
      <c r="R678">
        <v>1</v>
      </c>
      <c r="U678" t="s">
        <v>225</v>
      </c>
      <c r="AD678">
        <v>2</v>
      </c>
      <c r="AE678" s="7" t="s">
        <v>179</v>
      </c>
      <c r="AF678">
        <v>16</v>
      </c>
      <c r="AG678">
        <v>14</v>
      </c>
      <c r="AH678">
        <v>3</v>
      </c>
      <c r="AI678">
        <v>215</v>
      </c>
    </row>
    <row r="679" spans="1:35" x14ac:dyDescent="0.35">
      <c r="A679" t="s">
        <v>192</v>
      </c>
      <c r="B679" t="s">
        <v>24</v>
      </c>
      <c r="C679" t="s">
        <v>33</v>
      </c>
      <c r="D679" t="s">
        <v>34</v>
      </c>
      <c r="E679" t="s">
        <v>309</v>
      </c>
      <c r="F679" t="s">
        <v>310</v>
      </c>
      <c r="G679" s="20" t="s">
        <v>38</v>
      </c>
      <c r="H679" s="20" t="s">
        <v>39</v>
      </c>
      <c r="I679" t="str">
        <f t="shared" si="16"/>
        <v>Apis mellifera</v>
      </c>
      <c r="J679" t="s">
        <v>70</v>
      </c>
      <c r="K679" t="s">
        <v>332</v>
      </c>
      <c r="L679" t="s">
        <v>275</v>
      </c>
      <c r="M679" t="s">
        <v>157</v>
      </c>
      <c r="N679">
        <v>612</v>
      </c>
      <c r="O679" t="s">
        <v>155</v>
      </c>
      <c r="P679" t="s">
        <v>223</v>
      </c>
      <c r="Q679" s="6">
        <v>45210</v>
      </c>
      <c r="R679">
        <v>0</v>
      </c>
      <c r="U679" t="s">
        <v>225</v>
      </c>
      <c r="AD679">
        <v>1</v>
      </c>
      <c r="AE679" s="7" t="s">
        <v>178</v>
      </c>
      <c r="AF679">
        <v>16</v>
      </c>
      <c r="AG679">
        <v>14</v>
      </c>
      <c r="AH679">
        <v>3</v>
      </c>
      <c r="AI679">
        <v>216</v>
      </c>
    </row>
    <row r="680" spans="1:35" x14ac:dyDescent="0.35">
      <c r="A680" t="s">
        <v>192</v>
      </c>
      <c r="B680" t="s">
        <v>24</v>
      </c>
      <c r="C680" t="s">
        <v>33</v>
      </c>
      <c r="D680" t="s">
        <v>34</v>
      </c>
      <c r="E680" t="s">
        <v>309</v>
      </c>
      <c r="F680" t="s">
        <v>310</v>
      </c>
      <c r="G680" s="20" t="s">
        <v>38</v>
      </c>
      <c r="H680" s="20" t="s">
        <v>39</v>
      </c>
      <c r="I680" t="str">
        <f t="shared" si="16"/>
        <v>Apis mellifera</v>
      </c>
      <c r="J680" t="s">
        <v>70</v>
      </c>
      <c r="K680" t="s">
        <v>332</v>
      </c>
      <c r="L680" t="s">
        <v>275</v>
      </c>
      <c r="M680" t="s">
        <v>157</v>
      </c>
      <c r="N680">
        <v>613</v>
      </c>
      <c r="O680" t="s">
        <v>155</v>
      </c>
      <c r="P680" t="s">
        <v>223</v>
      </c>
      <c r="Q680" s="6">
        <v>45210</v>
      </c>
      <c r="R680">
        <v>0</v>
      </c>
      <c r="U680" t="s">
        <v>225</v>
      </c>
      <c r="AD680">
        <v>2</v>
      </c>
      <c r="AE680" s="7" t="s">
        <v>177</v>
      </c>
      <c r="AF680">
        <v>16</v>
      </c>
      <c r="AG680">
        <v>14</v>
      </c>
      <c r="AH680">
        <v>3</v>
      </c>
      <c r="AI680">
        <v>217</v>
      </c>
    </row>
    <row r="681" spans="1:35" x14ac:dyDescent="0.35">
      <c r="A681" t="s">
        <v>192</v>
      </c>
      <c r="B681" t="s">
        <v>24</v>
      </c>
      <c r="C681" t="s">
        <v>33</v>
      </c>
      <c r="D681" t="s">
        <v>34</v>
      </c>
      <c r="E681" t="s">
        <v>309</v>
      </c>
      <c r="F681" t="s">
        <v>310</v>
      </c>
      <c r="G681" s="20" t="s">
        <v>38</v>
      </c>
      <c r="H681" s="20" t="s">
        <v>39</v>
      </c>
      <c r="I681" t="str">
        <f t="shared" si="16"/>
        <v>Apis mellifera</v>
      </c>
      <c r="J681" t="s">
        <v>70</v>
      </c>
      <c r="K681" t="s">
        <v>332</v>
      </c>
      <c r="L681" t="s">
        <v>275</v>
      </c>
      <c r="M681" t="s">
        <v>157</v>
      </c>
      <c r="N681">
        <v>614</v>
      </c>
      <c r="O681" t="s">
        <v>155</v>
      </c>
      <c r="P681" t="s">
        <v>223</v>
      </c>
      <c r="Q681" s="6">
        <v>45210</v>
      </c>
      <c r="R681">
        <v>0</v>
      </c>
      <c r="U681" t="s">
        <v>225</v>
      </c>
      <c r="AD681">
        <v>2</v>
      </c>
      <c r="AE681" s="7" t="s">
        <v>177</v>
      </c>
      <c r="AF681">
        <v>16</v>
      </c>
      <c r="AG681">
        <v>14</v>
      </c>
      <c r="AH681">
        <v>3</v>
      </c>
      <c r="AI681">
        <v>218</v>
      </c>
    </row>
    <row r="682" spans="1:35" x14ac:dyDescent="0.35">
      <c r="A682" t="s">
        <v>192</v>
      </c>
      <c r="B682" t="s">
        <v>24</v>
      </c>
      <c r="C682" t="s">
        <v>33</v>
      </c>
      <c r="D682" t="s">
        <v>34</v>
      </c>
      <c r="E682" t="s">
        <v>309</v>
      </c>
      <c r="F682" t="s">
        <v>310</v>
      </c>
      <c r="G682" s="20" t="s">
        <v>38</v>
      </c>
      <c r="H682" s="20" t="s">
        <v>39</v>
      </c>
      <c r="I682" t="str">
        <f t="shared" si="16"/>
        <v>Apis mellifera</v>
      </c>
      <c r="J682" t="s">
        <v>70</v>
      </c>
      <c r="K682" t="s">
        <v>332</v>
      </c>
      <c r="L682" t="s">
        <v>275</v>
      </c>
      <c r="M682" t="s">
        <v>157</v>
      </c>
      <c r="N682">
        <v>615</v>
      </c>
      <c r="O682" t="s">
        <v>155</v>
      </c>
      <c r="P682" t="s">
        <v>223</v>
      </c>
      <c r="Q682" s="6">
        <v>45210</v>
      </c>
      <c r="R682">
        <v>0</v>
      </c>
      <c r="U682" t="s">
        <v>225</v>
      </c>
      <c r="AD682">
        <v>1</v>
      </c>
      <c r="AE682" s="7" t="s">
        <v>177</v>
      </c>
      <c r="AF682">
        <v>16</v>
      </c>
      <c r="AG682">
        <v>14</v>
      </c>
      <c r="AH682">
        <v>3</v>
      </c>
      <c r="AI682">
        <v>219</v>
      </c>
    </row>
    <row r="683" spans="1:35" x14ac:dyDescent="0.35">
      <c r="A683" t="s">
        <v>192</v>
      </c>
      <c r="B683" t="s">
        <v>24</v>
      </c>
      <c r="C683" t="s">
        <v>33</v>
      </c>
      <c r="D683" t="s">
        <v>34</v>
      </c>
      <c r="E683" t="s">
        <v>309</v>
      </c>
      <c r="F683" t="s">
        <v>310</v>
      </c>
      <c r="G683" s="20" t="s">
        <v>38</v>
      </c>
      <c r="H683" s="20" t="s">
        <v>39</v>
      </c>
      <c r="I683" t="str">
        <f t="shared" si="16"/>
        <v>Apis mellifera</v>
      </c>
      <c r="J683" t="s">
        <v>70</v>
      </c>
      <c r="K683" t="s">
        <v>332</v>
      </c>
      <c r="L683" t="s">
        <v>275</v>
      </c>
      <c r="M683" t="s">
        <v>157</v>
      </c>
      <c r="N683">
        <v>618</v>
      </c>
      <c r="O683" t="s">
        <v>155</v>
      </c>
      <c r="P683" t="s">
        <v>223</v>
      </c>
      <c r="Q683" s="6">
        <v>45210</v>
      </c>
      <c r="R683">
        <v>1</v>
      </c>
      <c r="S683" t="s">
        <v>166</v>
      </c>
      <c r="T683" t="s">
        <v>72</v>
      </c>
      <c r="U683" t="s">
        <v>271</v>
      </c>
      <c r="AD683">
        <v>3</v>
      </c>
      <c r="AE683" s="7" t="s">
        <v>178</v>
      </c>
      <c r="AF683">
        <v>10</v>
      </c>
      <c r="AG683">
        <v>4</v>
      </c>
      <c r="AH683">
        <v>0</v>
      </c>
      <c r="AI683">
        <v>220</v>
      </c>
    </row>
    <row r="684" spans="1:35" x14ac:dyDescent="0.35">
      <c r="A684" t="s">
        <v>192</v>
      </c>
      <c r="B684" t="s">
        <v>24</v>
      </c>
      <c r="C684" t="s">
        <v>33</v>
      </c>
      <c r="D684" t="s">
        <v>34</v>
      </c>
      <c r="E684" t="s">
        <v>309</v>
      </c>
      <c r="F684" t="s">
        <v>310</v>
      </c>
      <c r="G684" s="20" t="s">
        <v>38</v>
      </c>
      <c r="H684" s="20" t="s">
        <v>39</v>
      </c>
      <c r="I684" t="str">
        <f t="shared" si="16"/>
        <v>Apis mellifera</v>
      </c>
      <c r="J684" t="s">
        <v>70</v>
      </c>
      <c r="K684" t="s">
        <v>332</v>
      </c>
      <c r="L684" t="s">
        <v>275</v>
      </c>
      <c r="M684" t="s">
        <v>157</v>
      </c>
      <c r="N684">
        <v>619</v>
      </c>
      <c r="O684" t="s">
        <v>155</v>
      </c>
      <c r="P684" t="s">
        <v>223</v>
      </c>
      <c r="Q684" s="6">
        <v>45210</v>
      </c>
      <c r="R684">
        <v>0</v>
      </c>
      <c r="S684" t="s">
        <v>166</v>
      </c>
      <c r="T684" t="s">
        <v>72</v>
      </c>
      <c r="U684" t="s">
        <v>271</v>
      </c>
      <c r="AD684">
        <v>1</v>
      </c>
      <c r="AE684" s="7" t="s">
        <v>177</v>
      </c>
      <c r="AF684">
        <v>9</v>
      </c>
      <c r="AG684">
        <v>19</v>
      </c>
      <c r="AH684">
        <v>0</v>
      </c>
      <c r="AI684">
        <v>221</v>
      </c>
    </row>
    <row r="685" spans="1:35" x14ac:dyDescent="0.35">
      <c r="A685" t="s">
        <v>192</v>
      </c>
      <c r="B685" t="s">
        <v>24</v>
      </c>
      <c r="C685" t="s">
        <v>33</v>
      </c>
      <c r="D685" t="s">
        <v>34</v>
      </c>
      <c r="E685" t="s">
        <v>309</v>
      </c>
      <c r="F685" t="s">
        <v>310</v>
      </c>
      <c r="G685" s="20" t="s">
        <v>38</v>
      </c>
      <c r="H685" s="20" t="s">
        <v>39</v>
      </c>
      <c r="I685" t="str">
        <f t="shared" si="16"/>
        <v>Apis mellifera</v>
      </c>
      <c r="J685" t="s">
        <v>70</v>
      </c>
      <c r="K685" t="s">
        <v>332</v>
      </c>
      <c r="L685" t="s">
        <v>275</v>
      </c>
      <c r="M685" t="s">
        <v>157</v>
      </c>
      <c r="N685">
        <v>620</v>
      </c>
      <c r="O685" t="s">
        <v>155</v>
      </c>
      <c r="P685" t="s">
        <v>223</v>
      </c>
      <c r="Q685" s="6">
        <v>45210</v>
      </c>
      <c r="R685">
        <v>1</v>
      </c>
      <c r="S685" t="s">
        <v>166</v>
      </c>
      <c r="T685" t="s">
        <v>72</v>
      </c>
      <c r="U685" t="s">
        <v>271</v>
      </c>
      <c r="AD685">
        <v>1</v>
      </c>
      <c r="AE685" s="7" t="s">
        <v>178</v>
      </c>
      <c r="AF685">
        <v>9</v>
      </c>
      <c r="AG685">
        <v>19</v>
      </c>
      <c r="AH685">
        <v>0</v>
      </c>
      <c r="AI685">
        <v>222</v>
      </c>
    </row>
    <row r="686" spans="1:35" x14ac:dyDescent="0.35">
      <c r="A686" t="s">
        <v>192</v>
      </c>
      <c r="B686" t="s">
        <v>24</v>
      </c>
      <c r="C686" t="s">
        <v>33</v>
      </c>
      <c r="D686" t="s">
        <v>34</v>
      </c>
      <c r="E686" t="s">
        <v>309</v>
      </c>
      <c r="F686" t="s">
        <v>310</v>
      </c>
      <c r="G686" s="20" t="s">
        <v>38</v>
      </c>
      <c r="H686" s="20" t="s">
        <v>39</v>
      </c>
      <c r="I686" t="str">
        <f t="shared" si="16"/>
        <v>Apis mellifera</v>
      </c>
      <c r="J686" t="s">
        <v>70</v>
      </c>
      <c r="K686" t="s">
        <v>332</v>
      </c>
      <c r="L686" t="s">
        <v>275</v>
      </c>
      <c r="M686" t="s">
        <v>157</v>
      </c>
      <c r="N686">
        <v>621</v>
      </c>
      <c r="O686" t="s">
        <v>155</v>
      </c>
      <c r="P686" t="s">
        <v>223</v>
      </c>
      <c r="Q686" s="6">
        <v>45210</v>
      </c>
      <c r="R686">
        <v>1</v>
      </c>
      <c r="U686" t="s">
        <v>225</v>
      </c>
      <c r="AD686">
        <v>1</v>
      </c>
      <c r="AE686" s="7" t="s">
        <v>179</v>
      </c>
      <c r="AF686">
        <v>9</v>
      </c>
      <c r="AG686">
        <v>19</v>
      </c>
      <c r="AH686">
        <v>0</v>
      </c>
      <c r="AI686">
        <v>223</v>
      </c>
    </row>
    <row r="687" spans="1:35" x14ac:dyDescent="0.35">
      <c r="A687" t="s">
        <v>192</v>
      </c>
      <c r="B687" t="s">
        <v>24</v>
      </c>
      <c r="C687" t="s">
        <v>33</v>
      </c>
      <c r="D687" t="s">
        <v>34</v>
      </c>
      <c r="E687" t="s">
        <v>309</v>
      </c>
      <c r="F687" t="s">
        <v>310</v>
      </c>
      <c r="G687" s="20" t="s">
        <v>38</v>
      </c>
      <c r="H687" s="20" t="s">
        <v>39</v>
      </c>
      <c r="I687" t="str">
        <f t="shared" si="16"/>
        <v>Apis mellifera</v>
      </c>
      <c r="J687" t="s">
        <v>70</v>
      </c>
      <c r="K687" t="s">
        <v>332</v>
      </c>
      <c r="L687" t="s">
        <v>275</v>
      </c>
      <c r="M687" t="s">
        <v>157</v>
      </c>
      <c r="N687">
        <v>622</v>
      </c>
      <c r="O687" t="s">
        <v>155</v>
      </c>
      <c r="P687" t="s">
        <v>223</v>
      </c>
      <c r="Q687" s="6">
        <v>45210</v>
      </c>
      <c r="R687">
        <v>1</v>
      </c>
      <c r="U687" t="s">
        <v>225</v>
      </c>
      <c r="AD687">
        <v>2</v>
      </c>
      <c r="AE687" s="7" t="s">
        <v>179</v>
      </c>
      <c r="AF687">
        <v>9</v>
      </c>
      <c r="AG687">
        <v>19</v>
      </c>
      <c r="AH687">
        <v>0</v>
      </c>
      <c r="AI687">
        <v>224</v>
      </c>
    </row>
    <row r="688" spans="1:35" x14ac:dyDescent="0.35">
      <c r="A688" t="s">
        <v>192</v>
      </c>
      <c r="B688" t="s">
        <v>24</v>
      </c>
      <c r="C688" t="s">
        <v>33</v>
      </c>
      <c r="D688" t="s">
        <v>34</v>
      </c>
      <c r="E688" t="s">
        <v>309</v>
      </c>
      <c r="F688" t="s">
        <v>310</v>
      </c>
      <c r="G688" s="20" t="s">
        <v>38</v>
      </c>
      <c r="H688" s="20" t="s">
        <v>39</v>
      </c>
      <c r="I688" t="str">
        <f t="shared" si="16"/>
        <v>Apis mellifera</v>
      </c>
      <c r="J688" t="s">
        <v>70</v>
      </c>
      <c r="K688" t="s">
        <v>332</v>
      </c>
      <c r="L688" t="s">
        <v>275</v>
      </c>
      <c r="M688" t="s">
        <v>157</v>
      </c>
      <c r="N688">
        <v>623</v>
      </c>
      <c r="O688" t="s">
        <v>155</v>
      </c>
      <c r="P688" t="s">
        <v>223</v>
      </c>
      <c r="Q688" s="6">
        <v>45210</v>
      </c>
      <c r="S688" t="s">
        <v>166</v>
      </c>
      <c r="T688" t="s">
        <v>72</v>
      </c>
      <c r="U688" t="s">
        <v>271</v>
      </c>
      <c r="AD688">
        <v>2</v>
      </c>
      <c r="AE688" s="7" t="s">
        <v>179</v>
      </c>
      <c r="AF688">
        <v>9</v>
      </c>
      <c r="AG688">
        <v>19</v>
      </c>
      <c r="AH688">
        <v>0</v>
      </c>
      <c r="AI688">
        <v>225</v>
      </c>
    </row>
    <row r="689" spans="1:35" x14ac:dyDescent="0.35">
      <c r="A689" t="s">
        <v>192</v>
      </c>
      <c r="B689" t="s">
        <v>24</v>
      </c>
      <c r="C689" t="s">
        <v>33</v>
      </c>
      <c r="D689" t="s">
        <v>34</v>
      </c>
      <c r="E689" t="s">
        <v>309</v>
      </c>
      <c r="F689" t="s">
        <v>310</v>
      </c>
      <c r="G689" s="20" t="s">
        <v>38</v>
      </c>
      <c r="H689" s="20" t="s">
        <v>39</v>
      </c>
      <c r="I689" t="str">
        <f t="shared" si="16"/>
        <v>Apis mellifera</v>
      </c>
      <c r="J689" t="s">
        <v>70</v>
      </c>
      <c r="K689" t="s">
        <v>332</v>
      </c>
      <c r="L689" t="s">
        <v>275</v>
      </c>
      <c r="M689" t="s">
        <v>157</v>
      </c>
      <c r="N689">
        <v>624</v>
      </c>
      <c r="O689" t="s">
        <v>155</v>
      </c>
      <c r="P689" t="s">
        <v>223</v>
      </c>
      <c r="Q689" s="6">
        <v>45210</v>
      </c>
      <c r="R689">
        <v>1</v>
      </c>
      <c r="S689" t="s">
        <v>166</v>
      </c>
      <c r="T689" t="s">
        <v>72</v>
      </c>
      <c r="U689" t="s">
        <v>271</v>
      </c>
      <c r="AE689" s="7" t="s">
        <v>178</v>
      </c>
      <c r="AF689">
        <v>9</v>
      </c>
      <c r="AG689">
        <v>19</v>
      </c>
      <c r="AH689">
        <v>0</v>
      </c>
      <c r="AI689">
        <v>226</v>
      </c>
    </row>
    <row r="690" spans="1:35" x14ac:dyDescent="0.35">
      <c r="A690" t="s">
        <v>192</v>
      </c>
      <c r="B690" t="s">
        <v>24</v>
      </c>
      <c r="C690" t="s">
        <v>33</v>
      </c>
      <c r="D690" t="s">
        <v>34</v>
      </c>
      <c r="E690" t="s">
        <v>309</v>
      </c>
      <c r="F690" t="s">
        <v>310</v>
      </c>
      <c r="G690" s="20" t="s">
        <v>38</v>
      </c>
      <c r="H690" s="20" t="s">
        <v>39</v>
      </c>
      <c r="I690" t="str">
        <f t="shared" si="16"/>
        <v>Apis mellifera</v>
      </c>
      <c r="J690" t="s">
        <v>70</v>
      </c>
      <c r="K690" t="s">
        <v>332</v>
      </c>
      <c r="L690" t="s">
        <v>275</v>
      </c>
      <c r="M690" t="s">
        <v>157</v>
      </c>
      <c r="N690">
        <v>625</v>
      </c>
      <c r="O690" t="s">
        <v>155</v>
      </c>
      <c r="P690" t="s">
        <v>223</v>
      </c>
      <c r="Q690" s="6">
        <v>45210</v>
      </c>
      <c r="R690">
        <v>1</v>
      </c>
      <c r="S690" t="s">
        <v>166</v>
      </c>
      <c r="T690" t="s">
        <v>72</v>
      </c>
      <c r="U690" t="s">
        <v>271</v>
      </c>
      <c r="AD690">
        <v>5</v>
      </c>
      <c r="AE690" s="7" t="s">
        <v>178</v>
      </c>
      <c r="AF690">
        <v>9</v>
      </c>
      <c r="AG690">
        <v>19</v>
      </c>
      <c r="AH690">
        <v>0</v>
      </c>
      <c r="AI690">
        <v>227</v>
      </c>
    </row>
    <row r="691" spans="1:35" x14ac:dyDescent="0.35">
      <c r="A691" t="s">
        <v>192</v>
      </c>
      <c r="B691" t="s">
        <v>24</v>
      </c>
      <c r="C691" t="s">
        <v>33</v>
      </c>
      <c r="D691" t="s">
        <v>34</v>
      </c>
      <c r="E691" t="s">
        <v>309</v>
      </c>
      <c r="F691" t="s">
        <v>310</v>
      </c>
      <c r="G691" s="20" t="s">
        <v>38</v>
      </c>
      <c r="H691" s="20" t="s">
        <v>39</v>
      </c>
      <c r="I691" t="str">
        <f t="shared" si="16"/>
        <v>Apis mellifera</v>
      </c>
      <c r="J691" t="s">
        <v>70</v>
      </c>
      <c r="K691" t="s">
        <v>332</v>
      </c>
      <c r="L691" t="s">
        <v>275</v>
      </c>
      <c r="M691" t="s">
        <v>157</v>
      </c>
      <c r="N691">
        <v>626</v>
      </c>
      <c r="O691" t="s">
        <v>155</v>
      </c>
      <c r="P691" t="s">
        <v>223</v>
      </c>
      <c r="Q691" s="6">
        <v>45210</v>
      </c>
      <c r="R691">
        <v>1</v>
      </c>
      <c r="S691" t="s">
        <v>166</v>
      </c>
      <c r="T691" t="s">
        <v>72</v>
      </c>
      <c r="U691" t="s">
        <v>271</v>
      </c>
      <c r="AD691">
        <v>2</v>
      </c>
      <c r="AE691" s="7" t="s">
        <v>179</v>
      </c>
      <c r="AF691">
        <v>9</v>
      </c>
      <c r="AG691">
        <v>19</v>
      </c>
      <c r="AH691">
        <v>0</v>
      </c>
      <c r="AI691">
        <v>228</v>
      </c>
    </row>
    <row r="692" spans="1:35" x14ac:dyDescent="0.35">
      <c r="A692" t="s">
        <v>192</v>
      </c>
      <c r="B692" t="s">
        <v>24</v>
      </c>
      <c r="C692" t="s">
        <v>33</v>
      </c>
      <c r="D692" t="s">
        <v>34</v>
      </c>
      <c r="E692" t="s">
        <v>309</v>
      </c>
      <c r="F692" t="s">
        <v>310</v>
      </c>
      <c r="G692" s="20" t="s">
        <v>38</v>
      </c>
      <c r="H692" s="20" t="s">
        <v>39</v>
      </c>
      <c r="I692" t="str">
        <f t="shared" si="16"/>
        <v>Apis mellifera</v>
      </c>
      <c r="J692" t="s">
        <v>70</v>
      </c>
      <c r="K692" t="s">
        <v>332</v>
      </c>
      <c r="L692" t="s">
        <v>275</v>
      </c>
      <c r="M692" t="s">
        <v>157</v>
      </c>
      <c r="N692">
        <v>627</v>
      </c>
      <c r="O692" t="s">
        <v>155</v>
      </c>
      <c r="P692" t="s">
        <v>223</v>
      </c>
      <c r="Q692" s="6">
        <v>45210</v>
      </c>
      <c r="R692">
        <v>1</v>
      </c>
      <c r="S692" t="s">
        <v>166</v>
      </c>
      <c r="T692" t="s">
        <v>72</v>
      </c>
      <c r="U692" t="s">
        <v>271</v>
      </c>
      <c r="AD692">
        <v>4</v>
      </c>
      <c r="AE692" s="7" t="s">
        <v>177</v>
      </c>
      <c r="AF692">
        <v>9</v>
      </c>
      <c r="AG692">
        <v>19</v>
      </c>
      <c r="AH692">
        <v>0</v>
      </c>
      <c r="AI692">
        <v>229</v>
      </c>
    </row>
    <row r="693" spans="1:35" x14ac:dyDescent="0.35">
      <c r="A693" t="s">
        <v>192</v>
      </c>
      <c r="B693" t="s">
        <v>24</v>
      </c>
      <c r="C693" t="s">
        <v>33</v>
      </c>
      <c r="D693" t="s">
        <v>34</v>
      </c>
      <c r="E693" t="s">
        <v>309</v>
      </c>
      <c r="F693" t="s">
        <v>310</v>
      </c>
      <c r="G693" s="20" t="s">
        <v>38</v>
      </c>
      <c r="H693" s="20" t="s">
        <v>39</v>
      </c>
      <c r="I693" t="str">
        <f t="shared" si="16"/>
        <v>Apis mellifera</v>
      </c>
      <c r="J693" t="s">
        <v>70</v>
      </c>
      <c r="K693" t="s">
        <v>332</v>
      </c>
      <c r="L693" t="s">
        <v>275</v>
      </c>
      <c r="M693" t="s">
        <v>157</v>
      </c>
      <c r="N693">
        <v>628</v>
      </c>
      <c r="O693" t="s">
        <v>155</v>
      </c>
      <c r="P693" t="s">
        <v>223</v>
      </c>
      <c r="Q693" s="6">
        <v>45210</v>
      </c>
      <c r="R693">
        <v>1</v>
      </c>
      <c r="U693" t="s">
        <v>225</v>
      </c>
      <c r="AD693">
        <v>4</v>
      </c>
      <c r="AE693" s="7" t="s">
        <v>178</v>
      </c>
      <c r="AF693">
        <v>9</v>
      </c>
      <c r="AG693">
        <v>19</v>
      </c>
      <c r="AH693">
        <v>0</v>
      </c>
      <c r="AI693">
        <v>230</v>
      </c>
    </row>
    <row r="694" spans="1:35" x14ac:dyDescent="0.35">
      <c r="A694" t="s">
        <v>192</v>
      </c>
      <c r="B694" t="s">
        <v>24</v>
      </c>
      <c r="C694" t="s">
        <v>33</v>
      </c>
      <c r="D694" t="s">
        <v>34</v>
      </c>
      <c r="E694" t="s">
        <v>309</v>
      </c>
      <c r="F694" t="s">
        <v>310</v>
      </c>
      <c r="G694" s="20" t="s">
        <v>38</v>
      </c>
      <c r="H694" s="20" t="s">
        <v>39</v>
      </c>
      <c r="I694" t="str">
        <f t="shared" si="16"/>
        <v>Apis mellifera</v>
      </c>
      <c r="J694" t="s">
        <v>70</v>
      </c>
      <c r="K694" t="s">
        <v>332</v>
      </c>
      <c r="L694" t="s">
        <v>275</v>
      </c>
      <c r="M694" t="s">
        <v>157</v>
      </c>
      <c r="N694">
        <v>630</v>
      </c>
      <c r="O694" t="s">
        <v>155</v>
      </c>
      <c r="P694" t="s">
        <v>223</v>
      </c>
      <c r="Q694" s="6">
        <v>45210</v>
      </c>
      <c r="R694">
        <v>0</v>
      </c>
      <c r="U694" t="s">
        <v>225</v>
      </c>
      <c r="AD694">
        <v>2</v>
      </c>
      <c r="AE694" s="7" t="s">
        <v>177</v>
      </c>
      <c r="AF694">
        <v>9</v>
      </c>
      <c r="AG694">
        <v>19</v>
      </c>
      <c r="AH694">
        <v>0</v>
      </c>
      <c r="AI694">
        <v>231</v>
      </c>
    </row>
    <row r="695" spans="1:35" x14ac:dyDescent="0.35">
      <c r="A695" t="s">
        <v>192</v>
      </c>
      <c r="B695" t="s">
        <v>24</v>
      </c>
      <c r="C695" t="s">
        <v>33</v>
      </c>
      <c r="D695" t="s">
        <v>34</v>
      </c>
      <c r="E695" t="s">
        <v>309</v>
      </c>
      <c r="F695" t="s">
        <v>310</v>
      </c>
      <c r="G695" s="20" t="s">
        <v>38</v>
      </c>
      <c r="H695" s="20" t="s">
        <v>39</v>
      </c>
      <c r="I695" t="str">
        <f t="shared" si="16"/>
        <v>Apis mellifera</v>
      </c>
      <c r="J695" t="s">
        <v>70</v>
      </c>
      <c r="K695" t="s">
        <v>332</v>
      </c>
      <c r="L695" t="s">
        <v>275</v>
      </c>
      <c r="M695" t="s">
        <v>157</v>
      </c>
      <c r="N695">
        <v>631</v>
      </c>
      <c r="O695" t="s">
        <v>155</v>
      </c>
      <c r="P695" t="s">
        <v>223</v>
      </c>
      <c r="Q695" s="6">
        <v>45210</v>
      </c>
      <c r="R695">
        <v>1</v>
      </c>
      <c r="U695" t="s">
        <v>225</v>
      </c>
      <c r="AD695">
        <v>2</v>
      </c>
      <c r="AE695" s="7" t="s">
        <v>178</v>
      </c>
      <c r="AF695">
        <v>9</v>
      </c>
      <c r="AG695">
        <v>19</v>
      </c>
      <c r="AH695">
        <v>0</v>
      </c>
      <c r="AI695">
        <v>232</v>
      </c>
    </row>
    <row r="696" spans="1:35" x14ac:dyDescent="0.35">
      <c r="A696" t="s">
        <v>192</v>
      </c>
      <c r="B696" t="s">
        <v>24</v>
      </c>
      <c r="C696" t="s">
        <v>33</v>
      </c>
      <c r="D696" t="s">
        <v>34</v>
      </c>
      <c r="E696" t="s">
        <v>309</v>
      </c>
      <c r="F696" t="s">
        <v>310</v>
      </c>
      <c r="G696" s="20" t="s">
        <v>38</v>
      </c>
      <c r="H696" s="20" t="s">
        <v>39</v>
      </c>
      <c r="I696" t="str">
        <f t="shared" si="16"/>
        <v>Apis mellifera</v>
      </c>
      <c r="J696" t="s">
        <v>70</v>
      </c>
      <c r="K696" t="s">
        <v>332</v>
      </c>
      <c r="L696" t="s">
        <v>275</v>
      </c>
      <c r="M696" t="s">
        <v>157</v>
      </c>
      <c r="N696">
        <v>633</v>
      </c>
      <c r="O696" t="s">
        <v>155</v>
      </c>
      <c r="P696" t="s">
        <v>223</v>
      </c>
      <c r="Q696" s="6">
        <v>45210</v>
      </c>
      <c r="R696">
        <v>1</v>
      </c>
      <c r="U696" t="s">
        <v>225</v>
      </c>
      <c r="AD696">
        <v>3</v>
      </c>
      <c r="AE696" s="7" t="s">
        <v>179</v>
      </c>
      <c r="AF696">
        <v>16</v>
      </c>
      <c r="AG696">
        <v>19</v>
      </c>
      <c r="AH696">
        <v>0</v>
      </c>
      <c r="AI696">
        <v>233</v>
      </c>
    </row>
    <row r="697" spans="1:35" x14ac:dyDescent="0.35">
      <c r="A697" t="s">
        <v>192</v>
      </c>
      <c r="B697" t="s">
        <v>24</v>
      </c>
      <c r="C697" t="s">
        <v>33</v>
      </c>
      <c r="D697" t="s">
        <v>34</v>
      </c>
      <c r="E697" t="s">
        <v>309</v>
      </c>
      <c r="F697" t="s">
        <v>310</v>
      </c>
      <c r="G697" s="20" t="s">
        <v>38</v>
      </c>
      <c r="H697" s="20" t="s">
        <v>39</v>
      </c>
      <c r="I697" t="str">
        <f t="shared" si="16"/>
        <v>Apis mellifera</v>
      </c>
      <c r="J697" t="s">
        <v>70</v>
      </c>
      <c r="K697" t="s">
        <v>332</v>
      </c>
      <c r="L697" t="s">
        <v>275</v>
      </c>
      <c r="M697" t="s">
        <v>157</v>
      </c>
      <c r="N697">
        <v>634</v>
      </c>
      <c r="O697" t="s">
        <v>155</v>
      </c>
      <c r="P697" t="s">
        <v>223</v>
      </c>
      <c r="Q697" s="6">
        <v>45210</v>
      </c>
      <c r="R697">
        <v>1</v>
      </c>
      <c r="U697" t="s">
        <v>225</v>
      </c>
      <c r="AD697">
        <v>1</v>
      </c>
      <c r="AE697" s="7" t="s">
        <v>179</v>
      </c>
      <c r="AF697">
        <v>16</v>
      </c>
      <c r="AG697">
        <v>19</v>
      </c>
      <c r="AH697">
        <v>0</v>
      </c>
      <c r="AI697">
        <v>234</v>
      </c>
    </row>
    <row r="698" spans="1:35" x14ac:dyDescent="0.35">
      <c r="A698" t="s">
        <v>192</v>
      </c>
      <c r="B698" t="s">
        <v>24</v>
      </c>
      <c r="C698" t="s">
        <v>33</v>
      </c>
      <c r="D698" t="s">
        <v>34</v>
      </c>
      <c r="E698" t="s">
        <v>309</v>
      </c>
      <c r="F698" t="s">
        <v>310</v>
      </c>
      <c r="G698" s="20" t="s">
        <v>38</v>
      </c>
      <c r="H698" s="20" t="s">
        <v>39</v>
      </c>
      <c r="I698" t="str">
        <f t="shared" si="16"/>
        <v>Apis mellifera</v>
      </c>
      <c r="J698" t="s">
        <v>70</v>
      </c>
      <c r="K698" t="s">
        <v>332</v>
      </c>
      <c r="L698" t="s">
        <v>275</v>
      </c>
      <c r="M698" t="s">
        <v>157</v>
      </c>
      <c r="N698">
        <v>635</v>
      </c>
      <c r="O698" t="s">
        <v>155</v>
      </c>
      <c r="P698" t="s">
        <v>223</v>
      </c>
      <c r="Q698" s="6">
        <v>45210</v>
      </c>
      <c r="R698">
        <v>1</v>
      </c>
      <c r="U698" t="s">
        <v>225</v>
      </c>
      <c r="AD698">
        <v>3</v>
      </c>
      <c r="AE698" s="7" t="s">
        <v>178</v>
      </c>
      <c r="AF698">
        <v>16</v>
      </c>
      <c r="AG698">
        <v>19</v>
      </c>
      <c r="AH698">
        <v>0</v>
      </c>
      <c r="AI698">
        <v>235</v>
      </c>
    </row>
    <row r="699" spans="1:35" x14ac:dyDescent="0.35">
      <c r="A699" t="s">
        <v>192</v>
      </c>
      <c r="B699" t="s">
        <v>24</v>
      </c>
      <c r="C699" t="s">
        <v>33</v>
      </c>
      <c r="D699" t="s">
        <v>34</v>
      </c>
      <c r="E699" t="s">
        <v>309</v>
      </c>
      <c r="F699" t="s">
        <v>310</v>
      </c>
      <c r="G699" s="20" t="s">
        <v>38</v>
      </c>
      <c r="H699" s="20" t="s">
        <v>39</v>
      </c>
      <c r="I699" t="str">
        <f t="shared" si="16"/>
        <v>Apis mellifera</v>
      </c>
      <c r="J699" t="s">
        <v>70</v>
      </c>
      <c r="K699" t="s">
        <v>332</v>
      </c>
      <c r="L699" t="s">
        <v>275</v>
      </c>
      <c r="M699" t="s">
        <v>157</v>
      </c>
      <c r="N699">
        <v>636</v>
      </c>
      <c r="O699" t="s">
        <v>155</v>
      </c>
      <c r="P699" t="s">
        <v>223</v>
      </c>
      <c r="Q699" s="6">
        <v>45210</v>
      </c>
      <c r="R699">
        <v>1</v>
      </c>
      <c r="U699" t="s">
        <v>225</v>
      </c>
      <c r="AD699">
        <v>1</v>
      </c>
      <c r="AE699" s="7" t="s">
        <v>179</v>
      </c>
      <c r="AF699">
        <v>16</v>
      </c>
      <c r="AG699">
        <v>19</v>
      </c>
      <c r="AH699">
        <v>0</v>
      </c>
      <c r="AI699">
        <v>236</v>
      </c>
    </row>
    <row r="700" spans="1:35" x14ac:dyDescent="0.35">
      <c r="A700" t="s">
        <v>192</v>
      </c>
      <c r="B700" t="s">
        <v>24</v>
      </c>
      <c r="C700" t="s">
        <v>33</v>
      </c>
      <c r="D700" t="s">
        <v>34</v>
      </c>
      <c r="E700" t="s">
        <v>309</v>
      </c>
      <c r="F700" t="s">
        <v>310</v>
      </c>
      <c r="G700" s="20" t="s">
        <v>38</v>
      </c>
      <c r="H700" s="20" t="s">
        <v>39</v>
      </c>
      <c r="I700" t="str">
        <f t="shared" si="16"/>
        <v>Apis mellifera</v>
      </c>
      <c r="J700" t="s">
        <v>70</v>
      </c>
      <c r="K700" t="s">
        <v>332</v>
      </c>
      <c r="L700" t="s">
        <v>275</v>
      </c>
      <c r="M700" t="s">
        <v>157</v>
      </c>
      <c r="N700">
        <v>637</v>
      </c>
      <c r="O700" t="s">
        <v>155</v>
      </c>
      <c r="P700" t="s">
        <v>223</v>
      </c>
      <c r="Q700" s="6">
        <v>45210</v>
      </c>
      <c r="R700">
        <v>1</v>
      </c>
      <c r="U700" t="s">
        <v>225</v>
      </c>
      <c r="AD700">
        <v>1</v>
      </c>
      <c r="AE700" s="7" t="s">
        <v>180</v>
      </c>
      <c r="AF700">
        <v>16</v>
      </c>
      <c r="AG700">
        <v>19</v>
      </c>
      <c r="AH700">
        <v>0</v>
      </c>
      <c r="AI700">
        <v>237</v>
      </c>
    </row>
    <row r="701" spans="1:35" x14ac:dyDescent="0.35">
      <c r="A701" t="s">
        <v>192</v>
      </c>
      <c r="B701" t="s">
        <v>24</v>
      </c>
      <c r="C701" t="s">
        <v>33</v>
      </c>
      <c r="D701" t="s">
        <v>34</v>
      </c>
      <c r="E701" t="s">
        <v>309</v>
      </c>
      <c r="F701" t="s">
        <v>310</v>
      </c>
      <c r="G701" s="20" t="s">
        <v>38</v>
      </c>
      <c r="H701" s="20" t="s">
        <v>39</v>
      </c>
      <c r="I701" t="str">
        <f t="shared" si="16"/>
        <v>Apis mellifera</v>
      </c>
      <c r="J701" t="s">
        <v>70</v>
      </c>
      <c r="K701" t="s">
        <v>332</v>
      </c>
      <c r="L701" t="s">
        <v>275</v>
      </c>
      <c r="M701" t="s">
        <v>157</v>
      </c>
      <c r="N701">
        <v>639</v>
      </c>
      <c r="O701" t="s">
        <v>155</v>
      </c>
      <c r="P701" t="s">
        <v>223</v>
      </c>
      <c r="Q701" s="6">
        <v>45210</v>
      </c>
      <c r="R701">
        <v>1</v>
      </c>
      <c r="U701" t="s">
        <v>225</v>
      </c>
      <c r="AD701">
        <v>3</v>
      </c>
      <c r="AE701" s="7" t="s">
        <v>179</v>
      </c>
      <c r="AF701">
        <v>16</v>
      </c>
      <c r="AG701">
        <v>19</v>
      </c>
      <c r="AH701">
        <v>0</v>
      </c>
      <c r="AI701">
        <v>238</v>
      </c>
    </row>
    <row r="702" spans="1:35" x14ac:dyDescent="0.35">
      <c r="A702" t="s">
        <v>192</v>
      </c>
      <c r="B702" t="s">
        <v>24</v>
      </c>
      <c r="C702" t="s">
        <v>33</v>
      </c>
      <c r="D702" t="s">
        <v>34</v>
      </c>
      <c r="E702" t="s">
        <v>309</v>
      </c>
      <c r="F702" t="s">
        <v>310</v>
      </c>
      <c r="G702" s="20" t="s">
        <v>38</v>
      </c>
      <c r="H702" s="20" t="s">
        <v>39</v>
      </c>
      <c r="I702" t="str">
        <f t="shared" si="16"/>
        <v>Apis mellifera</v>
      </c>
      <c r="J702" t="s">
        <v>70</v>
      </c>
      <c r="K702" t="s">
        <v>332</v>
      </c>
      <c r="L702" t="s">
        <v>275</v>
      </c>
      <c r="M702" t="s">
        <v>157</v>
      </c>
      <c r="N702">
        <v>641</v>
      </c>
      <c r="O702" t="s">
        <v>155</v>
      </c>
      <c r="P702" t="s">
        <v>223</v>
      </c>
      <c r="Q702" s="6">
        <v>45210</v>
      </c>
      <c r="R702">
        <v>1</v>
      </c>
      <c r="U702" t="s">
        <v>225</v>
      </c>
      <c r="AD702">
        <v>1</v>
      </c>
      <c r="AE702" s="7" t="s">
        <v>179</v>
      </c>
      <c r="AF702">
        <v>16</v>
      </c>
      <c r="AG702">
        <v>19</v>
      </c>
      <c r="AH702">
        <v>0</v>
      </c>
      <c r="AI702">
        <v>239</v>
      </c>
    </row>
    <row r="703" spans="1:35" x14ac:dyDescent="0.35">
      <c r="A703" t="s">
        <v>192</v>
      </c>
      <c r="B703" t="s">
        <v>24</v>
      </c>
      <c r="C703" t="s">
        <v>33</v>
      </c>
      <c r="D703" t="s">
        <v>34</v>
      </c>
      <c r="E703" t="s">
        <v>309</v>
      </c>
      <c r="F703" t="s">
        <v>310</v>
      </c>
      <c r="G703" s="20" t="s">
        <v>38</v>
      </c>
      <c r="H703" s="20" t="s">
        <v>39</v>
      </c>
      <c r="I703" t="str">
        <f t="shared" si="16"/>
        <v>Apis mellifera</v>
      </c>
      <c r="J703" t="s">
        <v>70</v>
      </c>
      <c r="K703" t="s">
        <v>332</v>
      </c>
      <c r="L703" t="s">
        <v>275</v>
      </c>
      <c r="M703" t="s">
        <v>157</v>
      </c>
      <c r="N703">
        <v>643</v>
      </c>
      <c r="O703" t="s">
        <v>155</v>
      </c>
      <c r="P703" t="s">
        <v>223</v>
      </c>
      <c r="Q703" s="6">
        <v>45210</v>
      </c>
      <c r="U703" t="s">
        <v>225</v>
      </c>
      <c r="AD703">
        <v>3</v>
      </c>
      <c r="AE703" s="7" t="s">
        <v>179</v>
      </c>
      <c r="AF703">
        <v>16</v>
      </c>
      <c r="AG703">
        <v>19</v>
      </c>
      <c r="AH703">
        <v>0</v>
      </c>
      <c r="AI703">
        <v>240</v>
      </c>
    </row>
    <row r="704" spans="1:35" x14ac:dyDescent="0.35">
      <c r="A704" t="s">
        <v>192</v>
      </c>
      <c r="B704" t="s">
        <v>24</v>
      </c>
      <c r="C704" t="s">
        <v>33</v>
      </c>
      <c r="D704" t="s">
        <v>34</v>
      </c>
      <c r="E704" t="s">
        <v>309</v>
      </c>
      <c r="F704" t="s">
        <v>310</v>
      </c>
      <c r="G704" s="20" t="s">
        <v>38</v>
      </c>
      <c r="H704" s="20" t="s">
        <v>39</v>
      </c>
      <c r="I704" t="str">
        <f t="shared" si="16"/>
        <v>Apis mellifera</v>
      </c>
      <c r="J704" t="s">
        <v>70</v>
      </c>
      <c r="K704" t="s">
        <v>332</v>
      </c>
      <c r="L704" t="s">
        <v>275</v>
      </c>
      <c r="M704" t="s">
        <v>157</v>
      </c>
      <c r="N704">
        <v>644</v>
      </c>
      <c r="O704" t="s">
        <v>155</v>
      </c>
      <c r="P704" t="s">
        <v>223</v>
      </c>
      <c r="Q704" s="6">
        <v>45210</v>
      </c>
      <c r="U704" t="s">
        <v>225</v>
      </c>
      <c r="AD704">
        <v>2</v>
      </c>
      <c r="AE704" s="7" t="s">
        <v>180</v>
      </c>
      <c r="AF704">
        <v>16</v>
      </c>
      <c r="AG704">
        <v>19</v>
      </c>
      <c r="AH704">
        <v>0</v>
      </c>
      <c r="AI704">
        <v>241</v>
      </c>
    </row>
    <row r="705" spans="1:35" x14ac:dyDescent="0.35">
      <c r="A705" t="s">
        <v>192</v>
      </c>
      <c r="B705" t="s">
        <v>24</v>
      </c>
      <c r="C705" t="s">
        <v>33</v>
      </c>
      <c r="D705" t="s">
        <v>34</v>
      </c>
      <c r="E705" t="s">
        <v>309</v>
      </c>
      <c r="F705" t="s">
        <v>310</v>
      </c>
      <c r="G705" s="20" t="s">
        <v>38</v>
      </c>
      <c r="H705" s="20" t="s">
        <v>39</v>
      </c>
      <c r="I705" t="str">
        <f t="shared" si="16"/>
        <v>Apis mellifera</v>
      </c>
      <c r="J705" t="s">
        <v>70</v>
      </c>
      <c r="K705" t="s">
        <v>332</v>
      </c>
      <c r="L705" t="s">
        <v>275</v>
      </c>
      <c r="M705" t="s">
        <v>157</v>
      </c>
      <c r="N705">
        <v>645</v>
      </c>
      <c r="O705" t="s">
        <v>155</v>
      </c>
      <c r="P705" t="s">
        <v>223</v>
      </c>
      <c r="Q705" s="6">
        <v>45210</v>
      </c>
      <c r="U705" t="s">
        <v>225</v>
      </c>
      <c r="AD705">
        <v>2</v>
      </c>
      <c r="AE705" s="7" t="s">
        <v>179</v>
      </c>
      <c r="AF705">
        <v>16</v>
      </c>
      <c r="AG705">
        <v>19</v>
      </c>
      <c r="AH705">
        <v>0</v>
      </c>
      <c r="AI705">
        <v>242</v>
      </c>
    </row>
    <row r="706" spans="1:35" x14ac:dyDescent="0.35">
      <c r="A706" t="s">
        <v>192</v>
      </c>
      <c r="B706" t="s">
        <v>24</v>
      </c>
      <c r="C706" t="s">
        <v>33</v>
      </c>
      <c r="D706" t="s">
        <v>34</v>
      </c>
      <c r="E706" t="s">
        <v>309</v>
      </c>
      <c r="F706" t="s">
        <v>310</v>
      </c>
      <c r="G706" s="20" t="s">
        <v>38</v>
      </c>
      <c r="H706" s="20" t="s">
        <v>39</v>
      </c>
      <c r="I706" t="str">
        <f t="shared" si="16"/>
        <v>Apis mellifera</v>
      </c>
      <c r="J706" t="s">
        <v>70</v>
      </c>
      <c r="K706" t="s">
        <v>332</v>
      </c>
      <c r="L706" t="s">
        <v>275</v>
      </c>
      <c r="M706" t="s">
        <v>157</v>
      </c>
      <c r="N706">
        <v>646</v>
      </c>
      <c r="O706" t="s">
        <v>155</v>
      </c>
      <c r="P706" t="s">
        <v>223</v>
      </c>
      <c r="Q706" s="6">
        <v>45210</v>
      </c>
      <c r="R706">
        <v>1</v>
      </c>
      <c r="S706" t="s">
        <v>166</v>
      </c>
      <c r="T706" t="s">
        <v>72</v>
      </c>
      <c r="U706" t="s">
        <v>271</v>
      </c>
      <c r="AD706">
        <v>1</v>
      </c>
      <c r="AE706" s="7" t="s">
        <v>178</v>
      </c>
      <c r="AF706">
        <v>9</v>
      </c>
      <c r="AG706">
        <v>19</v>
      </c>
      <c r="AH706">
        <v>0</v>
      </c>
      <c r="AI706">
        <v>243</v>
      </c>
    </row>
    <row r="707" spans="1:35" x14ac:dyDescent="0.35">
      <c r="A707" t="s">
        <v>192</v>
      </c>
      <c r="B707" t="s">
        <v>24</v>
      </c>
      <c r="C707" t="s">
        <v>33</v>
      </c>
      <c r="D707" t="s">
        <v>34</v>
      </c>
      <c r="E707" t="s">
        <v>309</v>
      </c>
      <c r="F707" t="s">
        <v>310</v>
      </c>
      <c r="G707" s="20" t="s">
        <v>38</v>
      </c>
      <c r="H707" s="20" t="s">
        <v>39</v>
      </c>
      <c r="I707" t="str">
        <f t="shared" si="16"/>
        <v>Apis mellifera</v>
      </c>
      <c r="J707" t="s">
        <v>70</v>
      </c>
      <c r="K707" t="s">
        <v>332</v>
      </c>
      <c r="L707" t="s">
        <v>275</v>
      </c>
      <c r="M707" t="s">
        <v>157</v>
      </c>
      <c r="N707">
        <v>647</v>
      </c>
      <c r="O707" t="s">
        <v>155</v>
      </c>
      <c r="P707" t="s">
        <v>223</v>
      </c>
      <c r="Q707" s="6">
        <v>45210</v>
      </c>
      <c r="R707">
        <v>0</v>
      </c>
      <c r="S707" t="s">
        <v>166</v>
      </c>
      <c r="T707" t="s">
        <v>72</v>
      </c>
      <c r="U707" t="s">
        <v>271</v>
      </c>
      <c r="AD707">
        <v>4</v>
      </c>
      <c r="AE707" s="7" t="s">
        <v>178</v>
      </c>
      <c r="AF707">
        <v>13</v>
      </c>
      <c r="AG707">
        <v>12</v>
      </c>
      <c r="AH707">
        <v>7</v>
      </c>
      <c r="AI707">
        <v>244</v>
      </c>
    </row>
    <row r="708" spans="1:35" x14ac:dyDescent="0.35">
      <c r="A708" t="s">
        <v>192</v>
      </c>
      <c r="B708" t="s">
        <v>24</v>
      </c>
      <c r="C708" t="s">
        <v>33</v>
      </c>
      <c r="D708" t="s">
        <v>34</v>
      </c>
      <c r="E708" t="s">
        <v>309</v>
      </c>
      <c r="F708" t="s">
        <v>310</v>
      </c>
      <c r="G708" s="20" t="s">
        <v>38</v>
      </c>
      <c r="H708" s="20" t="s">
        <v>39</v>
      </c>
      <c r="I708" t="str">
        <f t="shared" si="16"/>
        <v>Apis mellifera</v>
      </c>
      <c r="J708" t="s">
        <v>70</v>
      </c>
      <c r="K708" t="s">
        <v>332</v>
      </c>
      <c r="L708" t="s">
        <v>275</v>
      </c>
      <c r="M708" t="s">
        <v>157</v>
      </c>
      <c r="N708">
        <v>649</v>
      </c>
      <c r="O708" t="s">
        <v>155</v>
      </c>
      <c r="P708" t="s">
        <v>223</v>
      </c>
      <c r="Q708" s="6">
        <v>45210</v>
      </c>
      <c r="R708">
        <v>1</v>
      </c>
      <c r="S708" t="s">
        <v>166</v>
      </c>
      <c r="T708" t="s">
        <v>72</v>
      </c>
      <c r="U708" t="s">
        <v>271</v>
      </c>
      <c r="AD708">
        <v>3</v>
      </c>
      <c r="AE708" s="7" t="s">
        <v>179</v>
      </c>
      <c r="AF708">
        <v>13</v>
      </c>
      <c r="AG708">
        <v>12</v>
      </c>
      <c r="AH708">
        <v>7</v>
      </c>
      <c r="AI708">
        <v>245</v>
      </c>
    </row>
    <row r="709" spans="1:35" x14ac:dyDescent="0.35">
      <c r="A709" t="s">
        <v>192</v>
      </c>
      <c r="B709" t="s">
        <v>24</v>
      </c>
      <c r="C709" t="s">
        <v>33</v>
      </c>
      <c r="D709" t="s">
        <v>34</v>
      </c>
      <c r="E709" t="s">
        <v>309</v>
      </c>
      <c r="F709" t="s">
        <v>310</v>
      </c>
      <c r="G709" s="20" t="s">
        <v>38</v>
      </c>
      <c r="H709" s="20" t="s">
        <v>39</v>
      </c>
      <c r="I709" t="str">
        <f t="shared" si="16"/>
        <v>Apis mellifera</v>
      </c>
      <c r="J709" t="s">
        <v>70</v>
      </c>
      <c r="K709" t="s">
        <v>332</v>
      </c>
      <c r="L709" t="s">
        <v>275</v>
      </c>
      <c r="M709" t="s">
        <v>157</v>
      </c>
      <c r="N709">
        <v>651</v>
      </c>
      <c r="O709" t="s">
        <v>155</v>
      </c>
      <c r="P709" t="s">
        <v>223</v>
      </c>
      <c r="Q709" s="6">
        <v>45210</v>
      </c>
      <c r="R709">
        <v>1</v>
      </c>
      <c r="S709" t="s">
        <v>166</v>
      </c>
      <c r="T709" t="s">
        <v>72</v>
      </c>
      <c r="U709" t="s">
        <v>271</v>
      </c>
      <c r="AD709">
        <v>2</v>
      </c>
      <c r="AE709" s="7" t="s">
        <v>180</v>
      </c>
      <c r="AF709">
        <v>13</v>
      </c>
      <c r="AG709">
        <v>12</v>
      </c>
      <c r="AH709">
        <v>7</v>
      </c>
      <c r="AI709">
        <v>246</v>
      </c>
    </row>
    <row r="710" spans="1:35" x14ac:dyDescent="0.35">
      <c r="A710" t="s">
        <v>192</v>
      </c>
      <c r="B710" t="s">
        <v>24</v>
      </c>
      <c r="C710" t="s">
        <v>33</v>
      </c>
      <c r="D710" t="s">
        <v>34</v>
      </c>
      <c r="E710" t="s">
        <v>309</v>
      </c>
      <c r="F710" t="s">
        <v>310</v>
      </c>
      <c r="G710" s="20" t="s">
        <v>38</v>
      </c>
      <c r="H710" s="20" t="s">
        <v>39</v>
      </c>
      <c r="I710" t="str">
        <f t="shared" si="16"/>
        <v>Apis mellifera</v>
      </c>
      <c r="J710" t="s">
        <v>70</v>
      </c>
      <c r="K710" t="s">
        <v>332</v>
      </c>
      <c r="L710" t="s">
        <v>275</v>
      </c>
      <c r="M710" t="s">
        <v>157</v>
      </c>
      <c r="N710">
        <v>652</v>
      </c>
      <c r="O710" t="s">
        <v>155</v>
      </c>
      <c r="P710" t="s">
        <v>223</v>
      </c>
      <c r="Q710" s="6">
        <v>45210</v>
      </c>
      <c r="R710">
        <v>1</v>
      </c>
      <c r="S710" t="s">
        <v>166</v>
      </c>
      <c r="T710" t="s">
        <v>72</v>
      </c>
      <c r="U710" t="s">
        <v>271</v>
      </c>
      <c r="AD710">
        <v>2</v>
      </c>
      <c r="AE710" s="7" t="s">
        <v>179</v>
      </c>
      <c r="AF710">
        <v>13</v>
      </c>
      <c r="AG710">
        <v>12</v>
      </c>
      <c r="AH710">
        <v>7</v>
      </c>
      <c r="AI710">
        <v>247</v>
      </c>
    </row>
    <row r="711" spans="1:35" x14ac:dyDescent="0.35">
      <c r="A711" t="s">
        <v>192</v>
      </c>
      <c r="B711" t="s">
        <v>24</v>
      </c>
      <c r="C711" t="s">
        <v>33</v>
      </c>
      <c r="D711" t="s">
        <v>34</v>
      </c>
      <c r="E711" t="s">
        <v>309</v>
      </c>
      <c r="F711" t="s">
        <v>310</v>
      </c>
      <c r="G711" s="20" t="s">
        <v>38</v>
      </c>
      <c r="H711" s="20" t="s">
        <v>39</v>
      </c>
      <c r="I711" t="str">
        <f t="shared" si="16"/>
        <v>Apis mellifera</v>
      </c>
      <c r="J711" t="s">
        <v>70</v>
      </c>
      <c r="K711" t="s">
        <v>332</v>
      </c>
      <c r="L711" t="s">
        <v>275</v>
      </c>
      <c r="M711" t="s">
        <v>157</v>
      </c>
      <c r="N711">
        <v>653</v>
      </c>
      <c r="O711" t="s">
        <v>155</v>
      </c>
      <c r="P711" t="s">
        <v>223</v>
      </c>
      <c r="Q711" s="6">
        <v>45210</v>
      </c>
      <c r="R711">
        <v>1</v>
      </c>
      <c r="S711" t="s">
        <v>166</v>
      </c>
      <c r="T711" t="s">
        <v>72</v>
      </c>
      <c r="U711" t="s">
        <v>271</v>
      </c>
      <c r="AD711">
        <v>3</v>
      </c>
      <c r="AE711" s="7" t="s">
        <v>180</v>
      </c>
      <c r="AF711">
        <v>13</v>
      </c>
      <c r="AG711">
        <v>12</v>
      </c>
      <c r="AH711">
        <v>7</v>
      </c>
      <c r="AI711">
        <v>248</v>
      </c>
    </row>
    <row r="712" spans="1:35" x14ac:dyDescent="0.35">
      <c r="A712" t="s">
        <v>192</v>
      </c>
      <c r="B712" t="s">
        <v>24</v>
      </c>
      <c r="C712" t="s">
        <v>33</v>
      </c>
      <c r="D712" t="s">
        <v>34</v>
      </c>
      <c r="E712" t="s">
        <v>309</v>
      </c>
      <c r="F712" t="s">
        <v>310</v>
      </c>
      <c r="G712" s="20" t="s">
        <v>38</v>
      </c>
      <c r="H712" s="20" t="s">
        <v>39</v>
      </c>
      <c r="I712" t="str">
        <f t="shared" si="16"/>
        <v>Apis mellifera</v>
      </c>
      <c r="J712" t="s">
        <v>70</v>
      </c>
      <c r="K712" t="s">
        <v>332</v>
      </c>
      <c r="L712" t="s">
        <v>275</v>
      </c>
      <c r="M712" t="s">
        <v>157</v>
      </c>
      <c r="N712">
        <v>654</v>
      </c>
      <c r="O712" t="s">
        <v>155</v>
      </c>
      <c r="P712" t="s">
        <v>223</v>
      </c>
      <c r="Q712" s="6">
        <v>45210</v>
      </c>
      <c r="R712">
        <v>1</v>
      </c>
      <c r="S712" t="s">
        <v>166</v>
      </c>
      <c r="T712" t="s">
        <v>72</v>
      </c>
      <c r="U712" t="s">
        <v>271</v>
      </c>
      <c r="AD712">
        <v>1</v>
      </c>
      <c r="AE712" s="7" t="s">
        <v>180</v>
      </c>
      <c r="AF712">
        <v>13</v>
      </c>
      <c r="AG712">
        <v>12</v>
      </c>
      <c r="AH712">
        <v>7</v>
      </c>
      <c r="AI712">
        <v>249</v>
      </c>
    </row>
    <row r="713" spans="1:35" x14ac:dyDescent="0.35">
      <c r="A713" t="s">
        <v>192</v>
      </c>
      <c r="B713" t="s">
        <v>24</v>
      </c>
      <c r="C713" t="s">
        <v>33</v>
      </c>
      <c r="D713" t="s">
        <v>34</v>
      </c>
      <c r="E713" t="s">
        <v>309</v>
      </c>
      <c r="F713" t="s">
        <v>310</v>
      </c>
      <c r="G713" s="20" t="s">
        <v>38</v>
      </c>
      <c r="H713" s="20" t="s">
        <v>39</v>
      </c>
      <c r="I713" t="str">
        <f t="shared" si="16"/>
        <v>Apis mellifera</v>
      </c>
      <c r="J713" t="s">
        <v>70</v>
      </c>
      <c r="K713" t="s">
        <v>332</v>
      </c>
      <c r="L713" t="s">
        <v>275</v>
      </c>
      <c r="M713" t="s">
        <v>157</v>
      </c>
      <c r="N713">
        <v>656</v>
      </c>
      <c r="O713" t="s">
        <v>155</v>
      </c>
      <c r="P713" t="s">
        <v>223</v>
      </c>
      <c r="Q713" s="6">
        <v>45210</v>
      </c>
      <c r="U713" t="s">
        <v>225</v>
      </c>
      <c r="AE713" s="7"/>
      <c r="AF713">
        <v>13</v>
      </c>
      <c r="AG713">
        <v>12</v>
      </c>
      <c r="AH713">
        <v>7</v>
      </c>
      <c r="AI713">
        <v>250</v>
      </c>
    </row>
    <row r="714" spans="1:35" x14ac:dyDescent="0.35">
      <c r="A714" t="s">
        <v>192</v>
      </c>
      <c r="B714" t="s">
        <v>24</v>
      </c>
      <c r="C714" t="s">
        <v>33</v>
      </c>
      <c r="D714" t="s">
        <v>34</v>
      </c>
      <c r="E714" t="s">
        <v>309</v>
      </c>
      <c r="F714" t="s">
        <v>310</v>
      </c>
      <c r="G714" s="20" t="s">
        <v>38</v>
      </c>
      <c r="H714" s="20" t="s">
        <v>39</v>
      </c>
      <c r="I714" t="str">
        <f t="shared" si="16"/>
        <v>Apis mellifera</v>
      </c>
      <c r="J714" t="s">
        <v>70</v>
      </c>
      <c r="K714" t="s">
        <v>332</v>
      </c>
      <c r="L714" t="s">
        <v>275</v>
      </c>
      <c r="M714" t="s">
        <v>157</v>
      </c>
      <c r="N714">
        <v>657</v>
      </c>
      <c r="O714" t="s">
        <v>155</v>
      </c>
      <c r="P714" t="s">
        <v>223</v>
      </c>
      <c r="Q714" s="6">
        <v>45210</v>
      </c>
      <c r="R714">
        <v>1</v>
      </c>
      <c r="S714" t="s">
        <v>166</v>
      </c>
      <c r="T714" t="s">
        <v>72</v>
      </c>
      <c r="U714" t="s">
        <v>271</v>
      </c>
      <c r="AD714">
        <v>2</v>
      </c>
      <c r="AE714" s="7" t="s">
        <v>180</v>
      </c>
      <c r="AF714">
        <v>13</v>
      </c>
      <c r="AG714">
        <v>12</v>
      </c>
      <c r="AH714">
        <v>7</v>
      </c>
      <c r="AI714">
        <v>251</v>
      </c>
    </row>
    <row r="715" spans="1:35" x14ac:dyDescent="0.35">
      <c r="A715" t="s">
        <v>192</v>
      </c>
      <c r="B715" t="s">
        <v>24</v>
      </c>
      <c r="C715" t="s">
        <v>33</v>
      </c>
      <c r="D715" t="s">
        <v>34</v>
      </c>
      <c r="E715" t="s">
        <v>309</v>
      </c>
      <c r="F715" t="s">
        <v>310</v>
      </c>
      <c r="G715" s="20" t="s">
        <v>38</v>
      </c>
      <c r="H715" s="20" t="s">
        <v>39</v>
      </c>
      <c r="I715" t="str">
        <f t="shared" si="16"/>
        <v>Apis mellifera</v>
      </c>
      <c r="J715" t="s">
        <v>70</v>
      </c>
      <c r="K715" t="s">
        <v>332</v>
      </c>
      <c r="L715" t="s">
        <v>275</v>
      </c>
      <c r="M715" t="s">
        <v>157</v>
      </c>
      <c r="N715">
        <v>662</v>
      </c>
      <c r="O715" t="s">
        <v>155</v>
      </c>
      <c r="P715" t="s">
        <v>223</v>
      </c>
      <c r="Q715" s="6">
        <v>45210</v>
      </c>
      <c r="R715">
        <v>1</v>
      </c>
      <c r="S715" t="s">
        <v>166</v>
      </c>
      <c r="T715" t="s">
        <v>72</v>
      </c>
      <c r="U715" t="s">
        <v>271</v>
      </c>
      <c r="AD715">
        <v>2</v>
      </c>
      <c r="AE715" s="7" t="s">
        <v>178</v>
      </c>
      <c r="AF715">
        <v>13</v>
      </c>
      <c r="AG715">
        <v>12</v>
      </c>
      <c r="AH715">
        <v>7</v>
      </c>
      <c r="AI715">
        <v>252</v>
      </c>
    </row>
    <row r="716" spans="1:35" x14ac:dyDescent="0.35">
      <c r="A716" t="s">
        <v>192</v>
      </c>
      <c r="B716" t="s">
        <v>24</v>
      </c>
      <c r="C716" t="s">
        <v>33</v>
      </c>
      <c r="D716" t="s">
        <v>34</v>
      </c>
      <c r="E716" t="s">
        <v>309</v>
      </c>
      <c r="F716" t="s">
        <v>310</v>
      </c>
      <c r="G716" s="20" t="s">
        <v>38</v>
      </c>
      <c r="H716" s="20" t="s">
        <v>39</v>
      </c>
      <c r="I716" t="str">
        <f t="shared" si="16"/>
        <v>Apis mellifera</v>
      </c>
      <c r="J716" t="s">
        <v>70</v>
      </c>
      <c r="K716" t="s">
        <v>332</v>
      </c>
      <c r="L716" t="s">
        <v>275</v>
      </c>
      <c r="M716" t="s">
        <v>157</v>
      </c>
      <c r="N716">
        <v>663</v>
      </c>
      <c r="O716" t="s">
        <v>155</v>
      </c>
      <c r="P716" t="s">
        <v>223</v>
      </c>
      <c r="Q716" s="6">
        <v>45210</v>
      </c>
      <c r="R716">
        <v>1</v>
      </c>
      <c r="S716" t="s">
        <v>166</v>
      </c>
      <c r="T716" t="s">
        <v>72</v>
      </c>
      <c r="U716" t="s">
        <v>271</v>
      </c>
      <c r="AD716">
        <v>1</v>
      </c>
      <c r="AE716" s="7" t="s">
        <v>179</v>
      </c>
      <c r="AF716">
        <v>13</v>
      </c>
      <c r="AG716">
        <v>12</v>
      </c>
      <c r="AH716">
        <v>7</v>
      </c>
      <c r="AI716">
        <v>253</v>
      </c>
    </row>
    <row r="717" spans="1:35" x14ac:dyDescent="0.35">
      <c r="A717" t="s">
        <v>192</v>
      </c>
      <c r="B717" t="s">
        <v>24</v>
      </c>
      <c r="C717" t="s">
        <v>33</v>
      </c>
      <c r="D717" t="s">
        <v>34</v>
      </c>
      <c r="E717" t="s">
        <v>309</v>
      </c>
      <c r="F717" t="s">
        <v>310</v>
      </c>
      <c r="G717" s="20" t="s">
        <v>38</v>
      </c>
      <c r="H717" s="20" t="s">
        <v>39</v>
      </c>
      <c r="I717" t="str">
        <f t="shared" si="16"/>
        <v>Apis mellifera</v>
      </c>
      <c r="J717" t="s">
        <v>70</v>
      </c>
      <c r="K717" t="s">
        <v>332</v>
      </c>
      <c r="L717" t="s">
        <v>275</v>
      </c>
      <c r="M717" t="s">
        <v>157</v>
      </c>
      <c r="N717">
        <v>664</v>
      </c>
      <c r="O717" t="s">
        <v>155</v>
      </c>
      <c r="P717" t="s">
        <v>223</v>
      </c>
      <c r="Q717" s="6">
        <v>45210</v>
      </c>
      <c r="R717">
        <v>1</v>
      </c>
      <c r="S717" t="s">
        <v>166</v>
      </c>
      <c r="T717" t="s">
        <v>72</v>
      </c>
      <c r="U717" t="s">
        <v>271</v>
      </c>
      <c r="AD717">
        <v>2</v>
      </c>
      <c r="AE717" s="7" t="s">
        <v>179</v>
      </c>
      <c r="AF717">
        <v>13</v>
      </c>
      <c r="AG717">
        <v>12</v>
      </c>
      <c r="AH717">
        <v>7</v>
      </c>
      <c r="AI717">
        <v>254</v>
      </c>
    </row>
    <row r="718" spans="1:35" x14ac:dyDescent="0.35">
      <c r="A718" t="s">
        <v>192</v>
      </c>
      <c r="B718" t="s">
        <v>24</v>
      </c>
      <c r="C718" t="s">
        <v>33</v>
      </c>
      <c r="D718" t="s">
        <v>34</v>
      </c>
      <c r="E718" t="s">
        <v>309</v>
      </c>
      <c r="F718" t="s">
        <v>310</v>
      </c>
      <c r="G718" s="20" t="s">
        <v>38</v>
      </c>
      <c r="H718" s="20" t="s">
        <v>39</v>
      </c>
      <c r="I718" t="str">
        <f t="shared" si="16"/>
        <v>Apis mellifera</v>
      </c>
      <c r="J718" t="s">
        <v>70</v>
      </c>
      <c r="K718" t="s">
        <v>332</v>
      </c>
      <c r="L718" t="s">
        <v>275</v>
      </c>
      <c r="M718" t="s">
        <v>157</v>
      </c>
      <c r="N718">
        <v>665</v>
      </c>
      <c r="O718" t="s">
        <v>155</v>
      </c>
      <c r="P718" t="s">
        <v>223</v>
      </c>
      <c r="Q718" s="6">
        <v>45210</v>
      </c>
      <c r="R718">
        <v>1</v>
      </c>
      <c r="U718" t="s">
        <v>225</v>
      </c>
      <c r="AD718">
        <v>3</v>
      </c>
      <c r="AE718" s="7" t="s">
        <v>179</v>
      </c>
      <c r="AF718">
        <v>13</v>
      </c>
      <c r="AG718">
        <v>12</v>
      </c>
      <c r="AH718">
        <v>7</v>
      </c>
      <c r="AI718">
        <v>255</v>
      </c>
    </row>
    <row r="719" spans="1:35" x14ac:dyDescent="0.35">
      <c r="A719" t="s">
        <v>192</v>
      </c>
      <c r="B719" t="s">
        <v>24</v>
      </c>
      <c r="C719" t="s">
        <v>33</v>
      </c>
      <c r="D719" t="s">
        <v>34</v>
      </c>
      <c r="E719" t="s">
        <v>309</v>
      </c>
      <c r="F719" t="s">
        <v>310</v>
      </c>
      <c r="G719" s="20" t="s">
        <v>38</v>
      </c>
      <c r="H719" s="20" t="s">
        <v>39</v>
      </c>
      <c r="I719" t="str">
        <f t="shared" si="16"/>
        <v>Apis mellifera</v>
      </c>
      <c r="J719" t="s">
        <v>70</v>
      </c>
      <c r="K719" t="s">
        <v>332</v>
      </c>
      <c r="L719" t="s">
        <v>275</v>
      </c>
      <c r="M719" t="s">
        <v>157</v>
      </c>
      <c r="N719">
        <v>666</v>
      </c>
      <c r="O719" t="s">
        <v>155</v>
      </c>
      <c r="P719" t="s">
        <v>223</v>
      </c>
      <c r="Q719" s="6">
        <v>45210</v>
      </c>
      <c r="R719">
        <v>1</v>
      </c>
      <c r="S719" t="s">
        <v>166</v>
      </c>
      <c r="T719" t="s">
        <v>72</v>
      </c>
      <c r="U719" t="s">
        <v>271</v>
      </c>
      <c r="AD719">
        <v>1</v>
      </c>
      <c r="AE719" s="7" t="s">
        <v>177</v>
      </c>
      <c r="AF719">
        <v>13</v>
      </c>
      <c r="AG719">
        <v>12</v>
      </c>
      <c r="AH719">
        <v>7</v>
      </c>
      <c r="AI719">
        <v>256</v>
      </c>
    </row>
    <row r="720" spans="1:35" x14ac:dyDescent="0.35">
      <c r="A720" t="s">
        <v>192</v>
      </c>
      <c r="B720" t="s">
        <v>24</v>
      </c>
      <c r="C720" t="s">
        <v>33</v>
      </c>
      <c r="D720" t="s">
        <v>34</v>
      </c>
      <c r="E720" t="s">
        <v>309</v>
      </c>
      <c r="F720" t="s">
        <v>310</v>
      </c>
      <c r="G720" s="20" t="s">
        <v>38</v>
      </c>
      <c r="H720" s="20" t="s">
        <v>39</v>
      </c>
      <c r="I720" t="str">
        <f t="shared" si="16"/>
        <v>Apis mellifera</v>
      </c>
      <c r="J720" t="s">
        <v>70</v>
      </c>
      <c r="K720" t="s">
        <v>332</v>
      </c>
      <c r="L720" t="s">
        <v>275</v>
      </c>
      <c r="M720" t="s">
        <v>157</v>
      </c>
      <c r="N720">
        <v>667</v>
      </c>
      <c r="O720" t="s">
        <v>155</v>
      </c>
      <c r="P720" t="s">
        <v>223</v>
      </c>
      <c r="Q720" s="6">
        <v>45210</v>
      </c>
      <c r="R720">
        <v>1</v>
      </c>
      <c r="U720" t="s">
        <v>225</v>
      </c>
      <c r="AD720">
        <v>2</v>
      </c>
      <c r="AE720" s="7" t="s">
        <v>180</v>
      </c>
      <c r="AF720">
        <v>13</v>
      </c>
      <c r="AG720">
        <v>12</v>
      </c>
      <c r="AH720">
        <v>7</v>
      </c>
      <c r="AI720">
        <v>257</v>
      </c>
    </row>
    <row r="721" spans="1:35" x14ac:dyDescent="0.35">
      <c r="A721" t="s">
        <v>192</v>
      </c>
      <c r="B721" t="s">
        <v>24</v>
      </c>
      <c r="C721" t="s">
        <v>33</v>
      </c>
      <c r="D721" t="s">
        <v>34</v>
      </c>
      <c r="E721" t="s">
        <v>309</v>
      </c>
      <c r="F721" t="s">
        <v>310</v>
      </c>
      <c r="G721" s="20" t="s">
        <v>38</v>
      </c>
      <c r="H721" s="20" t="s">
        <v>39</v>
      </c>
      <c r="I721" t="str">
        <f t="shared" si="16"/>
        <v>Apis mellifera</v>
      </c>
      <c r="J721" t="s">
        <v>70</v>
      </c>
      <c r="K721" t="s">
        <v>332</v>
      </c>
      <c r="L721" t="s">
        <v>275</v>
      </c>
      <c r="M721" t="s">
        <v>157</v>
      </c>
      <c r="N721">
        <v>668</v>
      </c>
      <c r="O721" t="s">
        <v>155</v>
      </c>
      <c r="P721" t="s">
        <v>223</v>
      </c>
      <c r="Q721" s="6">
        <v>45210</v>
      </c>
      <c r="R721">
        <v>1</v>
      </c>
      <c r="U721" t="s">
        <v>225</v>
      </c>
      <c r="AD721">
        <v>1</v>
      </c>
      <c r="AE721" s="7" t="s">
        <v>178</v>
      </c>
      <c r="AF721">
        <v>13</v>
      </c>
      <c r="AG721">
        <v>12</v>
      </c>
      <c r="AH721">
        <v>7</v>
      </c>
      <c r="AI721">
        <v>258</v>
      </c>
    </row>
    <row r="722" spans="1:35" x14ac:dyDescent="0.35">
      <c r="A722" t="s">
        <v>192</v>
      </c>
      <c r="B722" t="s">
        <v>24</v>
      </c>
      <c r="C722" t="s">
        <v>33</v>
      </c>
      <c r="D722" t="s">
        <v>34</v>
      </c>
      <c r="E722" t="s">
        <v>309</v>
      </c>
      <c r="F722" t="s">
        <v>310</v>
      </c>
      <c r="G722" s="20" t="s">
        <v>38</v>
      </c>
      <c r="H722" s="20" t="s">
        <v>39</v>
      </c>
      <c r="I722" t="str">
        <f t="shared" si="16"/>
        <v>Apis mellifera</v>
      </c>
      <c r="J722" t="s">
        <v>70</v>
      </c>
      <c r="K722" t="s">
        <v>332</v>
      </c>
      <c r="L722" t="s">
        <v>275</v>
      </c>
      <c r="M722" t="s">
        <v>157</v>
      </c>
      <c r="N722">
        <v>669</v>
      </c>
      <c r="O722" t="s">
        <v>155</v>
      </c>
      <c r="P722" t="s">
        <v>223</v>
      </c>
      <c r="Q722" s="6">
        <v>45210</v>
      </c>
      <c r="U722" t="s">
        <v>225</v>
      </c>
      <c r="AF722">
        <v>13</v>
      </c>
      <c r="AG722">
        <v>12</v>
      </c>
      <c r="AH722">
        <v>7</v>
      </c>
      <c r="AI722">
        <v>259</v>
      </c>
    </row>
    <row r="723" spans="1:35" x14ac:dyDescent="0.35">
      <c r="A723" t="s">
        <v>192</v>
      </c>
      <c r="B723" t="s">
        <v>24</v>
      </c>
      <c r="C723" t="s">
        <v>33</v>
      </c>
      <c r="D723" t="s">
        <v>34</v>
      </c>
      <c r="E723" t="s">
        <v>309</v>
      </c>
      <c r="F723" t="s">
        <v>310</v>
      </c>
      <c r="G723" s="20" t="s">
        <v>38</v>
      </c>
      <c r="H723" s="20" t="s">
        <v>39</v>
      </c>
      <c r="I723" t="str">
        <f t="shared" si="16"/>
        <v>Apis mellifera</v>
      </c>
      <c r="J723" t="s">
        <v>70</v>
      </c>
      <c r="K723" t="s">
        <v>332</v>
      </c>
      <c r="L723" t="s">
        <v>275</v>
      </c>
      <c r="M723" t="s">
        <v>157</v>
      </c>
      <c r="N723">
        <v>670</v>
      </c>
      <c r="O723" t="s">
        <v>155</v>
      </c>
      <c r="P723" t="s">
        <v>223</v>
      </c>
      <c r="Q723" s="6">
        <v>45210</v>
      </c>
      <c r="U723" t="s">
        <v>225</v>
      </c>
      <c r="AF723">
        <v>13</v>
      </c>
      <c r="AG723">
        <v>12</v>
      </c>
      <c r="AH723">
        <v>7</v>
      </c>
      <c r="AI723">
        <v>260</v>
      </c>
    </row>
    <row r="724" spans="1:35" x14ac:dyDescent="0.35">
      <c r="A724" t="s">
        <v>192</v>
      </c>
      <c r="B724" t="s">
        <v>24</v>
      </c>
      <c r="C724" t="s">
        <v>33</v>
      </c>
      <c r="D724" t="s">
        <v>34</v>
      </c>
      <c r="E724" t="s">
        <v>309</v>
      </c>
      <c r="F724" t="s">
        <v>310</v>
      </c>
      <c r="G724" s="20" t="s">
        <v>38</v>
      </c>
      <c r="H724" s="20" t="s">
        <v>39</v>
      </c>
      <c r="I724" t="str">
        <f t="shared" si="16"/>
        <v>Apis mellifera</v>
      </c>
      <c r="J724" t="s">
        <v>70</v>
      </c>
      <c r="K724" t="s">
        <v>332</v>
      </c>
      <c r="L724" t="s">
        <v>275</v>
      </c>
      <c r="M724" t="s">
        <v>157</v>
      </c>
      <c r="N724">
        <v>671</v>
      </c>
      <c r="O724" t="s">
        <v>155</v>
      </c>
      <c r="P724" t="s">
        <v>223</v>
      </c>
      <c r="Q724" s="6">
        <v>45210</v>
      </c>
      <c r="U724" t="s">
        <v>225</v>
      </c>
      <c r="AF724">
        <v>13</v>
      </c>
      <c r="AG724">
        <v>12</v>
      </c>
      <c r="AH724">
        <v>7</v>
      </c>
      <c r="AI724">
        <v>261</v>
      </c>
    </row>
    <row r="725" spans="1:35" x14ac:dyDescent="0.35">
      <c r="A725" t="s">
        <v>192</v>
      </c>
      <c r="B725" t="s">
        <v>24</v>
      </c>
      <c r="C725" t="s">
        <v>33</v>
      </c>
      <c r="D725" t="s">
        <v>34</v>
      </c>
      <c r="E725" t="s">
        <v>309</v>
      </c>
      <c r="F725" t="s">
        <v>310</v>
      </c>
      <c r="G725" s="20" t="s">
        <v>38</v>
      </c>
      <c r="H725" s="20" t="s">
        <v>39</v>
      </c>
      <c r="I725" t="str">
        <f t="shared" si="16"/>
        <v>Apis mellifera</v>
      </c>
      <c r="J725" t="s">
        <v>70</v>
      </c>
      <c r="K725" t="s">
        <v>332</v>
      </c>
      <c r="L725" t="s">
        <v>275</v>
      </c>
      <c r="M725" t="s">
        <v>157</v>
      </c>
      <c r="N725">
        <v>683</v>
      </c>
      <c r="O725" t="s">
        <v>155</v>
      </c>
      <c r="P725" t="s">
        <v>222</v>
      </c>
      <c r="Q725" s="6">
        <v>45208</v>
      </c>
      <c r="R725">
        <v>1</v>
      </c>
      <c r="U725" t="s">
        <v>225</v>
      </c>
      <c r="AD725">
        <v>1</v>
      </c>
      <c r="AE725" s="7" t="s">
        <v>178</v>
      </c>
      <c r="AF725">
        <v>26</v>
      </c>
      <c r="AG725">
        <v>0</v>
      </c>
      <c r="AH725">
        <v>0</v>
      </c>
      <c r="AI725">
        <v>72</v>
      </c>
    </row>
    <row r="726" spans="1:35" x14ac:dyDescent="0.35">
      <c r="A726" t="s">
        <v>192</v>
      </c>
      <c r="B726" t="s">
        <v>24</v>
      </c>
      <c r="C726" t="s">
        <v>33</v>
      </c>
      <c r="D726" t="s">
        <v>34</v>
      </c>
      <c r="E726" t="s">
        <v>309</v>
      </c>
      <c r="F726" t="s">
        <v>310</v>
      </c>
      <c r="G726" s="20" t="s">
        <v>38</v>
      </c>
      <c r="H726" s="20" t="s">
        <v>39</v>
      </c>
      <c r="I726" t="str">
        <f t="shared" si="16"/>
        <v>Apis mellifera</v>
      </c>
      <c r="J726" t="s">
        <v>70</v>
      </c>
      <c r="K726" t="s">
        <v>332</v>
      </c>
      <c r="L726" t="s">
        <v>275</v>
      </c>
      <c r="M726" t="s">
        <v>157</v>
      </c>
      <c r="N726">
        <v>684</v>
      </c>
      <c r="O726" t="s">
        <v>155</v>
      </c>
      <c r="P726" t="s">
        <v>222</v>
      </c>
      <c r="Q726" s="6">
        <v>45208</v>
      </c>
      <c r="R726">
        <v>1</v>
      </c>
      <c r="U726" t="s">
        <v>225</v>
      </c>
      <c r="AD726">
        <v>1</v>
      </c>
      <c r="AE726" s="7" t="s">
        <v>180</v>
      </c>
      <c r="AF726">
        <v>26</v>
      </c>
      <c r="AG726">
        <v>0</v>
      </c>
      <c r="AH726">
        <v>0</v>
      </c>
      <c r="AI726">
        <v>73</v>
      </c>
    </row>
    <row r="727" spans="1:35" x14ac:dyDescent="0.35">
      <c r="A727" t="s">
        <v>192</v>
      </c>
      <c r="B727" t="s">
        <v>24</v>
      </c>
      <c r="C727" t="s">
        <v>33</v>
      </c>
      <c r="D727" t="s">
        <v>34</v>
      </c>
      <c r="E727" t="s">
        <v>309</v>
      </c>
      <c r="F727" t="s">
        <v>310</v>
      </c>
      <c r="G727" s="20" t="s">
        <v>38</v>
      </c>
      <c r="H727" s="20" t="s">
        <v>39</v>
      </c>
      <c r="I727" t="str">
        <f t="shared" si="16"/>
        <v>Apis mellifera</v>
      </c>
      <c r="J727" t="s">
        <v>70</v>
      </c>
      <c r="K727" t="s">
        <v>332</v>
      </c>
      <c r="L727" t="s">
        <v>275</v>
      </c>
      <c r="M727" t="s">
        <v>157</v>
      </c>
      <c r="N727">
        <v>685</v>
      </c>
      <c r="O727" t="s">
        <v>155</v>
      </c>
      <c r="P727" t="s">
        <v>222</v>
      </c>
      <c r="Q727" s="6">
        <v>45208</v>
      </c>
      <c r="R727">
        <v>1</v>
      </c>
      <c r="U727" t="s">
        <v>225</v>
      </c>
      <c r="AD727">
        <v>1</v>
      </c>
      <c r="AE727" s="7" t="s">
        <v>177</v>
      </c>
      <c r="AF727">
        <v>26</v>
      </c>
      <c r="AG727">
        <v>0</v>
      </c>
      <c r="AH727">
        <v>0</v>
      </c>
      <c r="AI727">
        <v>74</v>
      </c>
    </row>
    <row r="728" spans="1:35" x14ac:dyDescent="0.35">
      <c r="A728" t="s">
        <v>192</v>
      </c>
      <c r="B728" t="s">
        <v>24</v>
      </c>
      <c r="C728" t="s">
        <v>33</v>
      </c>
      <c r="D728" t="s">
        <v>34</v>
      </c>
      <c r="E728" t="s">
        <v>309</v>
      </c>
      <c r="F728" t="s">
        <v>310</v>
      </c>
      <c r="G728" s="20" t="s">
        <v>38</v>
      </c>
      <c r="H728" s="20" t="s">
        <v>39</v>
      </c>
      <c r="I728" t="str">
        <f t="shared" si="16"/>
        <v>Apis mellifera</v>
      </c>
      <c r="J728" t="s">
        <v>70</v>
      </c>
      <c r="K728" t="s">
        <v>332</v>
      </c>
      <c r="L728" t="s">
        <v>275</v>
      </c>
      <c r="M728" t="s">
        <v>157</v>
      </c>
      <c r="N728">
        <v>686</v>
      </c>
      <c r="O728" t="s">
        <v>155</v>
      </c>
      <c r="P728" t="s">
        <v>222</v>
      </c>
      <c r="Q728" s="6">
        <v>45208</v>
      </c>
      <c r="R728">
        <v>1</v>
      </c>
      <c r="U728" t="s">
        <v>225</v>
      </c>
      <c r="AD728">
        <v>1</v>
      </c>
      <c r="AE728" s="7" t="s">
        <v>178</v>
      </c>
      <c r="AF728">
        <v>26</v>
      </c>
      <c r="AG728">
        <v>0</v>
      </c>
      <c r="AH728">
        <v>0</v>
      </c>
      <c r="AI728">
        <v>75</v>
      </c>
    </row>
    <row r="729" spans="1:35" x14ac:dyDescent="0.35">
      <c r="A729" t="s">
        <v>192</v>
      </c>
      <c r="B729" t="s">
        <v>24</v>
      </c>
      <c r="C729" t="s">
        <v>33</v>
      </c>
      <c r="D729" t="s">
        <v>34</v>
      </c>
      <c r="E729" t="s">
        <v>309</v>
      </c>
      <c r="F729" t="s">
        <v>310</v>
      </c>
      <c r="G729" s="20" t="s">
        <v>38</v>
      </c>
      <c r="H729" s="20" t="s">
        <v>39</v>
      </c>
      <c r="I729" t="str">
        <f t="shared" si="16"/>
        <v>Apis mellifera</v>
      </c>
      <c r="J729" t="s">
        <v>70</v>
      </c>
      <c r="K729" t="s">
        <v>332</v>
      </c>
      <c r="L729" t="s">
        <v>275</v>
      </c>
      <c r="M729" t="s">
        <v>157</v>
      </c>
      <c r="N729">
        <v>687</v>
      </c>
      <c r="O729" t="s">
        <v>155</v>
      </c>
      <c r="P729" t="s">
        <v>222</v>
      </c>
      <c r="Q729" s="6">
        <v>45208</v>
      </c>
      <c r="R729">
        <v>1</v>
      </c>
      <c r="U729" t="s">
        <v>225</v>
      </c>
      <c r="AD729">
        <v>1</v>
      </c>
      <c r="AE729" s="7" t="s">
        <v>177</v>
      </c>
      <c r="AF729">
        <v>26</v>
      </c>
      <c r="AG729">
        <v>0</v>
      </c>
      <c r="AH729">
        <v>0</v>
      </c>
      <c r="AI729">
        <v>76</v>
      </c>
    </row>
    <row r="730" spans="1:35" x14ac:dyDescent="0.35">
      <c r="A730" t="s">
        <v>192</v>
      </c>
      <c r="B730" t="s">
        <v>24</v>
      </c>
      <c r="C730" t="s">
        <v>33</v>
      </c>
      <c r="D730" t="s">
        <v>34</v>
      </c>
      <c r="E730" t="s">
        <v>309</v>
      </c>
      <c r="F730" t="s">
        <v>310</v>
      </c>
      <c r="G730" s="20" t="s">
        <v>38</v>
      </c>
      <c r="H730" s="20" t="s">
        <v>39</v>
      </c>
      <c r="I730" t="str">
        <f t="shared" si="16"/>
        <v>Apis mellifera</v>
      </c>
      <c r="J730" t="s">
        <v>70</v>
      </c>
      <c r="K730" t="s">
        <v>332</v>
      </c>
      <c r="L730" t="s">
        <v>275</v>
      </c>
      <c r="M730" t="s">
        <v>157</v>
      </c>
      <c r="N730">
        <v>690</v>
      </c>
      <c r="O730" t="s">
        <v>155</v>
      </c>
      <c r="P730" t="s">
        <v>222</v>
      </c>
      <c r="Q730" s="6">
        <v>45208</v>
      </c>
      <c r="R730">
        <v>1</v>
      </c>
      <c r="S730" s="13" t="s">
        <v>166</v>
      </c>
      <c r="T730" t="s">
        <v>72</v>
      </c>
      <c r="U730" t="s">
        <v>271</v>
      </c>
      <c r="AD730">
        <v>1</v>
      </c>
      <c r="AE730" s="7" t="s">
        <v>183</v>
      </c>
      <c r="AF730">
        <v>18</v>
      </c>
      <c r="AG730">
        <v>0</v>
      </c>
      <c r="AH730">
        <v>0</v>
      </c>
      <c r="AI730">
        <v>77</v>
      </c>
    </row>
    <row r="731" spans="1:35" x14ac:dyDescent="0.35">
      <c r="A731" t="s">
        <v>192</v>
      </c>
      <c r="B731" t="s">
        <v>24</v>
      </c>
      <c r="C731" t="s">
        <v>33</v>
      </c>
      <c r="D731" t="s">
        <v>34</v>
      </c>
      <c r="E731" t="s">
        <v>309</v>
      </c>
      <c r="F731" t="s">
        <v>310</v>
      </c>
      <c r="G731" s="20" t="s">
        <v>38</v>
      </c>
      <c r="H731" s="20" t="s">
        <v>39</v>
      </c>
      <c r="I731" t="str">
        <f t="shared" si="16"/>
        <v>Apis mellifera</v>
      </c>
      <c r="J731" t="s">
        <v>70</v>
      </c>
      <c r="K731" t="s">
        <v>332</v>
      </c>
      <c r="L731" t="s">
        <v>275</v>
      </c>
      <c r="M731" t="s">
        <v>157</v>
      </c>
      <c r="N731">
        <v>691</v>
      </c>
      <c r="O731" t="s">
        <v>155</v>
      </c>
      <c r="P731" t="s">
        <v>222</v>
      </c>
      <c r="Q731" s="6">
        <v>45208</v>
      </c>
      <c r="R731">
        <v>1</v>
      </c>
      <c r="S731" s="13" t="s">
        <v>166</v>
      </c>
      <c r="T731" t="s">
        <v>72</v>
      </c>
      <c r="U731" t="s">
        <v>271</v>
      </c>
      <c r="AD731">
        <v>1</v>
      </c>
      <c r="AE731" s="7" t="s">
        <v>184</v>
      </c>
      <c r="AF731">
        <v>18</v>
      </c>
      <c r="AG731">
        <v>0</v>
      </c>
      <c r="AH731">
        <v>0</v>
      </c>
      <c r="AI731">
        <v>78</v>
      </c>
    </row>
    <row r="732" spans="1:35" x14ac:dyDescent="0.35">
      <c r="A732" t="s">
        <v>192</v>
      </c>
      <c r="B732" t="s">
        <v>24</v>
      </c>
      <c r="C732" t="s">
        <v>33</v>
      </c>
      <c r="D732" t="s">
        <v>34</v>
      </c>
      <c r="E732" t="s">
        <v>309</v>
      </c>
      <c r="F732" t="s">
        <v>310</v>
      </c>
      <c r="G732" s="20" t="s">
        <v>38</v>
      </c>
      <c r="H732" s="20" t="s">
        <v>39</v>
      </c>
      <c r="I732" t="str">
        <f t="shared" si="16"/>
        <v>Apis mellifera</v>
      </c>
      <c r="J732" t="s">
        <v>70</v>
      </c>
      <c r="K732" t="s">
        <v>332</v>
      </c>
      <c r="L732" t="s">
        <v>275</v>
      </c>
      <c r="M732" t="s">
        <v>157</v>
      </c>
      <c r="N732">
        <v>692</v>
      </c>
      <c r="O732" t="s">
        <v>155</v>
      </c>
      <c r="P732" t="s">
        <v>222</v>
      </c>
      <c r="Q732" s="6">
        <v>45208</v>
      </c>
      <c r="R732">
        <v>1</v>
      </c>
      <c r="S732" s="14" t="s">
        <v>166</v>
      </c>
      <c r="T732" t="s">
        <v>72</v>
      </c>
      <c r="U732" t="s">
        <v>271</v>
      </c>
      <c r="AD732">
        <v>3</v>
      </c>
      <c r="AE732" s="7" t="s">
        <v>185</v>
      </c>
      <c r="AF732">
        <v>18</v>
      </c>
      <c r="AG732">
        <v>0</v>
      </c>
      <c r="AH732">
        <v>0</v>
      </c>
      <c r="AI732">
        <v>79</v>
      </c>
    </row>
    <row r="733" spans="1:35" x14ac:dyDescent="0.35">
      <c r="A733" t="s">
        <v>192</v>
      </c>
      <c r="B733" t="s">
        <v>24</v>
      </c>
      <c r="C733" t="s">
        <v>33</v>
      </c>
      <c r="D733" t="s">
        <v>34</v>
      </c>
      <c r="E733" t="s">
        <v>309</v>
      </c>
      <c r="F733" t="s">
        <v>310</v>
      </c>
      <c r="G733" s="20" t="s">
        <v>38</v>
      </c>
      <c r="H733" s="20" t="s">
        <v>39</v>
      </c>
      <c r="I733" t="str">
        <f t="shared" si="16"/>
        <v>Apis mellifera</v>
      </c>
      <c r="J733" t="s">
        <v>70</v>
      </c>
      <c r="K733" t="s">
        <v>332</v>
      </c>
      <c r="L733" t="s">
        <v>275</v>
      </c>
      <c r="M733" t="s">
        <v>157</v>
      </c>
      <c r="N733">
        <v>693</v>
      </c>
      <c r="O733" t="s">
        <v>155</v>
      </c>
      <c r="P733" t="s">
        <v>222</v>
      </c>
      <c r="Q733" s="6">
        <v>45208</v>
      </c>
      <c r="R733">
        <v>1</v>
      </c>
      <c r="S733" s="14" t="s">
        <v>166</v>
      </c>
      <c r="T733" t="s">
        <v>72</v>
      </c>
      <c r="U733" t="s">
        <v>271</v>
      </c>
      <c r="AD733">
        <v>4</v>
      </c>
      <c r="AE733" s="7" t="s">
        <v>186</v>
      </c>
      <c r="AF733">
        <v>18</v>
      </c>
      <c r="AG733">
        <v>0</v>
      </c>
      <c r="AH733">
        <v>0</v>
      </c>
      <c r="AI733">
        <v>80</v>
      </c>
    </row>
    <row r="734" spans="1:35" x14ac:dyDescent="0.35">
      <c r="A734" t="s">
        <v>192</v>
      </c>
      <c r="B734" t="s">
        <v>24</v>
      </c>
      <c r="C734" t="s">
        <v>33</v>
      </c>
      <c r="D734" t="s">
        <v>34</v>
      </c>
      <c r="E734" t="s">
        <v>309</v>
      </c>
      <c r="F734" t="s">
        <v>310</v>
      </c>
      <c r="G734" s="20" t="s">
        <v>38</v>
      </c>
      <c r="H734" s="20" t="s">
        <v>39</v>
      </c>
      <c r="I734" t="str">
        <f t="shared" si="16"/>
        <v>Apis mellifera</v>
      </c>
      <c r="J734" t="s">
        <v>70</v>
      </c>
      <c r="K734" t="s">
        <v>332</v>
      </c>
      <c r="L734" t="s">
        <v>275</v>
      </c>
      <c r="M734" t="s">
        <v>157</v>
      </c>
      <c r="N734">
        <v>694</v>
      </c>
      <c r="O734" t="s">
        <v>155</v>
      </c>
      <c r="P734" t="s">
        <v>222</v>
      </c>
      <c r="Q734" s="6">
        <v>45208</v>
      </c>
      <c r="R734">
        <v>0</v>
      </c>
      <c r="U734" t="s">
        <v>225</v>
      </c>
      <c r="AD734">
        <v>4</v>
      </c>
      <c r="AE734" s="7" t="s">
        <v>178</v>
      </c>
      <c r="AF734">
        <v>28</v>
      </c>
      <c r="AG734">
        <v>0</v>
      </c>
      <c r="AH734">
        <v>0</v>
      </c>
      <c r="AI734">
        <v>81</v>
      </c>
    </row>
    <row r="735" spans="1:35" x14ac:dyDescent="0.35">
      <c r="A735" t="s">
        <v>192</v>
      </c>
      <c r="B735" t="s">
        <v>24</v>
      </c>
      <c r="C735" t="s">
        <v>33</v>
      </c>
      <c r="D735" t="s">
        <v>34</v>
      </c>
      <c r="E735" t="s">
        <v>309</v>
      </c>
      <c r="F735" t="s">
        <v>310</v>
      </c>
      <c r="G735" s="20" t="s">
        <v>38</v>
      </c>
      <c r="H735" s="20" t="s">
        <v>39</v>
      </c>
      <c r="I735" t="str">
        <f t="shared" si="16"/>
        <v>Apis mellifera</v>
      </c>
      <c r="J735" t="s">
        <v>70</v>
      </c>
      <c r="K735" t="s">
        <v>332</v>
      </c>
      <c r="L735" t="s">
        <v>275</v>
      </c>
      <c r="M735" t="s">
        <v>157</v>
      </c>
      <c r="N735">
        <v>695</v>
      </c>
      <c r="O735" t="s">
        <v>155</v>
      </c>
      <c r="P735" t="s">
        <v>222</v>
      </c>
      <c r="Q735" s="6">
        <v>45208</v>
      </c>
      <c r="R735">
        <v>1</v>
      </c>
      <c r="U735" t="s">
        <v>225</v>
      </c>
      <c r="AD735">
        <v>3</v>
      </c>
      <c r="AE735" s="7" t="s">
        <v>178</v>
      </c>
      <c r="AF735">
        <v>28</v>
      </c>
      <c r="AG735">
        <v>0</v>
      </c>
      <c r="AH735">
        <v>0</v>
      </c>
      <c r="AI735">
        <v>82</v>
      </c>
    </row>
    <row r="736" spans="1:35" x14ac:dyDescent="0.35">
      <c r="A736" t="s">
        <v>192</v>
      </c>
      <c r="B736" t="s">
        <v>24</v>
      </c>
      <c r="C736" t="s">
        <v>33</v>
      </c>
      <c r="D736" t="s">
        <v>34</v>
      </c>
      <c r="E736" t="s">
        <v>309</v>
      </c>
      <c r="F736" t="s">
        <v>310</v>
      </c>
      <c r="G736" s="20" t="s">
        <v>38</v>
      </c>
      <c r="H736" s="20" t="s">
        <v>39</v>
      </c>
      <c r="I736" t="str">
        <f t="shared" si="16"/>
        <v>Apis mellifera</v>
      </c>
      <c r="J736" t="s">
        <v>70</v>
      </c>
      <c r="K736" t="s">
        <v>332</v>
      </c>
      <c r="L736" t="s">
        <v>275</v>
      </c>
      <c r="M736" t="s">
        <v>157</v>
      </c>
      <c r="N736">
        <v>696</v>
      </c>
      <c r="O736" t="s">
        <v>155</v>
      </c>
      <c r="P736" t="s">
        <v>222</v>
      </c>
      <c r="Q736" s="6">
        <v>45208</v>
      </c>
      <c r="R736">
        <v>0</v>
      </c>
      <c r="U736" t="s">
        <v>225</v>
      </c>
      <c r="AD736">
        <v>2</v>
      </c>
      <c r="AE736" s="7" t="s">
        <v>178</v>
      </c>
      <c r="AF736">
        <v>28</v>
      </c>
      <c r="AG736">
        <v>0</v>
      </c>
      <c r="AH736">
        <v>0</v>
      </c>
      <c r="AI736">
        <v>83</v>
      </c>
    </row>
    <row r="737" spans="1:35" x14ac:dyDescent="0.35">
      <c r="A737" t="s">
        <v>192</v>
      </c>
      <c r="B737" t="s">
        <v>24</v>
      </c>
      <c r="C737" t="s">
        <v>33</v>
      </c>
      <c r="D737" t="s">
        <v>34</v>
      </c>
      <c r="E737" t="s">
        <v>309</v>
      </c>
      <c r="F737" t="s">
        <v>310</v>
      </c>
      <c r="G737" s="20" t="s">
        <v>38</v>
      </c>
      <c r="H737" s="20" t="s">
        <v>39</v>
      </c>
      <c r="I737" t="str">
        <f t="shared" si="16"/>
        <v>Apis mellifera</v>
      </c>
      <c r="J737" t="s">
        <v>70</v>
      </c>
      <c r="K737" t="s">
        <v>332</v>
      </c>
      <c r="L737" t="s">
        <v>275</v>
      </c>
      <c r="M737" t="s">
        <v>157</v>
      </c>
      <c r="N737">
        <v>697</v>
      </c>
      <c r="O737" t="s">
        <v>155</v>
      </c>
      <c r="P737" t="s">
        <v>222</v>
      </c>
      <c r="Q737" s="6">
        <v>45208</v>
      </c>
      <c r="R737">
        <v>0</v>
      </c>
      <c r="U737" t="s">
        <v>225</v>
      </c>
      <c r="AD737">
        <v>6</v>
      </c>
      <c r="AE737" s="7" t="s">
        <v>178</v>
      </c>
      <c r="AF737">
        <v>28</v>
      </c>
      <c r="AG737">
        <v>0</v>
      </c>
      <c r="AH737">
        <v>0</v>
      </c>
      <c r="AI737">
        <v>84</v>
      </c>
    </row>
    <row r="738" spans="1:35" x14ac:dyDescent="0.35">
      <c r="A738" t="s">
        <v>192</v>
      </c>
      <c r="B738" t="s">
        <v>24</v>
      </c>
      <c r="C738" t="s">
        <v>33</v>
      </c>
      <c r="D738" t="s">
        <v>34</v>
      </c>
      <c r="E738" t="s">
        <v>309</v>
      </c>
      <c r="F738" t="s">
        <v>310</v>
      </c>
      <c r="G738" s="20" t="s">
        <v>38</v>
      </c>
      <c r="H738" s="20" t="s">
        <v>39</v>
      </c>
      <c r="I738" t="str">
        <f t="shared" si="16"/>
        <v>Apis mellifera</v>
      </c>
      <c r="J738" t="s">
        <v>70</v>
      </c>
      <c r="K738" t="s">
        <v>332</v>
      </c>
      <c r="L738" t="s">
        <v>275</v>
      </c>
      <c r="M738" t="s">
        <v>157</v>
      </c>
      <c r="N738">
        <v>698</v>
      </c>
      <c r="O738" t="s">
        <v>155</v>
      </c>
      <c r="P738" t="s">
        <v>222</v>
      </c>
      <c r="Q738" s="6">
        <v>45208</v>
      </c>
      <c r="R738">
        <v>0</v>
      </c>
      <c r="U738" t="s">
        <v>225</v>
      </c>
      <c r="AD738">
        <v>3</v>
      </c>
      <c r="AE738" s="7" t="s">
        <v>178</v>
      </c>
      <c r="AF738">
        <v>28</v>
      </c>
      <c r="AG738">
        <v>0</v>
      </c>
      <c r="AH738">
        <v>0</v>
      </c>
      <c r="AI738">
        <v>85</v>
      </c>
    </row>
    <row r="739" spans="1:35" x14ac:dyDescent="0.35">
      <c r="A739" t="s">
        <v>192</v>
      </c>
      <c r="B739" t="s">
        <v>24</v>
      </c>
      <c r="C739" t="s">
        <v>33</v>
      </c>
      <c r="D739" t="s">
        <v>34</v>
      </c>
      <c r="E739" t="s">
        <v>309</v>
      </c>
      <c r="F739" t="s">
        <v>310</v>
      </c>
      <c r="G739" s="20" t="s">
        <v>38</v>
      </c>
      <c r="H739" s="20" t="s">
        <v>39</v>
      </c>
      <c r="I739" t="str">
        <f t="shared" si="16"/>
        <v>Apis mellifera</v>
      </c>
      <c r="J739" t="s">
        <v>70</v>
      </c>
      <c r="K739" t="s">
        <v>332</v>
      </c>
      <c r="L739" t="s">
        <v>275</v>
      </c>
      <c r="M739" t="s">
        <v>157</v>
      </c>
      <c r="N739">
        <v>699</v>
      </c>
      <c r="O739" t="s">
        <v>155</v>
      </c>
      <c r="P739" t="s">
        <v>222</v>
      </c>
      <c r="Q739" s="6">
        <v>45208</v>
      </c>
      <c r="R739">
        <v>1</v>
      </c>
      <c r="U739" t="s">
        <v>225</v>
      </c>
      <c r="AD739">
        <v>4</v>
      </c>
      <c r="AE739" s="7" t="s">
        <v>178</v>
      </c>
      <c r="AF739">
        <v>28</v>
      </c>
      <c r="AG739">
        <v>0</v>
      </c>
      <c r="AH739">
        <v>0</v>
      </c>
      <c r="AI739">
        <v>86</v>
      </c>
    </row>
    <row r="740" spans="1:35" x14ac:dyDescent="0.35">
      <c r="A740" t="s">
        <v>192</v>
      </c>
      <c r="B740" t="s">
        <v>24</v>
      </c>
      <c r="C740" t="s">
        <v>33</v>
      </c>
      <c r="D740" t="s">
        <v>34</v>
      </c>
      <c r="E740" t="s">
        <v>309</v>
      </c>
      <c r="F740" t="s">
        <v>310</v>
      </c>
      <c r="G740" s="20" t="s">
        <v>38</v>
      </c>
      <c r="H740" s="20" t="s">
        <v>39</v>
      </c>
      <c r="I740" t="str">
        <f t="shared" si="16"/>
        <v>Apis mellifera</v>
      </c>
      <c r="J740" t="s">
        <v>70</v>
      </c>
      <c r="K740" t="s">
        <v>332</v>
      </c>
      <c r="L740" t="s">
        <v>275</v>
      </c>
      <c r="M740" t="s">
        <v>157</v>
      </c>
      <c r="N740">
        <v>700</v>
      </c>
      <c r="O740" t="s">
        <v>155</v>
      </c>
      <c r="P740" t="s">
        <v>222</v>
      </c>
      <c r="Q740" s="6">
        <v>45208</v>
      </c>
      <c r="R740">
        <v>1</v>
      </c>
      <c r="U740" t="s">
        <v>225</v>
      </c>
      <c r="AD740">
        <v>2</v>
      </c>
      <c r="AE740" s="7" t="s">
        <v>178</v>
      </c>
      <c r="AF740">
        <v>28</v>
      </c>
      <c r="AG740">
        <v>0</v>
      </c>
      <c r="AH740">
        <v>0</v>
      </c>
      <c r="AI740">
        <v>87</v>
      </c>
    </row>
    <row r="741" spans="1:35" x14ac:dyDescent="0.35">
      <c r="A741" t="s">
        <v>192</v>
      </c>
      <c r="B741" t="s">
        <v>24</v>
      </c>
      <c r="C741" t="s">
        <v>33</v>
      </c>
      <c r="D741" t="s">
        <v>34</v>
      </c>
      <c r="E741" t="s">
        <v>309</v>
      </c>
      <c r="F741" t="s">
        <v>310</v>
      </c>
      <c r="G741" s="20" t="s">
        <v>38</v>
      </c>
      <c r="H741" s="20" t="s">
        <v>39</v>
      </c>
      <c r="I741" t="str">
        <f t="shared" si="16"/>
        <v>Apis mellifera</v>
      </c>
      <c r="J741" t="s">
        <v>70</v>
      </c>
      <c r="K741" t="s">
        <v>332</v>
      </c>
      <c r="L741" t="s">
        <v>275</v>
      </c>
      <c r="M741" t="s">
        <v>157</v>
      </c>
      <c r="N741">
        <v>702</v>
      </c>
      <c r="O741" t="s">
        <v>155</v>
      </c>
      <c r="P741" t="s">
        <v>222</v>
      </c>
      <c r="Q741" s="6">
        <v>45208</v>
      </c>
      <c r="R741">
        <v>1</v>
      </c>
      <c r="U741" t="s">
        <v>225</v>
      </c>
      <c r="AD741">
        <v>2</v>
      </c>
      <c r="AE741" s="7" t="s">
        <v>178</v>
      </c>
      <c r="AF741">
        <v>28</v>
      </c>
      <c r="AG741">
        <v>0</v>
      </c>
      <c r="AH741">
        <v>0</v>
      </c>
      <c r="AI741">
        <v>88</v>
      </c>
    </row>
    <row r="742" spans="1:35" x14ac:dyDescent="0.35">
      <c r="A742" t="s">
        <v>192</v>
      </c>
      <c r="B742" t="s">
        <v>24</v>
      </c>
      <c r="C742" t="s">
        <v>33</v>
      </c>
      <c r="D742" t="s">
        <v>34</v>
      </c>
      <c r="E742" t="s">
        <v>309</v>
      </c>
      <c r="F742" t="s">
        <v>310</v>
      </c>
      <c r="G742" s="20" t="s">
        <v>38</v>
      </c>
      <c r="H742" s="20" t="s">
        <v>39</v>
      </c>
      <c r="I742" t="str">
        <f t="shared" ref="I742:I805" si="17">G742&amp;" "&amp;H742</f>
        <v>Apis mellifera</v>
      </c>
      <c r="J742" t="s">
        <v>70</v>
      </c>
      <c r="K742" t="s">
        <v>332</v>
      </c>
      <c r="L742" t="s">
        <v>275</v>
      </c>
      <c r="M742" t="s">
        <v>157</v>
      </c>
      <c r="N742">
        <v>703</v>
      </c>
      <c r="O742" t="s">
        <v>155</v>
      </c>
      <c r="P742" t="s">
        <v>222</v>
      </c>
      <c r="Q742" s="6">
        <v>45208</v>
      </c>
      <c r="R742">
        <v>1</v>
      </c>
      <c r="U742" t="s">
        <v>225</v>
      </c>
      <c r="AD742">
        <v>2</v>
      </c>
      <c r="AE742" s="7" t="s">
        <v>178</v>
      </c>
      <c r="AF742">
        <v>28</v>
      </c>
      <c r="AG742">
        <v>0</v>
      </c>
      <c r="AH742">
        <v>0</v>
      </c>
      <c r="AI742">
        <v>89</v>
      </c>
    </row>
    <row r="743" spans="1:35" x14ac:dyDescent="0.35">
      <c r="A743" t="s">
        <v>192</v>
      </c>
      <c r="B743" t="s">
        <v>24</v>
      </c>
      <c r="C743" t="s">
        <v>33</v>
      </c>
      <c r="D743" t="s">
        <v>34</v>
      </c>
      <c r="E743" t="s">
        <v>309</v>
      </c>
      <c r="F743" t="s">
        <v>310</v>
      </c>
      <c r="G743" s="20" t="s">
        <v>38</v>
      </c>
      <c r="H743" s="20" t="s">
        <v>39</v>
      </c>
      <c r="I743" t="str">
        <f t="shared" si="17"/>
        <v>Apis mellifera</v>
      </c>
      <c r="J743" t="s">
        <v>70</v>
      </c>
      <c r="K743" t="s">
        <v>332</v>
      </c>
      <c r="L743" t="s">
        <v>275</v>
      </c>
      <c r="M743" t="s">
        <v>157</v>
      </c>
      <c r="N743">
        <v>704</v>
      </c>
      <c r="O743" t="s">
        <v>155</v>
      </c>
      <c r="P743" t="s">
        <v>222</v>
      </c>
      <c r="Q743" s="6">
        <v>45208</v>
      </c>
      <c r="U743" t="s">
        <v>225</v>
      </c>
      <c r="AD743">
        <v>3</v>
      </c>
      <c r="AE743" s="7" t="s">
        <v>178</v>
      </c>
      <c r="AF743">
        <v>28</v>
      </c>
      <c r="AG743">
        <v>0</v>
      </c>
      <c r="AH743">
        <v>0</v>
      </c>
      <c r="AI743">
        <v>90</v>
      </c>
    </row>
    <row r="744" spans="1:35" x14ac:dyDescent="0.35">
      <c r="A744" t="s">
        <v>192</v>
      </c>
      <c r="B744" t="s">
        <v>24</v>
      </c>
      <c r="C744" t="s">
        <v>33</v>
      </c>
      <c r="D744" t="s">
        <v>34</v>
      </c>
      <c r="E744" t="s">
        <v>309</v>
      </c>
      <c r="F744" t="s">
        <v>310</v>
      </c>
      <c r="G744" s="20" t="s">
        <v>38</v>
      </c>
      <c r="H744" s="20" t="s">
        <v>39</v>
      </c>
      <c r="I744" t="str">
        <f t="shared" si="17"/>
        <v>Apis mellifera</v>
      </c>
      <c r="J744" t="s">
        <v>70</v>
      </c>
      <c r="K744" t="s">
        <v>332</v>
      </c>
      <c r="L744" t="s">
        <v>275</v>
      </c>
      <c r="M744" t="s">
        <v>157</v>
      </c>
      <c r="N744">
        <v>705</v>
      </c>
      <c r="O744" t="s">
        <v>155</v>
      </c>
      <c r="P744" t="s">
        <v>222</v>
      </c>
      <c r="Q744" s="6">
        <v>45208</v>
      </c>
      <c r="R744">
        <v>0</v>
      </c>
      <c r="U744" t="s">
        <v>225</v>
      </c>
      <c r="AD744">
        <v>3</v>
      </c>
      <c r="AE744" s="7" t="s">
        <v>178</v>
      </c>
      <c r="AF744">
        <v>28</v>
      </c>
      <c r="AG744">
        <v>0</v>
      </c>
      <c r="AH744">
        <v>0</v>
      </c>
      <c r="AI744">
        <v>91</v>
      </c>
    </row>
    <row r="745" spans="1:35" x14ac:dyDescent="0.35">
      <c r="A745" t="s">
        <v>192</v>
      </c>
      <c r="B745" t="s">
        <v>24</v>
      </c>
      <c r="C745" t="s">
        <v>33</v>
      </c>
      <c r="D745" t="s">
        <v>34</v>
      </c>
      <c r="E745" t="s">
        <v>309</v>
      </c>
      <c r="F745" t="s">
        <v>310</v>
      </c>
      <c r="G745" s="20" t="s">
        <v>38</v>
      </c>
      <c r="H745" s="20" t="s">
        <v>39</v>
      </c>
      <c r="I745" t="str">
        <f t="shared" si="17"/>
        <v>Apis mellifera</v>
      </c>
      <c r="J745" t="s">
        <v>70</v>
      </c>
      <c r="K745" t="s">
        <v>332</v>
      </c>
      <c r="L745" t="s">
        <v>275</v>
      </c>
      <c r="M745" t="s">
        <v>157</v>
      </c>
      <c r="N745">
        <v>706</v>
      </c>
      <c r="O745" t="s">
        <v>155</v>
      </c>
      <c r="P745" t="s">
        <v>222</v>
      </c>
      <c r="Q745" s="6">
        <v>45208</v>
      </c>
      <c r="R745">
        <v>1</v>
      </c>
      <c r="U745" t="s">
        <v>225</v>
      </c>
      <c r="AD745">
        <v>2</v>
      </c>
      <c r="AE745" s="7" t="s">
        <v>177</v>
      </c>
      <c r="AF745">
        <v>34</v>
      </c>
      <c r="AG745">
        <v>0</v>
      </c>
      <c r="AH745">
        <v>0</v>
      </c>
      <c r="AI745">
        <v>92</v>
      </c>
    </row>
    <row r="746" spans="1:35" x14ac:dyDescent="0.35">
      <c r="A746" t="s">
        <v>192</v>
      </c>
      <c r="B746" t="s">
        <v>24</v>
      </c>
      <c r="C746" t="s">
        <v>33</v>
      </c>
      <c r="D746" t="s">
        <v>34</v>
      </c>
      <c r="E746" t="s">
        <v>309</v>
      </c>
      <c r="F746" t="s">
        <v>310</v>
      </c>
      <c r="G746" s="20" t="s">
        <v>38</v>
      </c>
      <c r="H746" s="20" t="s">
        <v>39</v>
      </c>
      <c r="I746" t="str">
        <f t="shared" si="17"/>
        <v>Apis mellifera</v>
      </c>
      <c r="J746" t="s">
        <v>70</v>
      </c>
      <c r="K746" t="s">
        <v>332</v>
      </c>
      <c r="L746" t="s">
        <v>275</v>
      </c>
      <c r="M746" t="s">
        <v>157</v>
      </c>
      <c r="N746">
        <v>707</v>
      </c>
      <c r="O746" t="s">
        <v>155</v>
      </c>
      <c r="P746" t="s">
        <v>222</v>
      </c>
      <c r="Q746" s="6">
        <v>45208</v>
      </c>
      <c r="R746">
        <v>1</v>
      </c>
      <c r="U746" t="s">
        <v>225</v>
      </c>
      <c r="AD746">
        <v>2</v>
      </c>
      <c r="AE746" s="7" t="s">
        <v>187</v>
      </c>
      <c r="AF746">
        <v>34</v>
      </c>
      <c r="AG746">
        <v>0</v>
      </c>
      <c r="AH746">
        <v>0</v>
      </c>
      <c r="AI746">
        <v>93</v>
      </c>
    </row>
    <row r="747" spans="1:35" x14ac:dyDescent="0.35">
      <c r="A747" t="s">
        <v>192</v>
      </c>
      <c r="B747" t="s">
        <v>24</v>
      </c>
      <c r="C747" t="s">
        <v>33</v>
      </c>
      <c r="D747" t="s">
        <v>34</v>
      </c>
      <c r="E747" t="s">
        <v>309</v>
      </c>
      <c r="F747" t="s">
        <v>310</v>
      </c>
      <c r="G747" s="20" t="s">
        <v>38</v>
      </c>
      <c r="H747" s="20" t="s">
        <v>39</v>
      </c>
      <c r="I747" t="str">
        <f t="shared" si="17"/>
        <v>Apis mellifera</v>
      </c>
      <c r="J747" t="s">
        <v>70</v>
      </c>
      <c r="K747" t="s">
        <v>332</v>
      </c>
      <c r="L747" t="s">
        <v>275</v>
      </c>
      <c r="M747" t="s">
        <v>157</v>
      </c>
      <c r="N747">
        <v>708</v>
      </c>
      <c r="O747" t="s">
        <v>155</v>
      </c>
      <c r="P747" t="s">
        <v>222</v>
      </c>
      <c r="Q747" s="6">
        <v>45208</v>
      </c>
      <c r="R747">
        <v>1</v>
      </c>
      <c r="U747" t="s">
        <v>225</v>
      </c>
      <c r="AD747">
        <v>5</v>
      </c>
      <c r="AE747" s="7" t="s">
        <v>178</v>
      </c>
      <c r="AF747">
        <v>34</v>
      </c>
      <c r="AG747">
        <v>0</v>
      </c>
      <c r="AH747">
        <v>0</v>
      </c>
      <c r="AI747">
        <v>94</v>
      </c>
    </row>
    <row r="748" spans="1:35" x14ac:dyDescent="0.35">
      <c r="A748" t="s">
        <v>192</v>
      </c>
      <c r="B748" t="s">
        <v>24</v>
      </c>
      <c r="C748" t="s">
        <v>33</v>
      </c>
      <c r="D748" t="s">
        <v>34</v>
      </c>
      <c r="E748" t="s">
        <v>309</v>
      </c>
      <c r="F748" t="s">
        <v>310</v>
      </c>
      <c r="G748" s="20" t="s">
        <v>38</v>
      </c>
      <c r="H748" s="20" t="s">
        <v>39</v>
      </c>
      <c r="I748" t="str">
        <f t="shared" si="17"/>
        <v>Apis mellifera</v>
      </c>
      <c r="J748" t="s">
        <v>70</v>
      </c>
      <c r="K748" t="s">
        <v>332</v>
      </c>
      <c r="L748" t="s">
        <v>275</v>
      </c>
      <c r="M748" t="s">
        <v>157</v>
      </c>
      <c r="N748">
        <v>709</v>
      </c>
      <c r="O748" t="s">
        <v>155</v>
      </c>
      <c r="P748" t="s">
        <v>222</v>
      </c>
      <c r="Q748" s="6">
        <v>45208</v>
      </c>
      <c r="R748">
        <v>1</v>
      </c>
      <c r="U748" t="s">
        <v>225</v>
      </c>
      <c r="AD748">
        <v>2</v>
      </c>
      <c r="AE748" s="7" t="s">
        <v>187</v>
      </c>
      <c r="AF748">
        <v>34</v>
      </c>
      <c r="AG748">
        <v>0</v>
      </c>
      <c r="AH748">
        <v>0</v>
      </c>
      <c r="AI748">
        <v>95</v>
      </c>
    </row>
    <row r="749" spans="1:35" x14ac:dyDescent="0.35">
      <c r="A749" t="s">
        <v>192</v>
      </c>
      <c r="B749" t="s">
        <v>24</v>
      </c>
      <c r="C749" t="s">
        <v>33</v>
      </c>
      <c r="D749" t="s">
        <v>34</v>
      </c>
      <c r="E749" t="s">
        <v>309</v>
      </c>
      <c r="F749" t="s">
        <v>310</v>
      </c>
      <c r="G749" s="20" t="s">
        <v>38</v>
      </c>
      <c r="H749" s="20" t="s">
        <v>39</v>
      </c>
      <c r="I749" t="str">
        <f t="shared" si="17"/>
        <v>Apis mellifera</v>
      </c>
      <c r="J749" t="s">
        <v>70</v>
      </c>
      <c r="K749" t="s">
        <v>332</v>
      </c>
      <c r="L749" t="s">
        <v>275</v>
      </c>
      <c r="M749" t="s">
        <v>157</v>
      </c>
      <c r="N749">
        <v>710</v>
      </c>
      <c r="O749" t="s">
        <v>155</v>
      </c>
      <c r="P749" t="s">
        <v>222</v>
      </c>
      <c r="Q749" s="6">
        <v>45208</v>
      </c>
      <c r="R749">
        <v>0</v>
      </c>
      <c r="U749" t="s">
        <v>225</v>
      </c>
      <c r="AD749">
        <v>4</v>
      </c>
      <c r="AE749" s="7" t="s">
        <v>177</v>
      </c>
      <c r="AF749">
        <v>34</v>
      </c>
      <c r="AG749">
        <v>0</v>
      </c>
      <c r="AH749">
        <v>0</v>
      </c>
      <c r="AI749">
        <v>96</v>
      </c>
    </row>
    <row r="750" spans="1:35" x14ac:dyDescent="0.35">
      <c r="A750" t="s">
        <v>192</v>
      </c>
      <c r="B750" t="s">
        <v>24</v>
      </c>
      <c r="C750" t="s">
        <v>33</v>
      </c>
      <c r="D750" t="s">
        <v>34</v>
      </c>
      <c r="E750" t="s">
        <v>309</v>
      </c>
      <c r="F750" t="s">
        <v>310</v>
      </c>
      <c r="G750" s="20" t="s">
        <v>38</v>
      </c>
      <c r="H750" s="20" t="s">
        <v>39</v>
      </c>
      <c r="I750" t="str">
        <f t="shared" si="17"/>
        <v>Apis mellifera</v>
      </c>
      <c r="J750" t="s">
        <v>70</v>
      </c>
      <c r="K750" t="s">
        <v>332</v>
      </c>
      <c r="L750" t="s">
        <v>275</v>
      </c>
      <c r="M750" t="s">
        <v>157</v>
      </c>
      <c r="N750">
        <v>712</v>
      </c>
      <c r="O750" t="s">
        <v>155</v>
      </c>
      <c r="P750" t="s">
        <v>222</v>
      </c>
      <c r="Q750" s="6">
        <v>45208</v>
      </c>
      <c r="R750">
        <v>1</v>
      </c>
      <c r="U750" t="s">
        <v>225</v>
      </c>
      <c r="AD750">
        <v>3</v>
      </c>
      <c r="AE750" s="7" t="s">
        <v>187</v>
      </c>
      <c r="AF750">
        <v>34</v>
      </c>
      <c r="AG750">
        <v>0</v>
      </c>
      <c r="AH750">
        <v>0</v>
      </c>
      <c r="AI750">
        <v>97</v>
      </c>
    </row>
    <row r="751" spans="1:35" x14ac:dyDescent="0.35">
      <c r="A751" t="s">
        <v>192</v>
      </c>
      <c r="B751" t="s">
        <v>24</v>
      </c>
      <c r="C751" t="s">
        <v>33</v>
      </c>
      <c r="D751" t="s">
        <v>34</v>
      </c>
      <c r="E751" t="s">
        <v>309</v>
      </c>
      <c r="F751" t="s">
        <v>310</v>
      </c>
      <c r="G751" s="20" t="s">
        <v>38</v>
      </c>
      <c r="H751" s="20" t="s">
        <v>39</v>
      </c>
      <c r="I751" t="str">
        <f t="shared" si="17"/>
        <v>Apis mellifera</v>
      </c>
      <c r="J751" t="s">
        <v>70</v>
      </c>
      <c r="K751" t="s">
        <v>332</v>
      </c>
      <c r="L751" t="s">
        <v>275</v>
      </c>
      <c r="M751" t="s">
        <v>157</v>
      </c>
      <c r="N751">
        <v>713</v>
      </c>
      <c r="O751" t="s">
        <v>155</v>
      </c>
      <c r="P751" t="s">
        <v>222</v>
      </c>
      <c r="Q751" s="6">
        <v>45208</v>
      </c>
      <c r="R751">
        <v>1</v>
      </c>
      <c r="U751" t="s">
        <v>225</v>
      </c>
      <c r="AD751">
        <v>2</v>
      </c>
      <c r="AE751" s="7" t="s">
        <v>187</v>
      </c>
      <c r="AF751">
        <v>34</v>
      </c>
      <c r="AG751">
        <v>0</v>
      </c>
      <c r="AH751">
        <v>0</v>
      </c>
      <c r="AI751">
        <v>98</v>
      </c>
    </row>
    <row r="752" spans="1:35" x14ac:dyDescent="0.35">
      <c r="A752" t="s">
        <v>192</v>
      </c>
      <c r="B752" t="s">
        <v>24</v>
      </c>
      <c r="C752" t="s">
        <v>33</v>
      </c>
      <c r="D752" t="s">
        <v>34</v>
      </c>
      <c r="E752" t="s">
        <v>309</v>
      </c>
      <c r="F752" t="s">
        <v>310</v>
      </c>
      <c r="G752" s="20" t="s">
        <v>38</v>
      </c>
      <c r="H752" s="20" t="s">
        <v>39</v>
      </c>
      <c r="I752" t="str">
        <f t="shared" si="17"/>
        <v>Apis mellifera</v>
      </c>
      <c r="J752" t="s">
        <v>70</v>
      </c>
      <c r="K752" t="s">
        <v>332</v>
      </c>
      <c r="L752" t="s">
        <v>275</v>
      </c>
      <c r="M752" t="s">
        <v>157</v>
      </c>
      <c r="N752">
        <v>714</v>
      </c>
      <c r="O752" t="s">
        <v>155</v>
      </c>
      <c r="P752" t="s">
        <v>222</v>
      </c>
      <c r="Q752" s="6">
        <v>45208</v>
      </c>
      <c r="R752">
        <v>1</v>
      </c>
      <c r="U752" t="s">
        <v>225</v>
      </c>
      <c r="AD752">
        <v>1</v>
      </c>
      <c r="AE752" s="7" t="s">
        <v>178</v>
      </c>
      <c r="AF752">
        <v>34</v>
      </c>
      <c r="AG752">
        <v>0</v>
      </c>
      <c r="AH752">
        <v>0</v>
      </c>
      <c r="AI752">
        <v>99</v>
      </c>
    </row>
    <row r="753" spans="1:35" x14ac:dyDescent="0.35">
      <c r="A753" t="s">
        <v>192</v>
      </c>
      <c r="B753" t="s">
        <v>24</v>
      </c>
      <c r="C753" t="s">
        <v>33</v>
      </c>
      <c r="D753" t="s">
        <v>34</v>
      </c>
      <c r="E753" t="s">
        <v>309</v>
      </c>
      <c r="F753" t="s">
        <v>310</v>
      </c>
      <c r="G753" s="20" t="s">
        <v>38</v>
      </c>
      <c r="H753" s="20" t="s">
        <v>39</v>
      </c>
      <c r="I753" t="str">
        <f t="shared" si="17"/>
        <v>Apis mellifera</v>
      </c>
      <c r="J753" t="s">
        <v>70</v>
      </c>
      <c r="K753" t="s">
        <v>332</v>
      </c>
      <c r="L753" t="s">
        <v>275</v>
      </c>
      <c r="M753" t="s">
        <v>157</v>
      </c>
      <c r="N753">
        <v>715</v>
      </c>
      <c r="O753" t="s">
        <v>155</v>
      </c>
      <c r="P753" t="s">
        <v>222</v>
      </c>
      <c r="Q753" s="6">
        <v>45208</v>
      </c>
      <c r="R753">
        <v>0</v>
      </c>
      <c r="U753" t="s">
        <v>225</v>
      </c>
      <c r="AD753">
        <v>3</v>
      </c>
      <c r="AE753" s="7" t="s">
        <v>177</v>
      </c>
      <c r="AF753">
        <v>34</v>
      </c>
      <c r="AG753">
        <v>0</v>
      </c>
      <c r="AH753">
        <v>0</v>
      </c>
      <c r="AI753">
        <v>100</v>
      </c>
    </row>
    <row r="754" spans="1:35" x14ac:dyDescent="0.35">
      <c r="A754" t="s">
        <v>192</v>
      </c>
      <c r="B754" t="s">
        <v>24</v>
      </c>
      <c r="C754" t="s">
        <v>33</v>
      </c>
      <c r="D754" t="s">
        <v>34</v>
      </c>
      <c r="E754" t="s">
        <v>309</v>
      </c>
      <c r="F754" t="s">
        <v>310</v>
      </c>
      <c r="G754" s="20" t="s">
        <v>38</v>
      </c>
      <c r="H754" s="20" t="s">
        <v>39</v>
      </c>
      <c r="I754" t="str">
        <f t="shared" si="17"/>
        <v>Apis mellifera</v>
      </c>
      <c r="J754" t="s">
        <v>70</v>
      </c>
      <c r="K754" t="s">
        <v>332</v>
      </c>
      <c r="L754" t="s">
        <v>275</v>
      </c>
      <c r="M754" t="s">
        <v>157</v>
      </c>
      <c r="N754">
        <v>716</v>
      </c>
      <c r="O754" t="s">
        <v>155</v>
      </c>
      <c r="P754" t="s">
        <v>222</v>
      </c>
      <c r="Q754" s="6">
        <v>45208</v>
      </c>
      <c r="R754">
        <v>1</v>
      </c>
      <c r="U754" t="s">
        <v>225</v>
      </c>
      <c r="AD754">
        <v>2</v>
      </c>
      <c r="AE754" s="7" t="s">
        <v>178</v>
      </c>
      <c r="AF754">
        <v>34</v>
      </c>
      <c r="AG754">
        <v>0</v>
      </c>
      <c r="AH754">
        <v>0</v>
      </c>
      <c r="AI754">
        <v>101</v>
      </c>
    </row>
    <row r="755" spans="1:35" x14ac:dyDescent="0.35">
      <c r="A755" t="s">
        <v>192</v>
      </c>
      <c r="B755" t="s">
        <v>24</v>
      </c>
      <c r="C755" t="s">
        <v>33</v>
      </c>
      <c r="D755" t="s">
        <v>34</v>
      </c>
      <c r="E755" t="s">
        <v>309</v>
      </c>
      <c r="F755" t="s">
        <v>310</v>
      </c>
      <c r="G755" s="20" t="s">
        <v>38</v>
      </c>
      <c r="H755" s="20" t="s">
        <v>39</v>
      </c>
      <c r="I755" t="str">
        <f t="shared" si="17"/>
        <v>Apis mellifera</v>
      </c>
      <c r="J755" t="s">
        <v>70</v>
      </c>
      <c r="K755" t="s">
        <v>332</v>
      </c>
      <c r="L755" t="s">
        <v>275</v>
      </c>
      <c r="M755" t="s">
        <v>157</v>
      </c>
      <c r="N755">
        <v>719</v>
      </c>
      <c r="O755" t="s">
        <v>155</v>
      </c>
      <c r="P755" t="s">
        <v>222</v>
      </c>
      <c r="Q755" s="6">
        <v>45208</v>
      </c>
      <c r="R755">
        <v>0</v>
      </c>
      <c r="S755" s="3" t="s">
        <v>166</v>
      </c>
      <c r="T755" t="s">
        <v>72</v>
      </c>
      <c r="U755" t="s">
        <v>271</v>
      </c>
      <c r="AD755">
        <v>3</v>
      </c>
      <c r="AE755" s="7" t="s">
        <v>187</v>
      </c>
      <c r="AF755">
        <v>34</v>
      </c>
      <c r="AG755">
        <v>0</v>
      </c>
      <c r="AH755">
        <v>0</v>
      </c>
      <c r="AI755">
        <v>102</v>
      </c>
    </row>
    <row r="756" spans="1:35" x14ac:dyDescent="0.35">
      <c r="A756" t="s">
        <v>192</v>
      </c>
      <c r="B756" t="s">
        <v>24</v>
      </c>
      <c r="C756" t="s">
        <v>33</v>
      </c>
      <c r="D756" t="s">
        <v>34</v>
      </c>
      <c r="E756" t="s">
        <v>309</v>
      </c>
      <c r="F756" t="s">
        <v>310</v>
      </c>
      <c r="G756" s="20" t="s">
        <v>38</v>
      </c>
      <c r="H756" s="20" t="s">
        <v>39</v>
      </c>
      <c r="I756" t="str">
        <f t="shared" si="17"/>
        <v>Apis mellifera</v>
      </c>
      <c r="J756" t="s">
        <v>70</v>
      </c>
      <c r="K756" t="s">
        <v>332</v>
      </c>
      <c r="L756" t="s">
        <v>275</v>
      </c>
      <c r="M756" t="s">
        <v>157</v>
      </c>
      <c r="N756">
        <v>720</v>
      </c>
      <c r="O756" t="s">
        <v>155</v>
      </c>
      <c r="P756" t="s">
        <v>222</v>
      </c>
      <c r="Q756" s="6">
        <v>45208</v>
      </c>
      <c r="R756">
        <v>1</v>
      </c>
      <c r="S756" s="3" t="s">
        <v>166</v>
      </c>
      <c r="T756" t="s">
        <v>72</v>
      </c>
      <c r="U756" t="s">
        <v>271</v>
      </c>
      <c r="AD756">
        <v>2</v>
      </c>
      <c r="AE756" s="7" t="s">
        <v>187</v>
      </c>
      <c r="AF756">
        <v>34</v>
      </c>
      <c r="AG756">
        <v>0</v>
      </c>
      <c r="AH756">
        <v>0</v>
      </c>
      <c r="AI756">
        <v>103</v>
      </c>
    </row>
    <row r="757" spans="1:35" x14ac:dyDescent="0.35">
      <c r="A757" t="s">
        <v>192</v>
      </c>
      <c r="B757" t="s">
        <v>24</v>
      </c>
      <c r="C757" t="s">
        <v>33</v>
      </c>
      <c r="D757" t="s">
        <v>34</v>
      </c>
      <c r="E757" t="s">
        <v>309</v>
      </c>
      <c r="F757" t="s">
        <v>310</v>
      </c>
      <c r="G757" s="20" t="s">
        <v>38</v>
      </c>
      <c r="H757" s="20" t="s">
        <v>39</v>
      </c>
      <c r="I757" t="str">
        <f t="shared" si="17"/>
        <v>Apis mellifera</v>
      </c>
      <c r="J757" t="s">
        <v>70</v>
      </c>
      <c r="K757" t="s">
        <v>332</v>
      </c>
      <c r="L757" t="s">
        <v>275</v>
      </c>
      <c r="M757" t="s">
        <v>157</v>
      </c>
      <c r="N757">
        <v>721</v>
      </c>
      <c r="O757" t="s">
        <v>155</v>
      </c>
      <c r="P757" t="s">
        <v>222</v>
      </c>
      <c r="Q757" s="6">
        <v>45208</v>
      </c>
      <c r="R757">
        <v>1</v>
      </c>
      <c r="U757" t="s">
        <v>225</v>
      </c>
      <c r="AD757">
        <v>2</v>
      </c>
      <c r="AE757" s="7" t="s">
        <v>178</v>
      </c>
      <c r="AF757">
        <v>37</v>
      </c>
      <c r="AG757">
        <v>0</v>
      </c>
      <c r="AH757">
        <v>0</v>
      </c>
      <c r="AI757">
        <v>104</v>
      </c>
    </row>
    <row r="758" spans="1:35" x14ac:dyDescent="0.35">
      <c r="A758" t="s">
        <v>192</v>
      </c>
      <c r="B758" t="s">
        <v>24</v>
      </c>
      <c r="C758" t="s">
        <v>33</v>
      </c>
      <c r="D758" t="s">
        <v>34</v>
      </c>
      <c r="E758" t="s">
        <v>309</v>
      </c>
      <c r="F758" t="s">
        <v>310</v>
      </c>
      <c r="G758" s="20" t="s">
        <v>38</v>
      </c>
      <c r="H758" s="20" t="s">
        <v>39</v>
      </c>
      <c r="I758" t="str">
        <f t="shared" si="17"/>
        <v>Apis mellifera</v>
      </c>
      <c r="J758" t="s">
        <v>70</v>
      </c>
      <c r="K758" t="s">
        <v>332</v>
      </c>
      <c r="L758" t="s">
        <v>275</v>
      </c>
      <c r="M758" t="s">
        <v>157</v>
      </c>
      <c r="N758">
        <v>722</v>
      </c>
      <c r="O758" t="s">
        <v>155</v>
      </c>
      <c r="P758" t="s">
        <v>222</v>
      </c>
      <c r="Q758" s="6">
        <v>45208</v>
      </c>
      <c r="R758">
        <v>1</v>
      </c>
      <c r="U758" t="s">
        <v>225</v>
      </c>
      <c r="AD758">
        <v>1</v>
      </c>
      <c r="AE758" s="7" t="s">
        <v>179</v>
      </c>
      <c r="AF758">
        <v>37</v>
      </c>
      <c r="AG758">
        <v>0</v>
      </c>
      <c r="AH758">
        <v>0</v>
      </c>
      <c r="AI758">
        <v>105</v>
      </c>
    </row>
    <row r="759" spans="1:35" x14ac:dyDescent="0.35">
      <c r="A759" t="s">
        <v>192</v>
      </c>
      <c r="B759" t="s">
        <v>24</v>
      </c>
      <c r="C759" t="s">
        <v>33</v>
      </c>
      <c r="D759" t="s">
        <v>34</v>
      </c>
      <c r="E759" t="s">
        <v>309</v>
      </c>
      <c r="F759" t="s">
        <v>310</v>
      </c>
      <c r="G759" s="20" t="s">
        <v>38</v>
      </c>
      <c r="H759" s="20" t="s">
        <v>39</v>
      </c>
      <c r="I759" t="str">
        <f t="shared" si="17"/>
        <v>Apis mellifera</v>
      </c>
      <c r="J759" t="s">
        <v>70</v>
      </c>
      <c r="K759" t="s">
        <v>332</v>
      </c>
      <c r="L759" t="s">
        <v>275</v>
      </c>
      <c r="M759" t="s">
        <v>157</v>
      </c>
      <c r="N759">
        <v>723</v>
      </c>
      <c r="O759" t="s">
        <v>155</v>
      </c>
      <c r="P759" t="s">
        <v>222</v>
      </c>
      <c r="Q759" s="6">
        <v>45208</v>
      </c>
      <c r="R759">
        <v>1</v>
      </c>
      <c r="U759" t="s">
        <v>225</v>
      </c>
      <c r="AD759">
        <v>1</v>
      </c>
      <c r="AE759" s="7" t="s">
        <v>178</v>
      </c>
      <c r="AF759">
        <v>37</v>
      </c>
      <c r="AG759">
        <v>0</v>
      </c>
      <c r="AH759">
        <v>0</v>
      </c>
      <c r="AI759">
        <v>106</v>
      </c>
    </row>
    <row r="760" spans="1:35" x14ac:dyDescent="0.35">
      <c r="A760" t="s">
        <v>192</v>
      </c>
      <c r="B760" t="s">
        <v>24</v>
      </c>
      <c r="C760" t="s">
        <v>33</v>
      </c>
      <c r="D760" t="s">
        <v>34</v>
      </c>
      <c r="E760" t="s">
        <v>309</v>
      </c>
      <c r="F760" t="s">
        <v>310</v>
      </c>
      <c r="G760" s="20" t="s">
        <v>38</v>
      </c>
      <c r="H760" s="20" t="s">
        <v>39</v>
      </c>
      <c r="I760" t="str">
        <f t="shared" si="17"/>
        <v>Apis mellifera</v>
      </c>
      <c r="J760" t="s">
        <v>70</v>
      </c>
      <c r="K760" t="s">
        <v>332</v>
      </c>
      <c r="L760" t="s">
        <v>275</v>
      </c>
      <c r="M760" t="s">
        <v>157</v>
      </c>
      <c r="N760">
        <v>724</v>
      </c>
      <c r="O760" t="s">
        <v>155</v>
      </c>
      <c r="P760" t="s">
        <v>222</v>
      </c>
      <c r="Q760" s="6">
        <v>45208</v>
      </c>
      <c r="R760">
        <v>1</v>
      </c>
      <c r="U760" t="s">
        <v>225</v>
      </c>
      <c r="AD760">
        <v>2</v>
      </c>
      <c r="AE760" s="7" t="s">
        <v>178</v>
      </c>
      <c r="AF760">
        <v>37</v>
      </c>
      <c r="AG760">
        <v>0</v>
      </c>
      <c r="AH760">
        <v>0</v>
      </c>
      <c r="AI760">
        <v>107</v>
      </c>
    </row>
    <row r="761" spans="1:35" x14ac:dyDescent="0.35">
      <c r="A761" t="s">
        <v>192</v>
      </c>
      <c r="B761" t="s">
        <v>24</v>
      </c>
      <c r="C761" t="s">
        <v>33</v>
      </c>
      <c r="D761" t="s">
        <v>34</v>
      </c>
      <c r="E761" t="s">
        <v>309</v>
      </c>
      <c r="F761" t="s">
        <v>310</v>
      </c>
      <c r="G761" s="20" t="s">
        <v>38</v>
      </c>
      <c r="H761" s="20" t="s">
        <v>39</v>
      </c>
      <c r="I761" t="str">
        <f t="shared" si="17"/>
        <v>Apis mellifera</v>
      </c>
      <c r="J761" t="s">
        <v>70</v>
      </c>
      <c r="K761" t="s">
        <v>332</v>
      </c>
      <c r="L761" t="s">
        <v>275</v>
      </c>
      <c r="M761" t="s">
        <v>157</v>
      </c>
      <c r="N761">
        <v>725</v>
      </c>
      <c r="O761" t="s">
        <v>155</v>
      </c>
      <c r="P761" t="s">
        <v>222</v>
      </c>
      <c r="Q761" s="6">
        <v>45208</v>
      </c>
      <c r="R761">
        <v>1</v>
      </c>
      <c r="U761" t="s">
        <v>225</v>
      </c>
      <c r="AD761">
        <v>3</v>
      </c>
      <c r="AE761" s="7" t="s">
        <v>178</v>
      </c>
      <c r="AF761">
        <v>37</v>
      </c>
      <c r="AG761">
        <v>0</v>
      </c>
      <c r="AH761">
        <v>0</v>
      </c>
      <c r="AI761">
        <v>108</v>
      </c>
    </row>
    <row r="762" spans="1:35" x14ac:dyDescent="0.35">
      <c r="A762" t="s">
        <v>192</v>
      </c>
      <c r="B762" t="s">
        <v>24</v>
      </c>
      <c r="C762" t="s">
        <v>33</v>
      </c>
      <c r="D762" t="s">
        <v>34</v>
      </c>
      <c r="E762" t="s">
        <v>309</v>
      </c>
      <c r="F762" t="s">
        <v>310</v>
      </c>
      <c r="G762" s="20" t="s">
        <v>38</v>
      </c>
      <c r="H762" s="20" t="s">
        <v>39</v>
      </c>
      <c r="I762" t="str">
        <f t="shared" si="17"/>
        <v>Apis mellifera</v>
      </c>
      <c r="J762" t="s">
        <v>70</v>
      </c>
      <c r="K762" t="s">
        <v>332</v>
      </c>
      <c r="L762" t="s">
        <v>275</v>
      </c>
      <c r="M762" t="s">
        <v>157</v>
      </c>
      <c r="N762">
        <v>726</v>
      </c>
      <c r="O762" t="s">
        <v>155</v>
      </c>
      <c r="P762" t="s">
        <v>222</v>
      </c>
      <c r="Q762" s="6">
        <v>45208</v>
      </c>
      <c r="R762">
        <v>1</v>
      </c>
      <c r="U762" t="s">
        <v>225</v>
      </c>
      <c r="AD762">
        <v>2</v>
      </c>
      <c r="AE762" s="7" t="s">
        <v>188</v>
      </c>
      <c r="AF762">
        <v>37</v>
      </c>
      <c r="AG762">
        <v>0</v>
      </c>
      <c r="AH762">
        <v>0</v>
      </c>
      <c r="AI762">
        <v>109</v>
      </c>
    </row>
    <row r="763" spans="1:35" x14ac:dyDescent="0.35">
      <c r="A763" t="s">
        <v>192</v>
      </c>
      <c r="B763" t="s">
        <v>24</v>
      </c>
      <c r="C763" t="s">
        <v>33</v>
      </c>
      <c r="D763" t="s">
        <v>34</v>
      </c>
      <c r="E763" t="s">
        <v>309</v>
      </c>
      <c r="F763" t="s">
        <v>310</v>
      </c>
      <c r="G763" s="20" t="s">
        <v>38</v>
      </c>
      <c r="H763" s="20" t="s">
        <v>39</v>
      </c>
      <c r="I763" t="str">
        <f t="shared" si="17"/>
        <v>Apis mellifera</v>
      </c>
      <c r="J763" t="s">
        <v>70</v>
      </c>
      <c r="K763" t="s">
        <v>332</v>
      </c>
      <c r="L763" t="s">
        <v>275</v>
      </c>
      <c r="M763" t="s">
        <v>157</v>
      </c>
      <c r="N763">
        <v>727</v>
      </c>
      <c r="O763" t="s">
        <v>155</v>
      </c>
      <c r="P763" t="s">
        <v>222</v>
      </c>
      <c r="Q763" s="6">
        <v>45208</v>
      </c>
      <c r="R763">
        <v>0</v>
      </c>
      <c r="U763" t="s">
        <v>225</v>
      </c>
      <c r="AD763">
        <v>2</v>
      </c>
      <c r="AE763" s="7" t="s">
        <v>177</v>
      </c>
      <c r="AF763">
        <v>37</v>
      </c>
      <c r="AG763">
        <v>0</v>
      </c>
      <c r="AH763">
        <v>0</v>
      </c>
      <c r="AI763">
        <v>110</v>
      </c>
    </row>
    <row r="764" spans="1:35" x14ac:dyDescent="0.35">
      <c r="A764" t="s">
        <v>192</v>
      </c>
      <c r="B764" t="s">
        <v>24</v>
      </c>
      <c r="C764" t="s">
        <v>33</v>
      </c>
      <c r="D764" t="s">
        <v>34</v>
      </c>
      <c r="E764" t="s">
        <v>309</v>
      </c>
      <c r="F764" t="s">
        <v>310</v>
      </c>
      <c r="G764" s="20" t="s">
        <v>38</v>
      </c>
      <c r="H764" s="20" t="s">
        <v>39</v>
      </c>
      <c r="I764" t="str">
        <f t="shared" si="17"/>
        <v>Apis mellifera</v>
      </c>
      <c r="J764" t="s">
        <v>70</v>
      </c>
      <c r="K764" t="s">
        <v>332</v>
      </c>
      <c r="L764" t="s">
        <v>275</v>
      </c>
      <c r="M764" t="s">
        <v>157</v>
      </c>
      <c r="N764">
        <v>728</v>
      </c>
      <c r="O764" t="s">
        <v>155</v>
      </c>
      <c r="P764" t="s">
        <v>222</v>
      </c>
      <c r="Q764" s="6">
        <v>45208</v>
      </c>
      <c r="R764">
        <v>0</v>
      </c>
      <c r="U764" t="s">
        <v>225</v>
      </c>
      <c r="AD764">
        <v>1</v>
      </c>
      <c r="AE764" s="7" t="s">
        <v>177</v>
      </c>
      <c r="AF764">
        <v>37</v>
      </c>
      <c r="AG764">
        <v>0</v>
      </c>
      <c r="AH764">
        <v>0</v>
      </c>
      <c r="AI764">
        <v>111</v>
      </c>
    </row>
    <row r="765" spans="1:35" x14ac:dyDescent="0.35">
      <c r="A765" t="s">
        <v>192</v>
      </c>
      <c r="B765" t="s">
        <v>24</v>
      </c>
      <c r="C765" t="s">
        <v>33</v>
      </c>
      <c r="D765" t="s">
        <v>34</v>
      </c>
      <c r="E765" t="s">
        <v>309</v>
      </c>
      <c r="F765" t="s">
        <v>310</v>
      </c>
      <c r="G765" s="20" t="s">
        <v>38</v>
      </c>
      <c r="H765" s="20" t="s">
        <v>39</v>
      </c>
      <c r="I765" t="str">
        <f t="shared" si="17"/>
        <v>Apis mellifera</v>
      </c>
      <c r="J765" t="s">
        <v>70</v>
      </c>
      <c r="K765" t="s">
        <v>332</v>
      </c>
      <c r="L765" t="s">
        <v>275</v>
      </c>
      <c r="M765" t="s">
        <v>157</v>
      </c>
      <c r="N765">
        <v>729</v>
      </c>
      <c r="O765" t="s">
        <v>155</v>
      </c>
      <c r="P765" t="s">
        <v>222</v>
      </c>
      <c r="Q765" s="6">
        <v>45208</v>
      </c>
      <c r="R765">
        <v>1</v>
      </c>
      <c r="U765" t="s">
        <v>225</v>
      </c>
      <c r="AD765">
        <v>1</v>
      </c>
      <c r="AE765" s="7" t="s">
        <v>178</v>
      </c>
      <c r="AF765">
        <v>37</v>
      </c>
      <c r="AG765">
        <v>0</v>
      </c>
      <c r="AH765">
        <v>0</v>
      </c>
      <c r="AI765">
        <v>112</v>
      </c>
    </row>
    <row r="766" spans="1:35" x14ac:dyDescent="0.35">
      <c r="A766" t="s">
        <v>192</v>
      </c>
      <c r="B766" t="s">
        <v>24</v>
      </c>
      <c r="C766" t="s">
        <v>33</v>
      </c>
      <c r="D766" t="s">
        <v>34</v>
      </c>
      <c r="E766" t="s">
        <v>309</v>
      </c>
      <c r="F766" t="s">
        <v>310</v>
      </c>
      <c r="G766" s="20" t="s">
        <v>38</v>
      </c>
      <c r="H766" s="20" t="s">
        <v>39</v>
      </c>
      <c r="I766" t="str">
        <f t="shared" si="17"/>
        <v>Apis mellifera</v>
      </c>
      <c r="J766" t="s">
        <v>70</v>
      </c>
      <c r="K766" t="s">
        <v>332</v>
      </c>
      <c r="L766" t="s">
        <v>275</v>
      </c>
      <c r="M766" t="s">
        <v>157</v>
      </c>
      <c r="N766">
        <v>730</v>
      </c>
      <c r="O766" t="s">
        <v>155</v>
      </c>
      <c r="P766" t="s">
        <v>222</v>
      </c>
      <c r="Q766" s="6">
        <v>45208</v>
      </c>
      <c r="R766">
        <v>1</v>
      </c>
      <c r="U766" t="s">
        <v>225</v>
      </c>
      <c r="AD766">
        <v>1</v>
      </c>
      <c r="AE766" s="7" t="s">
        <v>177</v>
      </c>
      <c r="AF766">
        <v>37</v>
      </c>
      <c r="AG766">
        <v>0</v>
      </c>
      <c r="AH766">
        <v>0</v>
      </c>
      <c r="AI766">
        <v>113</v>
      </c>
    </row>
    <row r="767" spans="1:35" x14ac:dyDescent="0.35">
      <c r="A767" t="s">
        <v>192</v>
      </c>
      <c r="B767" t="s">
        <v>24</v>
      </c>
      <c r="C767" t="s">
        <v>33</v>
      </c>
      <c r="D767" t="s">
        <v>34</v>
      </c>
      <c r="E767" t="s">
        <v>309</v>
      </c>
      <c r="F767" t="s">
        <v>310</v>
      </c>
      <c r="G767" s="20" t="s">
        <v>38</v>
      </c>
      <c r="H767" s="20" t="s">
        <v>39</v>
      </c>
      <c r="I767" t="str">
        <f t="shared" si="17"/>
        <v>Apis mellifera</v>
      </c>
      <c r="J767" t="s">
        <v>70</v>
      </c>
      <c r="K767" t="s">
        <v>332</v>
      </c>
      <c r="L767" t="s">
        <v>275</v>
      </c>
      <c r="M767" t="s">
        <v>157</v>
      </c>
      <c r="N767">
        <v>731</v>
      </c>
      <c r="O767" t="s">
        <v>155</v>
      </c>
      <c r="P767" t="s">
        <v>222</v>
      </c>
      <c r="Q767" s="6">
        <v>45208</v>
      </c>
      <c r="R767">
        <v>0</v>
      </c>
      <c r="U767" t="s">
        <v>225</v>
      </c>
      <c r="AD767">
        <v>1</v>
      </c>
      <c r="AE767" s="7" t="s">
        <v>178</v>
      </c>
      <c r="AF767">
        <v>37</v>
      </c>
      <c r="AG767">
        <v>0</v>
      </c>
      <c r="AH767">
        <v>0</v>
      </c>
      <c r="AI767">
        <v>114</v>
      </c>
    </row>
    <row r="768" spans="1:35" x14ac:dyDescent="0.35">
      <c r="A768" t="s">
        <v>192</v>
      </c>
      <c r="B768" t="s">
        <v>24</v>
      </c>
      <c r="C768" t="s">
        <v>33</v>
      </c>
      <c r="D768" t="s">
        <v>34</v>
      </c>
      <c r="E768" t="s">
        <v>309</v>
      </c>
      <c r="F768" t="s">
        <v>310</v>
      </c>
      <c r="G768" s="20" t="s">
        <v>38</v>
      </c>
      <c r="H768" s="20" t="s">
        <v>39</v>
      </c>
      <c r="I768" t="str">
        <f t="shared" si="17"/>
        <v>Apis mellifera</v>
      </c>
      <c r="J768" t="s">
        <v>70</v>
      </c>
      <c r="K768" t="s">
        <v>332</v>
      </c>
      <c r="L768" t="s">
        <v>275</v>
      </c>
      <c r="M768" t="s">
        <v>157</v>
      </c>
      <c r="N768">
        <v>732</v>
      </c>
      <c r="O768" t="s">
        <v>155</v>
      </c>
      <c r="P768" t="s">
        <v>222</v>
      </c>
      <c r="Q768" s="6">
        <v>45208</v>
      </c>
      <c r="R768">
        <v>1</v>
      </c>
      <c r="U768" t="s">
        <v>225</v>
      </c>
      <c r="AD768">
        <v>2</v>
      </c>
      <c r="AE768" s="7" t="s">
        <v>177</v>
      </c>
      <c r="AF768">
        <v>37</v>
      </c>
      <c r="AG768">
        <v>0</v>
      </c>
      <c r="AH768">
        <v>0</v>
      </c>
      <c r="AI768">
        <v>115</v>
      </c>
    </row>
    <row r="769" spans="1:35" x14ac:dyDescent="0.35">
      <c r="A769" t="s">
        <v>192</v>
      </c>
      <c r="B769" t="s">
        <v>24</v>
      </c>
      <c r="C769" t="s">
        <v>33</v>
      </c>
      <c r="D769" t="s">
        <v>34</v>
      </c>
      <c r="E769" t="s">
        <v>309</v>
      </c>
      <c r="F769" t="s">
        <v>310</v>
      </c>
      <c r="G769" s="20" t="s">
        <v>38</v>
      </c>
      <c r="H769" s="20" t="s">
        <v>39</v>
      </c>
      <c r="I769" t="str">
        <f t="shared" si="17"/>
        <v>Apis mellifera</v>
      </c>
      <c r="J769" t="s">
        <v>70</v>
      </c>
      <c r="K769" t="s">
        <v>332</v>
      </c>
      <c r="L769" t="s">
        <v>275</v>
      </c>
      <c r="M769" t="s">
        <v>157</v>
      </c>
      <c r="N769">
        <v>733</v>
      </c>
      <c r="O769" t="s">
        <v>155</v>
      </c>
      <c r="P769" t="s">
        <v>222</v>
      </c>
      <c r="Q769" s="6">
        <v>45208</v>
      </c>
      <c r="R769">
        <v>1</v>
      </c>
      <c r="U769" t="s">
        <v>225</v>
      </c>
      <c r="AD769">
        <v>1</v>
      </c>
      <c r="AE769" s="7" t="s">
        <v>178</v>
      </c>
      <c r="AF769">
        <v>37</v>
      </c>
      <c r="AG769">
        <v>0</v>
      </c>
      <c r="AH769">
        <v>0</v>
      </c>
      <c r="AI769">
        <v>116</v>
      </c>
    </row>
    <row r="770" spans="1:35" x14ac:dyDescent="0.35">
      <c r="A770" t="s">
        <v>192</v>
      </c>
      <c r="B770" t="s">
        <v>24</v>
      </c>
      <c r="C770" t="s">
        <v>33</v>
      </c>
      <c r="D770" t="s">
        <v>34</v>
      </c>
      <c r="E770" t="s">
        <v>309</v>
      </c>
      <c r="F770" t="s">
        <v>310</v>
      </c>
      <c r="G770" s="20" t="s">
        <v>38</v>
      </c>
      <c r="H770" s="20" t="s">
        <v>39</v>
      </c>
      <c r="I770" t="str">
        <f t="shared" si="17"/>
        <v>Apis mellifera</v>
      </c>
      <c r="J770" t="s">
        <v>70</v>
      </c>
      <c r="K770" t="s">
        <v>332</v>
      </c>
      <c r="L770" t="s">
        <v>275</v>
      </c>
      <c r="M770" t="s">
        <v>157</v>
      </c>
      <c r="N770">
        <v>734</v>
      </c>
      <c r="O770" t="s">
        <v>155</v>
      </c>
      <c r="P770" t="s">
        <v>222</v>
      </c>
      <c r="Q770" s="6">
        <v>45208</v>
      </c>
      <c r="R770">
        <v>1</v>
      </c>
      <c r="U770" t="s">
        <v>225</v>
      </c>
      <c r="AD770">
        <v>1</v>
      </c>
      <c r="AE770" s="7" t="s">
        <v>177</v>
      </c>
      <c r="AF770">
        <v>37</v>
      </c>
      <c r="AG770">
        <v>0</v>
      </c>
      <c r="AH770">
        <v>0</v>
      </c>
      <c r="AI770">
        <v>117</v>
      </c>
    </row>
    <row r="771" spans="1:35" x14ac:dyDescent="0.35">
      <c r="A771" t="s">
        <v>192</v>
      </c>
      <c r="B771" t="s">
        <v>24</v>
      </c>
      <c r="C771" t="s">
        <v>33</v>
      </c>
      <c r="D771" t="s">
        <v>34</v>
      </c>
      <c r="E771" t="s">
        <v>309</v>
      </c>
      <c r="F771" t="s">
        <v>310</v>
      </c>
      <c r="G771" s="20" t="s">
        <v>38</v>
      </c>
      <c r="H771" s="20" t="s">
        <v>39</v>
      </c>
      <c r="I771" t="str">
        <f t="shared" si="17"/>
        <v>Apis mellifera</v>
      </c>
      <c r="J771" t="s">
        <v>70</v>
      </c>
      <c r="K771" t="s">
        <v>332</v>
      </c>
      <c r="L771" t="s">
        <v>275</v>
      </c>
      <c r="M771" t="s">
        <v>157</v>
      </c>
      <c r="N771">
        <v>735</v>
      </c>
      <c r="O771" t="s">
        <v>155</v>
      </c>
      <c r="P771" t="s">
        <v>222</v>
      </c>
      <c r="Q771" s="6">
        <v>45208</v>
      </c>
      <c r="R771">
        <v>0</v>
      </c>
      <c r="U771" t="s">
        <v>225</v>
      </c>
      <c r="AD771">
        <v>1</v>
      </c>
      <c r="AE771" s="7" t="s">
        <v>178</v>
      </c>
      <c r="AF771">
        <v>37</v>
      </c>
      <c r="AG771">
        <v>0</v>
      </c>
      <c r="AH771">
        <v>0</v>
      </c>
      <c r="AI771">
        <v>118</v>
      </c>
    </row>
    <row r="772" spans="1:35" x14ac:dyDescent="0.35">
      <c r="A772" t="s">
        <v>192</v>
      </c>
      <c r="B772" t="s">
        <v>24</v>
      </c>
      <c r="C772" t="s">
        <v>33</v>
      </c>
      <c r="D772" t="s">
        <v>34</v>
      </c>
      <c r="E772" t="s">
        <v>309</v>
      </c>
      <c r="F772" t="s">
        <v>310</v>
      </c>
      <c r="G772" s="20" t="s">
        <v>38</v>
      </c>
      <c r="H772" s="20" t="s">
        <v>39</v>
      </c>
      <c r="I772" t="str">
        <f t="shared" si="17"/>
        <v>Apis mellifera</v>
      </c>
      <c r="J772" t="s">
        <v>70</v>
      </c>
      <c r="K772" t="s">
        <v>332</v>
      </c>
      <c r="L772" t="s">
        <v>275</v>
      </c>
      <c r="M772" t="s">
        <v>157</v>
      </c>
      <c r="N772">
        <v>736</v>
      </c>
      <c r="O772" t="s">
        <v>155</v>
      </c>
      <c r="P772" t="s">
        <v>222</v>
      </c>
      <c r="Q772" s="6">
        <v>45208</v>
      </c>
      <c r="R772">
        <v>1</v>
      </c>
      <c r="U772" t="s">
        <v>225</v>
      </c>
      <c r="AD772">
        <v>1</v>
      </c>
      <c r="AE772" s="7" t="s">
        <v>178</v>
      </c>
      <c r="AF772">
        <v>37</v>
      </c>
      <c r="AG772">
        <v>0</v>
      </c>
      <c r="AH772">
        <v>0</v>
      </c>
      <c r="AI772">
        <v>119</v>
      </c>
    </row>
    <row r="773" spans="1:35" x14ac:dyDescent="0.35">
      <c r="A773" t="s">
        <v>192</v>
      </c>
      <c r="B773" t="s">
        <v>24</v>
      </c>
      <c r="C773" t="s">
        <v>33</v>
      </c>
      <c r="D773" t="s">
        <v>34</v>
      </c>
      <c r="E773" t="s">
        <v>309</v>
      </c>
      <c r="F773" t="s">
        <v>310</v>
      </c>
      <c r="G773" s="20" t="s">
        <v>38</v>
      </c>
      <c r="H773" s="20" t="s">
        <v>39</v>
      </c>
      <c r="I773" t="str">
        <f t="shared" si="17"/>
        <v>Apis mellifera</v>
      </c>
      <c r="J773" t="s">
        <v>70</v>
      </c>
      <c r="K773" t="s">
        <v>332</v>
      </c>
      <c r="L773" t="s">
        <v>275</v>
      </c>
      <c r="M773" t="s">
        <v>157</v>
      </c>
      <c r="N773">
        <v>737</v>
      </c>
      <c r="O773" t="s">
        <v>155</v>
      </c>
      <c r="P773" t="s">
        <v>222</v>
      </c>
      <c r="Q773" s="6">
        <v>45208</v>
      </c>
      <c r="R773">
        <v>0</v>
      </c>
      <c r="U773" t="s">
        <v>225</v>
      </c>
      <c r="AD773">
        <v>1</v>
      </c>
      <c r="AE773" s="7" t="s">
        <v>177</v>
      </c>
      <c r="AF773">
        <v>37</v>
      </c>
      <c r="AG773">
        <v>0</v>
      </c>
      <c r="AH773">
        <v>0</v>
      </c>
      <c r="AI773">
        <v>120</v>
      </c>
    </row>
    <row r="774" spans="1:35" x14ac:dyDescent="0.35">
      <c r="A774" t="s">
        <v>192</v>
      </c>
      <c r="B774" t="s">
        <v>24</v>
      </c>
      <c r="C774" t="s">
        <v>33</v>
      </c>
      <c r="D774" t="s">
        <v>34</v>
      </c>
      <c r="E774" t="s">
        <v>309</v>
      </c>
      <c r="F774" t="s">
        <v>310</v>
      </c>
      <c r="G774" s="20" t="s">
        <v>38</v>
      </c>
      <c r="H774" s="20" t="s">
        <v>39</v>
      </c>
      <c r="I774" t="str">
        <f t="shared" si="17"/>
        <v>Apis mellifera</v>
      </c>
      <c r="J774" t="s">
        <v>70</v>
      </c>
      <c r="K774" t="s">
        <v>332</v>
      </c>
      <c r="L774" t="s">
        <v>275</v>
      </c>
      <c r="M774" t="s">
        <v>157</v>
      </c>
      <c r="N774">
        <v>740</v>
      </c>
      <c r="O774" t="s">
        <v>155</v>
      </c>
      <c r="P774" t="s">
        <v>222</v>
      </c>
      <c r="Q774" s="6">
        <v>45208</v>
      </c>
      <c r="R774">
        <v>1</v>
      </c>
      <c r="U774" t="s">
        <v>225</v>
      </c>
      <c r="AD774">
        <v>1</v>
      </c>
      <c r="AE774" s="7" t="s">
        <v>178</v>
      </c>
      <c r="AF774">
        <v>37</v>
      </c>
      <c r="AG774">
        <v>0</v>
      </c>
      <c r="AH774">
        <v>0</v>
      </c>
      <c r="AI774">
        <v>121</v>
      </c>
    </row>
    <row r="775" spans="1:35" x14ac:dyDescent="0.35">
      <c r="A775" t="s">
        <v>192</v>
      </c>
      <c r="B775" t="s">
        <v>24</v>
      </c>
      <c r="C775" t="s">
        <v>33</v>
      </c>
      <c r="D775" t="s">
        <v>34</v>
      </c>
      <c r="E775" t="s">
        <v>309</v>
      </c>
      <c r="F775" t="s">
        <v>310</v>
      </c>
      <c r="G775" s="20" t="s">
        <v>38</v>
      </c>
      <c r="H775" s="20" t="s">
        <v>39</v>
      </c>
      <c r="I775" t="str">
        <f t="shared" si="17"/>
        <v>Apis mellifera</v>
      </c>
      <c r="J775" t="s">
        <v>70</v>
      </c>
      <c r="K775" t="s">
        <v>332</v>
      </c>
      <c r="L775" t="s">
        <v>275</v>
      </c>
      <c r="M775" t="s">
        <v>157</v>
      </c>
      <c r="N775">
        <v>741</v>
      </c>
      <c r="O775" t="s">
        <v>155</v>
      </c>
      <c r="P775" t="s">
        <v>222</v>
      </c>
      <c r="Q775" s="6">
        <v>45208</v>
      </c>
      <c r="R775">
        <v>0</v>
      </c>
      <c r="U775" t="s">
        <v>225</v>
      </c>
      <c r="AE775" s="7" t="s">
        <v>177</v>
      </c>
      <c r="AF775">
        <v>37</v>
      </c>
      <c r="AG775">
        <v>0</v>
      </c>
      <c r="AH775">
        <v>0</v>
      </c>
      <c r="AI775">
        <v>122</v>
      </c>
    </row>
    <row r="776" spans="1:35" x14ac:dyDescent="0.35">
      <c r="A776" t="s">
        <v>192</v>
      </c>
      <c r="B776" t="s">
        <v>24</v>
      </c>
      <c r="C776" t="s">
        <v>33</v>
      </c>
      <c r="D776" t="s">
        <v>34</v>
      </c>
      <c r="E776" t="s">
        <v>309</v>
      </c>
      <c r="F776" t="s">
        <v>310</v>
      </c>
      <c r="G776" s="20" t="s">
        <v>38</v>
      </c>
      <c r="H776" s="20" t="s">
        <v>39</v>
      </c>
      <c r="I776" t="str">
        <f t="shared" si="17"/>
        <v>Apis mellifera</v>
      </c>
      <c r="J776" t="s">
        <v>70</v>
      </c>
      <c r="K776" t="s">
        <v>332</v>
      </c>
      <c r="L776" t="s">
        <v>275</v>
      </c>
      <c r="M776" t="s">
        <v>157</v>
      </c>
      <c r="N776">
        <v>742</v>
      </c>
      <c r="O776" t="s">
        <v>155</v>
      </c>
      <c r="P776" t="s">
        <v>222</v>
      </c>
      <c r="Q776" s="6">
        <v>45208</v>
      </c>
      <c r="R776">
        <v>1</v>
      </c>
      <c r="U776" t="s">
        <v>225</v>
      </c>
      <c r="AE776" s="7" t="s">
        <v>178</v>
      </c>
      <c r="AF776">
        <v>37</v>
      </c>
      <c r="AG776">
        <v>0</v>
      </c>
      <c r="AH776">
        <v>0</v>
      </c>
      <c r="AI776">
        <v>123</v>
      </c>
    </row>
    <row r="777" spans="1:35" x14ac:dyDescent="0.35">
      <c r="A777" t="s">
        <v>192</v>
      </c>
      <c r="B777" t="s">
        <v>24</v>
      </c>
      <c r="C777" t="s">
        <v>33</v>
      </c>
      <c r="D777" t="s">
        <v>34</v>
      </c>
      <c r="E777" t="s">
        <v>309</v>
      </c>
      <c r="F777" t="s">
        <v>310</v>
      </c>
      <c r="G777" s="20" t="s">
        <v>38</v>
      </c>
      <c r="H777" s="20" t="s">
        <v>39</v>
      </c>
      <c r="I777" t="str">
        <f t="shared" si="17"/>
        <v>Apis mellifera</v>
      </c>
      <c r="J777" t="s">
        <v>70</v>
      </c>
      <c r="K777" t="s">
        <v>332</v>
      </c>
      <c r="L777" t="s">
        <v>275</v>
      </c>
      <c r="M777" t="s">
        <v>157</v>
      </c>
      <c r="N777">
        <v>743</v>
      </c>
      <c r="O777" t="s">
        <v>155</v>
      </c>
      <c r="P777" t="s">
        <v>222</v>
      </c>
      <c r="Q777" s="6">
        <v>45208</v>
      </c>
      <c r="R777">
        <v>1</v>
      </c>
      <c r="U777" t="s">
        <v>225</v>
      </c>
      <c r="AE777" s="7" t="s">
        <v>178</v>
      </c>
      <c r="AF777">
        <v>37</v>
      </c>
      <c r="AG777">
        <v>0</v>
      </c>
      <c r="AH777">
        <v>0</v>
      </c>
      <c r="AI777">
        <v>124</v>
      </c>
    </row>
    <row r="778" spans="1:35" x14ac:dyDescent="0.35">
      <c r="A778" t="s">
        <v>192</v>
      </c>
      <c r="B778" t="s">
        <v>24</v>
      </c>
      <c r="C778" t="s">
        <v>33</v>
      </c>
      <c r="D778" t="s">
        <v>34</v>
      </c>
      <c r="E778" t="s">
        <v>309</v>
      </c>
      <c r="F778" t="s">
        <v>310</v>
      </c>
      <c r="G778" s="20" t="s">
        <v>38</v>
      </c>
      <c r="H778" s="20" t="s">
        <v>39</v>
      </c>
      <c r="I778" t="str">
        <f t="shared" si="17"/>
        <v>Apis mellifera</v>
      </c>
      <c r="J778" t="s">
        <v>70</v>
      </c>
      <c r="K778" t="s">
        <v>332</v>
      </c>
      <c r="L778" t="s">
        <v>275</v>
      </c>
      <c r="M778" t="s">
        <v>157</v>
      </c>
      <c r="N778">
        <v>744</v>
      </c>
      <c r="O778" t="s">
        <v>155</v>
      </c>
      <c r="P778" t="s">
        <v>222</v>
      </c>
      <c r="Q778" s="6">
        <v>45208</v>
      </c>
      <c r="R778">
        <v>1</v>
      </c>
      <c r="U778" t="s">
        <v>225</v>
      </c>
      <c r="AE778" s="7" t="s">
        <v>177</v>
      </c>
      <c r="AF778">
        <v>37</v>
      </c>
      <c r="AG778">
        <v>0</v>
      </c>
      <c r="AH778">
        <v>0</v>
      </c>
      <c r="AI778">
        <v>125</v>
      </c>
    </row>
    <row r="779" spans="1:35" x14ac:dyDescent="0.35">
      <c r="A779" t="s">
        <v>192</v>
      </c>
      <c r="B779" t="s">
        <v>24</v>
      </c>
      <c r="C779" t="s">
        <v>33</v>
      </c>
      <c r="D779" t="s">
        <v>34</v>
      </c>
      <c r="E779" t="s">
        <v>309</v>
      </c>
      <c r="F779" t="s">
        <v>310</v>
      </c>
      <c r="G779" s="20" t="s">
        <v>38</v>
      </c>
      <c r="H779" s="20" t="s">
        <v>39</v>
      </c>
      <c r="I779" t="str">
        <f t="shared" si="17"/>
        <v>Apis mellifera</v>
      </c>
      <c r="J779" t="s">
        <v>70</v>
      </c>
      <c r="K779" t="s">
        <v>332</v>
      </c>
      <c r="L779" t="s">
        <v>275</v>
      </c>
      <c r="M779" t="s">
        <v>157</v>
      </c>
      <c r="N779">
        <v>745</v>
      </c>
      <c r="O779" t="s">
        <v>155</v>
      </c>
      <c r="P779" t="s">
        <v>222</v>
      </c>
      <c r="Q779" s="6">
        <v>45208</v>
      </c>
      <c r="R779">
        <v>1</v>
      </c>
      <c r="U779" t="s">
        <v>225</v>
      </c>
      <c r="AE779" s="7" t="s">
        <v>180</v>
      </c>
      <c r="AF779">
        <v>37</v>
      </c>
      <c r="AG779">
        <v>0</v>
      </c>
      <c r="AH779">
        <v>0</v>
      </c>
      <c r="AI779">
        <v>126</v>
      </c>
    </row>
    <row r="780" spans="1:35" x14ac:dyDescent="0.35">
      <c r="A780" t="s">
        <v>192</v>
      </c>
      <c r="B780" t="s">
        <v>24</v>
      </c>
      <c r="C780" t="s">
        <v>33</v>
      </c>
      <c r="D780" t="s">
        <v>34</v>
      </c>
      <c r="E780" t="s">
        <v>309</v>
      </c>
      <c r="F780" t="s">
        <v>310</v>
      </c>
      <c r="G780" s="20" t="s">
        <v>38</v>
      </c>
      <c r="H780" s="20" t="s">
        <v>39</v>
      </c>
      <c r="I780" t="str">
        <f t="shared" si="17"/>
        <v>Apis mellifera</v>
      </c>
      <c r="J780" t="s">
        <v>70</v>
      </c>
      <c r="K780" t="s">
        <v>332</v>
      </c>
      <c r="L780" t="s">
        <v>275</v>
      </c>
      <c r="M780" t="s">
        <v>157</v>
      </c>
      <c r="N780">
        <v>746</v>
      </c>
      <c r="O780" t="s">
        <v>155</v>
      </c>
      <c r="P780" t="s">
        <v>222</v>
      </c>
      <c r="Q780" s="6">
        <v>45208</v>
      </c>
      <c r="R780">
        <v>0</v>
      </c>
      <c r="U780" t="s">
        <v>225</v>
      </c>
      <c r="AE780" s="7" t="s">
        <v>178</v>
      </c>
      <c r="AF780">
        <v>37</v>
      </c>
      <c r="AG780">
        <v>0</v>
      </c>
      <c r="AH780">
        <v>0</v>
      </c>
      <c r="AI780">
        <v>127</v>
      </c>
    </row>
    <row r="781" spans="1:35" x14ac:dyDescent="0.35">
      <c r="A781" t="s">
        <v>192</v>
      </c>
      <c r="B781" t="s">
        <v>24</v>
      </c>
      <c r="C781" t="s">
        <v>33</v>
      </c>
      <c r="D781" t="s">
        <v>34</v>
      </c>
      <c r="E781" t="s">
        <v>309</v>
      </c>
      <c r="F781" t="s">
        <v>310</v>
      </c>
      <c r="G781" s="20" t="s">
        <v>38</v>
      </c>
      <c r="H781" s="20" t="s">
        <v>39</v>
      </c>
      <c r="I781" t="str">
        <f t="shared" si="17"/>
        <v>Apis mellifera</v>
      </c>
      <c r="J781" t="s">
        <v>70</v>
      </c>
      <c r="K781" t="s">
        <v>332</v>
      </c>
      <c r="L781" t="s">
        <v>275</v>
      </c>
      <c r="M781" t="s">
        <v>157</v>
      </c>
      <c r="N781">
        <v>747</v>
      </c>
      <c r="O781" t="s">
        <v>155</v>
      </c>
      <c r="P781" t="s">
        <v>222</v>
      </c>
      <c r="Q781" s="6">
        <v>45208</v>
      </c>
      <c r="R781">
        <v>0</v>
      </c>
      <c r="U781" t="s">
        <v>225</v>
      </c>
      <c r="AE781" s="7" t="s">
        <v>177</v>
      </c>
      <c r="AF781">
        <v>37</v>
      </c>
      <c r="AG781">
        <v>0</v>
      </c>
      <c r="AH781">
        <v>0</v>
      </c>
      <c r="AI781">
        <v>128</v>
      </c>
    </row>
    <row r="782" spans="1:35" x14ac:dyDescent="0.35">
      <c r="A782" t="s">
        <v>192</v>
      </c>
      <c r="B782" t="s">
        <v>24</v>
      </c>
      <c r="C782" t="s">
        <v>33</v>
      </c>
      <c r="D782" t="s">
        <v>34</v>
      </c>
      <c r="E782" t="s">
        <v>309</v>
      </c>
      <c r="F782" t="s">
        <v>310</v>
      </c>
      <c r="G782" s="20" t="s">
        <v>38</v>
      </c>
      <c r="H782" s="20" t="s">
        <v>39</v>
      </c>
      <c r="I782" t="str">
        <f t="shared" si="17"/>
        <v>Apis mellifera</v>
      </c>
      <c r="J782" t="s">
        <v>70</v>
      </c>
      <c r="K782" t="s">
        <v>332</v>
      </c>
      <c r="L782" t="s">
        <v>275</v>
      </c>
      <c r="M782" t="s">
        <v>157</v>
      </c>
      <c r="N782">
        <v>748</v>
      </c>
      <c r="O782" t="s">
        <v>155</v>
      </c>
      <c r="P782" t="s">
        <v>222</v>
      </c>
      <c r="Q782" s="6">
        <v>45208</v>
      </c>
      <c r="U782" t="s">
        <v>225</v>
      </c>
      <c r="AE782" s="7"/>
      <c r="AF782">
        <v>37</v>
      </c>
      <c r="AG782">
        <v>0</v>
      </c>
      <c r="AH782">
        <v>0</v>
      </c>
      <c r="AI782">
        <v>129</v>
      </c>
    </row>
    <row r="783" spans="1:35" x14ac:dyDescent="0.35">
      <c r="A783" t="s">
        <v>192</v>
      </c>
      <c r="B783" t="s">
        <v>24</v>
      </c>
      <c r="C783" t="s">
        <v>33</v>
      </c>
      <c r="D783" t="s">
        <v>34</v>
      </c>
      <c r="E783" t="s">
        <v>309</v>
      </c>
      <c r="F783" t="s">
        <v>310</v>
      </c>
      <c r="G783" s="20" t="s">
        <v>38</v>
      </c>
      <c r="H783" s="20" t="s">
        <v>39</v>
      </c>
      <c r="I783" t="str">
        <f t="shared" si="17"/>
        <v>Apis mellifera</v>
      </c>
      <c r="J783" t="s">
        <v>70</v>
      </c>
      <c r="K783" t="s">
        <v>332</v>
      </c>
      <c r="L783" t="s">
        <v>275</v>
      </c>
      <c r="M783" t="s">
        <v>157</v>
      </c>
      <c r="N783">
        <v>749</v>
      </c>
      <c r="O783" t="s">
        <v>155</v>
      </c>
      <c r="P783" t="s">
        <v>222</v>
      </c>
      <c r="Q783" s="6">
        <v>45208</v>
      </c>
      <c r="U783" t="s">
        <v>225</v>
      </c>
      <c r="AE783" s="7"/>
      <c r="AF783">
        <v>37</v>
      </c>
      <c r="AG783">
        <v>0</v>
      </c>
      <c r="AH783">
        <v>0</v>
      </c>
      <c r="AI783">
        <v>130</v>
      </c>
    </row>
    <row r="784" spans="1:35" x14ac:dyDescent="0.35">
      <c r="A784" t="s">
        <v>192</v>
      </c>
      <c r="B784" t="s">
        <v>24</v>
      </c>
      <c r="C784" t="s">
        <v>33</v>
      </c>
      <c r="D784" t="s">
        <v>34</v>
      </c>
      <c r="E784" t="s">
        <v>309</v>
      </c>
      <c r="F784" t="s">
        <v>310</v>
      </c>
      <c r="G784" s="20" t="s">
        <v>38</v>
      </c>
      <c r="H784" s="20" t="s">
        <v>39</v>
      </c>
      <c r="I784" t="str">
        <f t="shared" si="17"/>
        <v>Apis mellifera</v>
      </c>
      <c r="J784" t="s">
        <v>70</v>
      </c>
      <c r="K784" t="s">
        <v>332</v>
      </c>
      <c r="L784" t="s">
        <v>275</v>
      </c>
      <c r="M784" t="s">
        <v>157</v>
      </c>
      <c r="N784">
        <v>750</v>
      </c>
      <c r="O784" t="s">
        <v>155</v>
      </c>
      <c r="P784" t="s">
        <v>222</v>
      </c>
      <c r="Q784" s="6">
        <v>45208</v>
      </c>
      <c r="U784" t="s">
        <v>225</v>
      </c>
      <c r="AE784" s="7"/>
      <c r="AF784">
        <v>37</v>
      </c>
      <c r="AG784">
        <v>0</v>
      </c>
      <c r="AH784">
        <v>0</v>
      </c>
      <c r="AI784">
        <v>131</v>
      </c>
    </row>
    <row r="785" spans="1:35" x14ac:dyDescent="0.35">
      <c r="A785" t="s">
        <v>192</v>
      </c>
      <c r="B785" t="s">
        <v>24</v>
      </c>
      <c r="C785" t="s">
        <v>33</v>
      </c>
      <c r="D785" t="s">
        <v>34</v>
      </c>
      <c r="E785" t="s">
        <v>309</v>
      </c>
      <c r="F785" t="s">
        <v>310</v>
      </c>
      <c r="G785" s="20" t="s">
        <v>38</v>
      </c>
      <c r="H785" s="20" t="s">
        <v>39</v>
      </c>
      <c r="I785" t="str">
        <f t="shared" si="17"/>
        <v>Apis mellifera</v>
      </c>
      <c r="J785" t="s">
        <v>70</v>
      </c>
      <c r="K785" t="s">
        <v>332</v>
      </c>
      <c r="L785" t="s">
        <v>275</v>
      </c>
      <c r="M785" t="s">
        <v>157</v>
      </c>
      <c r="N785">
        <v>751</v>
      </c>
      <c r="O785" t="s">
        <v>155</v>
      </c>
      <c r="P785" t="s">
        <v>222</v>
      </c>
      <c r="Q785" s="6">
        <v>45208</v>
      </c>
      <c r="U785" t="s">
        <v>225</v>
      </c>
      <c r="AE785" s="7"/>
      <c r="AF785">
        <v>37</v>
      </c>
      <c r="AG785">
        <v>0</v>
      </c>
      <c r="AH785">
        <v>0</v>
      </c>
      <c r="AI785">
        <v>132</v>
      </c>
    </row>
    <row r="786" spans="1:35" x14ac:dyDescent="0.35">
      <c r="A786" t="s">
        <v>192</v>
      </c>
      <c r="B786" t="s">
        <v>24</v>
      </c>
      <c r="C786" t="s">
        <v>33</v>
      </c>
      <c r="D786" t="s">
        <v>34</v>
      </c>
      <c r="E786" t="s">
        <v>309</v>
      </c>
      <c r="F786" t="s">
        <v>310</v>
      </c>
      <c r="G786" s="20" t="s">
        <v>38</v>
      </c>
      <c r="H786" s="20" t="s">
        <v>39</v>
      </c>
      <c r="I786" t="str">
        <f t="shared" si="17"/>
        <v>Apis mellifera</v>
      </c>
      <c r="J786" t="s">
        <v>70</v>
      </c>
      <c r="K786" t="s">
        <v>332</v>
      </c>
      <c r="L786" t="s">
        <v>275</v>
      </c>
      <c r="M786" t="s">
        <v>157</v>
      </c>
      <c r="N786">
        <v>752</v>
      </c>
      <c r="O786" t="s">
        <v>155</v>
      </c>
      <c r="P786" t="s">
        <v>222</v>
      </c>
      <c r="Q786" s="6">
        <v>45208</v>
      </c>
      <c r="R786">
        <v>0</v>
      </c>
      <c r="U786" t="s">
        <v>225</v>
      </c>
      <c r="AE786" s="7" t="s">
        <v>177</v>
      </c>
      <c r="AF786">
        <v>37</v>
      </c>
      <c r="AG786">
        <v>0</v>
      </c>
      <c r="AH786">
        <v>0</v>
      </c>
      <c r="AI786">
        <v>133</v>
      </c>
    </row>
    <row r="787" spans="1:35" x14ac:dyDescent="0.35">
      <c r="A787" t="s">
        <v>192</v>
      </c>
      <c r="B787" t="s">
        <v>24</v>
      </c>
      <c r="C787" t="s">
        <v>33</v>
      </c>
      <c r="D787" t="s">
        <v>34</v>
      </c>
      <c r="E787" t="s">
        <v>309</v>
      </c>
      <c r="F787" t="s">
        <v>310</v>
      </c>
      <c r="G787" s="20" t="s">
        <v>38</v>
      </c>
      <c r="H787" s="20" t="s">
        <v>39</v>
      </c>
      <c r="I787" t="str">
        <f t="shared" si="17"/>
        <v>Apis mellifera</v>
      </c>
      <c r="J787" t="s">
        <v>70</v>
      </c>
      <c r="K787" t="s">
        <v>332</v>
      </c>
      <c r="L787" t="s">
        <v>275</v>
      </c>
      <c r="M787" t="s">
        <v>157</v>
      </c>
      <c r="N787">
        <v>753</v>
      </c>
      <c r="O787" t="s">
        <v>155</v>
      </c>
      <c r="P787" t="s">
        <v>222</v>
      </c>
      <c r="Q787" s="6">
        <v>45208</v>
      </c>
      <c r="R787">
        <v>0</v>
      </c>
      <c r="U787" t="s">
        <v>225</v>
      </c>
      <c r="AE787" s="7" t="s">
        <v>177</v>
      </c>
      <c r="AF787">
        <v>37</v>
      </c>
      <c r="AG787">
        <v>0</v>
      </c>
      <c r="AH787">
        <v>0</v>
      </c>
      <c r="AI787">
        <v>134</v>
      </c>
    </row>
    <row r="788" spans="1:35" x14ac:dyDescent="0.35">
      <c r="A788" t="s">
        <v>192</v>
      </c>
      <c r="B788" t="s">
        <v>24</v>
      </c>
      <c r="C788" t="s">
        <v>33</v>
      </c>
      <c r="D788" t="s">
        <v>34</v>
      </c>
      <c r="E788" t="s">
        <v>309</v>
      </c>
      <c r="F788" t="s">
        <v>310</v>
      </c>
      <c r="G788" s="20" t="s">
        <v>38</v>
      </c>
      <c r="H788" s="20" t="s">
        <v>39</v>
      </c>
      <c r="I788" t="str">
        <f t="shared" si="17"/>
        <v>Apis mellifera</v>
      </c>
      <c r="J788" t="s">
        <v>70</v>
      </c>
      <c r="K788" t="s">
        <v>332</v>
      </c>
      <c r="L788" t="s">
        <v>275</v>
      </c>
      <c r="M788" t="s">
        <v>157</v>
      </c>
      <c r="N788">
        <v>754</v>
      </c>
      <c r="O788" t="s">
        <v>155</v>
      </c>
      <c r="P788" t="s">
        <v>222</v>
      </c>
      <c r="Q788" s="6">
        <v>45208</v>
      </c>
      <c r="R788">
        <v>0</v>
      </c>
      <c r="S788" s="13" t="s">
        <v>166</v>
      </c>
      <c r="T788" t="s">
        <v>72</v>
      </c>
      <c r="U788" t="s">
        <v>271</v>
      </c>
      <c r="AD788">
        <v>1</v>
      </c>
      <c r="AE788" s="7" t="s">
        <v>177</v>
      </c>
      <c r="AF788">
        <v>34</v>
      </c>
      <c r="AG788">
        <v>0</v>
      </c>
      <c r="AH788">
        <v>0</v>
      </c>
      <c r="AI788">
        <v>135</v>
      </c>
    </row>
    <row r="789" spans="1:35" x14ac:dyDescent="0.35">
      <c r="A789" t="s">
        <v>192</v>
      </c>
      <c r="B789" t="s">
        <v>24</v>
      </c>
      <c r="C789" t="s">
        <v>33</v>
      </c>
      <c r="D789" t="s">
        <v>34</v>
      </c>
      <c r="E789" t="s">
        <v>309</v>
      </c>
      <c r="F789" t="s">
        <v>310</v>
      </c>
      <c r="G789" s="20" t="s">
        <v>38</v>
      </c>
      <c r="H789" s="20" t="s">
        <v>39</v>
      </c>
      <c r="I789" t="str">
        <f t="shared" si="17"/>
        <v>Apis mellifera</v>
      </c>
      <c r="J789" t="s">
        <v>70</v>
      </c>
      <c r="K789" t="s">
        <v>332</v>
      </c>
      <c r="L789" t="s">
        <v>275</v>
      </c>
      <c r="M789" t="s">
        <v>157</v>
      </c>
      <c r="N789">
        <v>755</v>
      </c>
      <c r="O789" t="s">
        <v>155</v>
      </c>
      <c r="P789" t="s">
        <v>222</v>
      </c>
      <c r="Q789" s="6">
        <v>45208</v>
      </c>
      <c r="S789" s="3" t="s">
        <v>166</v>
      </c>
      <c r="T789" t="s">
        <v>72</v>
      </c>
      <c r="U789" t="s">
        <v>271</v>
      </c>
      <c r="AD789">
        <v>3</v>
      </c>
      <c r="AE789" s="7" t="s">
        <v>177</v>
      </c>
      <c r="AF789">
        <v>36</v>
      </c>
      <c r="AG789">
        <v>0</v>
      </c>
      <c r="AH789">
        <v>0</v>
      </c>
      <c r="AI789">
        <v>136</v>
      </c>
    </row>
    <row r="790" spans="1:35" x14ac:dyDescent="0.35">
      <c r="A790" t="s">
        <v>192</v>
      </c>
      <c r="B790" t="s">
        <v>24</v>
      </c>
      <c r="C790" t="s">
        <v>33</v>
      </c>
      <c r="D790" t="s">
        <v>34</v>
      </c>
      <c r="E790" t="s">
        <v>309</v>
      </c>
      <c r="F790" t="s">
        <v>310</v>
      </c>
      <c r="G790" s="20" t="s">
        <v>38</v>
      </c>
      <c r="H790" s="20" t="s">
        <v>39</v>
      </c>
      <c r="I790" t="str">
        <f t="shared" si="17"/>
        <v>Apis mellifera</v>
      </c>
      <c r="J790" t="s">
        <v>70</v>
      </c>
      <c r="K790" t="s">
        <v>332</v>
      </c>
      <c r="L790" t="s">
        <v>275</v>
      </c>
      <c r="M790" t="s">
        <v>157</v>
      </c>
      <c r="N790">
        <v>756</v>
      </c>
      <c r="O790" t="s">
        <v>155</v>
      </c>
      <c r="P790" t="s">
        <v>222</v>
      </c>
      <c r="Q790" s="6">
        <v>45208</v>
      </c>
      <c r="S790" s="3" t="s">
        <v>166</v>
      </c>
      <c r="T790" t="s">
        <v>72</v>
      </c>
      <c r="U790" t="s">
        <v>271</v>
      </c>
      <c r="AD790">
        <v>1</v>
      </c>
      <c r="AE790" s="7" t="s">
        <v>178</v>
      </c>
      <c r="AF790">
        <v>36</v>
      </c>
      <c r="AG790">
        <v>0</v>
      </c>
      <c r="AH790">
        <v>0</v>
      </c>
      <c r="AI790">
        <v>137</v>
      </c>
    </row>
    <row r="791" spans="1:35" x14ac:dyDescent="0.35">
      <c r="A791" t="s">
        <v>192</v>
      </c>
      <c r="B791" t="s">
        <v>24</v>
      </c>
      <c r="C791" t="s">
        <v>33</v>
      </c>
      <c r="D791" t="s">
        <v>34</v>
      </c>
      <c r="E791" t="s">
        <v>309</v>
      </c>
      <c r="F791" t="s">
        <v>310</v>
      </c>
      <c r="G791" s="20" t="s">
        <v>38</v>
      </c>
      <c r="H791" s="20" t="s">
        <v>39</v>
      </c>
      <c r="I791" t="str">
        <f t="shared" si="17"/>
        <v>Apis mellifera</v>
      </c>
      <c r="J791" t="s">
        <v>70</v>
      </c>
      <c r="K791" t="s">
        <v>332</v>
      </c>
      <c r="L791" t="s">
        <v>275</v>
      </c>
      <c r="M791" t="s">
        <v>157</v>
      </c>
      <c r="N791">
        <v>757</v>
      </c>
      <c r="O791" t="s">
        <v>155</v>
      </c>
      <c r="P791" t="s">
        <v>222</v>
      </c>
      <c r="Q791" s="6">
        <v>45208</v>
      </c>
      <c r="S791" t="s">
        <v>166</v>
      </c>
      <c r="T791" t="s">
        <v>72</v>
      </c>
      <c r="U791" t="s">
        <v>271</v>
      </c>
      <c r="AD791">
        <v>1</v>
      </c>
      <c r="AE791" s="7"/>
      <c r="AF791">
        <v>36</v>
      </c>
      <c r="AG791">
        <v>0</v>
      </c>
      <c r="AH791">
        <v>0</v>
      </c>
      <c r="AI791">
        <v>138</v>
      </c>
    </row>
    <row r="792" spans="1:35" x14ac:dyDescent="0.35">
      <c r="A792" t="s">
        <v>192</v>
      </c>
      <c r="B792" t="s">
        <v>24</v>
      </c>
      <c r="C792" t="s">
        <v>33</v>
      </c>
      <c r="D792" t="s">
        <v>34</v>
      </c>
      <c r="E792" t="s">
        <v>309</v>
      </c>
      <c r="F792" t="s">
        <v>310</v>
      </c>
      <c r="G792" s="20" t="s">
        <v>38</v>
      </c>
      <c r="H792" s="20" t="s">
        <v>39</v>
      </c>
      <c r="I792" t="str">
        <f t="shared" si="17"/>
        <v>Apis mellifera</v>
      </c>
      <c r="J792" t="s">
        <v>70</v>
      </c>
      <c r="K792" t="s">
        <v>332</v>
      </c>
      <c r="L792" t="s">
        <v>275</v>
      </c>
      <c r="M792" t="s">
        <v>157</v>
      </c>
      <c r="N792">
        <v>758</v>
      </c>
      <c r="O792" t="s">
        <v>155</v>
      </c>
      <c r="P792" t="s">
        <v>222</v>
      </c>
      <c r="Q792" s="6">
        <v>45208</v>
      </c>
      <c r="S792" t="s">
        <v>166</v>
      </c>
      <c r="T792" t="s">
        <v>72</v>
      </c>
      <c r="U792" t="s">
        <v>271</v>
      </c>
      <c r="AD792">
        <v>1</v>
      </c>
      <c r="AE792" s="7"/>
      <c r="AF792">
        <v>36</v>
      </c>
      <c r="AG792">
        <v>0</v>
      </c>
      <c r="AH792">
        <v>0</v>
      </c>
      <c r="AI792">
        <v>139</v>
      </c>
    </row>
    <row r="793" spans="1:35" x14ac:dyDescent="0.35">
      <c r="A793" t="s">
        <v>192</v>
      </c>
      <c r="B793" t="s">
        <v>24</v>
      </c>
      <c r="C793" t="s">
        <v>33</v>
      </c>
      <c r="D793" t="s">
        <v>34</v>
      </c>
      <c r="E793" t="s">
        <v>309</v>
      </c>
      <c r="F793" t="s">
        <v>310</v>
      </c>
      <c r="G793" s="20" t="s">
        <v>38</v>
      </c>
      <c r="H793" s="20" t="s">
        <v>39</v>
      </c>
      <c r="I793" t="str">
        <f t="shared" si="17"/>
        <v>Apis mellifera</v>
      </c>
      <c r="J793" t="s">
        <v>70</v>
      </c>
      <c r="K793" t="s">
        <v>332</v>
      </c>
      <c r="L793" t="s">
        <v>275</v>
      </c>
      <c r="M793" t="s">
        <v>157</v>
      </c>
      <c r="N793">
        <v>759</v>
      </c>
      <c r="O793" t="s">
        <v>155</v>
      </c>
      <c r="P793" t="s">
        <v>222</v>
      </c>
      <c r="Q793" s="6">
        <v>45208</v>
      </c>
      <c r="U793" t="s">
        <v>225</v>
      </c>
      <c r="AE793" s="7"/>
      <c r="AF793">
        <v>36</v>
      </c>
      <c r="AG793">
        <v>0</v>
      </c>
      <c r="AH793">
        <v>0</v>
      </c>
      <c r="AI793">
        <v>140</v>
      </c>
    </row>
    <row r="794" spans="1:35" x14ac:dyDescent="0.35">
      <c r="A794" t="s">
        <v>192</v>
      </c>
      <c r="B794" t="s">
        <v>24</v>
      </c>
      <c r="C794" t="s">
        <v>33</v>
      </c>
      <c r="D794" t="s">
        <v>34</v>
      </c>
      <c r="E794" t="s">
        <v>309</v>
      </c>
      <c r="F794" t="s">
        <v>310</v>
      </c>
      <c r="G794" s="20" t="s">
        <v>38</v>
      </c>
      <c r="H794" s="20" t="s">
        <v>39</v>
      </c>
      <c r="I794" t="str">
        <f t="shared" si="17"/>
        <v>Apis mellifera</v>
      </c>
      <c r="J794" t="s">
        <v>70</v>
      </c>
      <c r="K794" t="s">
        <v>332</v>
      </c>
      <c r="L794" t="s">
        <v>275</v>
      </c>
      <c r="M794" t="s">
        <v>157</v>
      </c>
      <c r="N794">
        <v>761</v>
      </c>
      <c r="O794" t="s">
        <v>155</v>
      </c>
      <c r="P794" t="s">
        <v>222</v>
      </c>
      <c r="Q794" s="6">
        <v>45208</v>
      </c>
      <c r="R794">
        <v>1</v>
      </c>
      <c r="U794" t="s">
        <v>225</v>
      </c>
      <c r="AE794" s="7" t="s">
        <v>179</v>
      </c>
      <c r="AF794">
        <v>36</v>
      </c>
      <c r="AG794">
        <v>0</v>
      </c>
      <c r="AH794">
        <v>0</v>
      </c>
      <c r="AI794">
        <v>141</v>
      </c>
    </row>
    <row r="795" spans="1:35" x14ac:dyDescent="0.35">
      <c r="A795" t="s">
        <v>192</v>
      </c>
      <c r="B795" t="s">
        <v>24</v>
      </c>
      <c r="C795" t="s">
        <v>33</v>
      </c>
      <c r="D795" t="s">
        <v>34</v>
      </c>
      <c r="E795" t="s">
        <v>309</v>
      </c>
      <c r="F795" t="s">
        <v>310</v>
      </c>
      <c r="G795" s="20" t="s">
        <v>38</v>
      </c>
      <c r="H795" s="20" t="s">
        <v>39</v>
      </c>
      <c r="I795" t="str">
        <f t="shared" si="17"/>
        <v>Apis mellifera</v>
      </c>
      <c r="J795" t="s">
        <v>70</v>
      </c>
      <c r="K795" t="s">
        <v>332</v>
      </c>
      <c r="L795" t="s">
        <v>275</v>
      </c>
      <c r="M795" t="s">
        <v>157</v>
      </c>
      <c r="N795">
        <v>762</v>
      </c>
      <c r="O795" t="s">
        <v>155</v>
      </c>
      <c r="P795" t="s">
        <v>222</v>
      </c>
      <c r="Q795" s="6">
        <v>45208</v>
      </c>
      <c r="U795" t="s">
        <v>225</v>
      </c>
      <c r="AD795">
        <v>2</v>
      </c>
      <c r="AE795" s="7" t="s">
        <v>178</v>
      </c>
      <c r="AF795">
        <v>36</v>
      </c>
      <c r="AG795">
        <v>0</v>
      </c>
      <c r="AH795">
        <v>0</v>
      </c>
      <c r="AI795">
        <v>142</v>
      </c>
    </row>
    <row r="796" spans="1:35" x14ac:dyDescent="0.35">
      <c r="A796" t="s">
        <v>192</v>
      </c>
      <c r="B796" t="s">
        <v>24</v>
      </c>
      <c r="C796" t="s">
        <v>33</v>
      </c>
      <c r="D796" t="s">
        <v>34</v>
      </c>
      <c r="E796" t="s">
        <v>309</v>
      </c>
      <c r="F796" t="s">
        <v>310</v>
      </c>
      <c r="G796" s="20" t="s">
        <v>38</v>
      </c>
      <c r="H796" s="20" t="s">
        <v>39</v>
      </c>
      <c r="I796" t="str">
        <f t="shared" si="17"/>
        <v>Apis mellifera</v>
      </c>
      <c r="J796" t="s">
        <v>70</v>
      </c>
      <c r="K796" t="s">
        <v>332</v>
      </c>
      <c r="L796" t="s">
        <v>275</v>
      </c>
      <c r="M796" t="s">
        <v>157</v>
      </c>
      <c r="N796">
        <v>763</v>
      </c>
      <c r="O796" t="s">
        <v>155</v>
      </c>
      <c r="P796" t="s">
        <v>222</v>
      </c>
      <c r="Q796" s="6">
        <v>45208</v>
      </c>
      <c r="U796" t="s">
        <v>225</v>
      </c>
      <c r="AE796" s="7" t="s">
        <v>179</v>
      </c>
      <c r="AF796">
        <v>36</v>
      </c>
      <c r="AG796">
        <v>0</v>
      </c>
      <c r="AH796">
        <v>0</v>
      </c>
      <c r="AI796">
        <v>143</v>
      </c>
    </row>
    <row r="797" spans="1:35" x14ac:dyDescent="0.35">
      <c r="A797" t="s">
        <v>192</v>
      </c>
      <c r="B797" t="s">
        <v>24</v>
      </c>
      <c r="C797" t="s">
        <v>33</v>
      </c>
      <c r="D797" t="s">
        <v>34</v>
      </c>
      <c r="E797" t="s">
        <v>309</v>
      </c>
      <c r="F797" t="s">
        <v>310</v>
      </c>
      <c r="G797" s="20" t="s">
        <v>38</v>
      </c>
      <c r="H797" s="20" t="s">
        <v>39</v>
      </c>
      <c r="I797" t="str">
        <f t="shared" si="17"/>
        <v>Apis mellifera</v>
      </c>
      <c r="J797" t="s">
        <v>70</v>
      </c>
      <c r="K797" t="s">
        <v>332</v>
      </c>
      <c r="L797" t="s">
        <v>275</v>
      </c>
      <c r="M797" t="s">
        <v>157</v>
      </c>
      <c r="N797">
        <v>764</v>
      </c>
      <c r="O797" t="s">
        <v>155</v>
      </c>
      <c r="P797" t="s">
        <v>222</v>
      </c>
      <c r="Q797" s="6">
        <v>45208</v>
      </c>
      <c r="U797" t="s">
        <v>225</v>
      </c>
      <c r="AD797">
        <v>1</v>
      </c>
      <c r="AE797" s="7" t="s">
        <v>179</v>
      </c>
      <c r="AF797">
        <v>36</v>
      </c>
      <c r="AG797">
        <v>0</v>
      </c>
      <c r="AH797">
        <v>0</v>
      </c>
      <c r="AI797">
        <v>144</v>
      </c>
    </row>
    <row r="798" spans="1:35" x14ac:dyDescent="0.35">
      <c r="A798" t="s">
        <v>192</v>
      </c>
      <c r="B798" t="s">
        <v>24</v>
      </c>
      <c r="C798" t="s">
        <v>33</v>
      </c>
      <c r="D798" t="s">
        <v>34</v>
      </c>
      <c r="E798" t="s">
        <v>309</v>
      </c>
      <c r="F798" t="s">
        <v>310</v>
      </c>
      <c r="G798" s="20" t="s">
        <v>38</v>
      </c>
      <c r="H798" s="20" t="s">
        <v>39</v>
      </c>
      <c r="I798" t="str">
        <f t="shared" si="17"/>
        <v>Apis mellifera</v>
      </c>
      <c r="J798" t="s">
        <v>70</v>
      </c>
      <c r="K798" t="s">
        <v>332</v>
      </c>
      <c r="L798" t="s">
        <v>275</v>
      </c>
      <c r="M798" t="s">
        <v>157</v>
      </c>
      <c r="N798">
        <v>766</v>
      </c>
      <c r="O798" t="s">
        <v>155</v>
      </c>
      <c r="P798" t="s">
        <v>222</v>
      </c>
      <c r="Q798" s="6">
        <v>45208</v>
      </c>
      <c r="R798">
        <v>1</v>
      </c>
      <c r="U798" t="s">
        <v>225</v>
      </c>
      <c r="AE798" s="7"/>
      <c r="AF798">
        <v>36</v>
      </c>
      <c r="AG798">
        <v>0</v>
      </c>
      <c r="AH798">
        <v>0</v>
      </c>
      <c r="AI798">
        <v>145</v>
      </c>
    </row>
    <row r="799" spans="1:35" x14ac:dyDescent="0.35">
      <c r="A799" t="s">
        <v>192</v>
      </c>
      <c r="B799" t="s">
        <v>24</v>
      </c>
      <c r="C799" t="s">
        <v>33</v>
      </c>
      <c r="D799" t="s">
        <v>34</v>
      </c>
      <c r="E799" t="s">
        <v>309</v>
      </c>
      <c r="F799" t="s">
        <v>310</v>
      </c>
      <c r="G799" s="20" t="s">
        <v>38</v>
      </c>
      <c r="H799" s="20" t="s">
        <v>39</v>
      </c>
      <c r="I799" t="str">
        <f t="shared" si="17"/>
        <v>Apis mellifera</v>
      </c>
      <c r="J799" t="s">
        <v>70</v>
      </c>
      <c r="K799" t="s">
        <v>332</v>
      </c>
      <c r="L799" t="s">
        <v>275</v>
      </c>
      <c r="M799" t="s">
        <v>157</v>
      </c>
      <c r="N799">
        <v>767</v>
      </c>
      <c r="O799" t="s">
        <v>155</v>
      </c>
      <c r="P799" t="s">
        <v>222</v>
      </c>
      <c r="Q799" s="6">
        <v>45208</v>
      </c>
      <c r="R799">
        <v>0</v>
      </c>
      <c r="U799" t="s">
        <v>225</v>
      </c>
      <c r="AD799">
        <v>4</v>
      </c>
      <c r="AE799" s="7" t="s">
        <v>178</v>
      </c>
      <c r="AF799">
        <v>36</v>
      </c>
      <c r="AG799">
        <v>0</v>
      </c>
      <c r="AH799">
        <v>0</v>
      </c>
      <c r="AI799">
        <v>146</v>
      </c>
    </row>
    <row r="800" spans="1:35" x14ac:dyDescent="0.35">
      <c r="A800" t="s">
        <v>192</v>
      </c>
      <c r="B800" t="s">
        <v>24</v>
      </c>
      <c r="C800" t="s">
        <v>33</v>
      </c>
      <c r="D800" t="s">
        <v>34</v>
      </c>
      <c r="E800" t="s">
        <v>309</v>
      </c>
      <c r="F800" t="s">
        <v>310</v>
      </c>
      <c r="G800" s="20" t="s">
        <v>38</v>
      </c>
      <c r="H800" s="20" t="s">
        <v>39</v>
      </c>
      <c r="I800" t="str">
        <f t="shared" si="17"/>
        <v>Apis mellifera</v>
      </c>
      <c r="J800" t="s">
        <v>70</v>
      </c>
      <c r="K800" t="s">
        <v>332</v>
      </c>
      <c r="L800" t="s">
        <v>275</v>
      </c>
      <c r="M800" t="s">
        <v>157</v>
      </c>
      <c r="N800">
        <v>768</v>
      </c>
      <c r="O800" t="s">
        <v>155</v>
      </c>
      <c r="P800" t="s">
        <v>222</v>
      </c>
      <c r="Q800" s="6">
        <v>45208</v>
      </c>
      <c r="R800">
        <v>1</v>
      </c>
      <c r="U800" t="s">
        <v>225</v>
      </c>
      <c r="AD800">
        <v>2</v>
      </c>
      <c r="AE800" s="7" t="s">
        <v>179</v>
      </c>
      <c r="AF800">
        <v>36</v>
      </c>
      <c r="AG800">
        <v>0</v>
      </c>
      <c r="AH800">
        <v>0</v>
      </c>
      <c r="AI800">
        <v>147</v>
      </c>
    </row>
    <row r="801" spans="1:35" x14ac:dyDescent="0.35">
      <c r="A801" t="s">
        <v>192</v>
      </c>
      <c r="B801" t="s">
        <v>24</v>
      </c>
      <c r="C801" t="s">
        <v>33</v>
      </c>
      <c r="D801" t="s">
        <v>34</v>
      </c>
      <c r="E801" t="s">
        <v>309</v>
      </c>
      <c r="F801" t="s">
        <v>310</v>
      </c>
      <c r="G801" s="20" t="s">
        <v>38</v>
      </c>
      <c r="H801" s="20" t="s">
        <v>39</v>
      </c>
      <c r="I801" t="str">
        <f t="shared" si="17"/>
        <v>Apis mellifera</v>
      </c>
      <c r="J801" t="s">
        <v>70</v>
      </c>
      <c r="K801" t="s">
        <v>332</v>
      </c>
      <c r="L801" t="s">
        <v>275</v>
      </c>
      <c r="M801" t="s">
        <v>157</v>
      </c>
      <c r="N801">
        <v>769</v>
      </c>
      <c r="O801" t="s">
        <v>155</v>
      </c>
      <c r="P801" t="s">
        <v>222</v>
      </c>
      <c r="Q801" s="6">
        <v>45208</v>
      </c>
      <c r="R801">
        <v>1</v>
      </c>
      <c r="U801" t="s">
        <v>225</v>
      </c>
      <c r="AD801">
        <v>2</v>
      </c>
      <c r="AE801" s="7" t="s">
        <v>179</v>
      </c>
      <c r="AF801">
        <v>36</v>
      </c>
      <c r="AG801">
        <v>0</v>
      </c>
      <c r="AH801">
        <v>0</v>
      </c>
      <c r="AI801">
        <v>148</v>
      </c>
    </row>
    <row r="802" spans="1:35" x14ac:dyDescent="0.35">
      <c r="A802" t="s">
        <v>192</v>
      </c>
      <c r="B802" t="s">
        <v>24</v>
      </c>
      <c r="C802" t="s">
        <v>33</v>
      </c>
      <c r="D802" t="s">
        <v>34</v>
      </c>
      <c r="E802" t="s">
        <v>309</v>
      </c>
      <c r="F802" t="s">
        <v>310</v>
      </c>
      <c r="G802" s="20" t="s">
        <v>38</v>
      </c>
      <c r="H802" s="20" t="s">
        <v>39</v>
      </c>
      <c r="I802" t="str">
        <f t="shared" si="17"/>
        <v>Apis mellifera</v>
      </c>
      <c r="J802" t="s">
        <v>70</v>
      </c>
      <c r="K802" t="s">
        <v>332</v>
      </c>
      <c r="L802" t="s">
        <v>275</v>
      </c>
      <c r="M802" t="s">
        <v>157</v>
      </c>
      <c r="N802">
        <v>771</v>
      </c>
      <c r="O802" t="s">
        <v>155</v>
      </c>
      <c r="P802" t="s">
        <v>222</v>
      </c>
      <c r="Q802" s="6">
        <v>45208</v>
      </c>
      <c r="R802">
        <v>1</v>
      </c>
      <c r="S802" t="s">
        <v>166</v>
      </c>
      <c r="T802" t="s">
        <v>72</v>
      </c>
      <c r="U802" t="s">
        <v>271</v>
      </c>
      <c r="AD802">
        <v>3</v>
      </c>
      <c r="AE802" s="7" t="s">
        <v>178</v>
      </c>
      <c r="AF802">
        <v>36</v>
      </c>
      <c r="AG802">
        <v>0</v>
      </c>
      <c r="AH802">
        <v>0</v>
      </c>
      <c r="AI802">
        <v>149</v>
      </c>
    </row>
    <row r="803" spans="1:35" x14ac:dyDescent="0.35">
      <c r="A803" t="s">
        <v>192</v>
      </c>
      <c r="B803" t="s">
        <v>24</v>
      </c>
      <c r="C803" t="s">
        <v>33</v>
      </c>
      <c r="D803" t="s">
        <v>34</v>
      </c>
      <c r="E803" t="s">
        <v>309</v>
      </c>
      <c r="F803" t="s">
        <v>310</v>
      </c>
      <c r="G803" s="20" t="s">
        <v>38</v>
      </c>
      <c r="H803" s="20" t="s">
        <v>39</v>
      </c>
      <c r="I803" t="str">
        <f t="shared" si="17"/>
        <v>Apis mellifera</v>
      </c>
      <c r="J803" t="s">
        <v>70</v>
      </c>
      <c r="K803" t="s">
        <v>332</v>
      </c>
      <c r="L803" t="s">
        <v>275</v>
      </c>
      <c r="M803" t="s">
        <v>157</v>
      </c>
      <c r="N803">
        <v>772</v>
      </c>
      <c r="O803" t="s">
        <v>155</v>
      </c>
      <c r="P803" t="s">
        <v>222</v>
      </c>
      <c r="Q803" s="6">
        <v>45208</v>
      </c>
      <c r="R803">
        <v>1</v>
      </c>
      <c r="U803" t="s">
        <v>225</v>
      </c>
      <c r="AD803">
        <v>1</v>
      </c>
      <c r="AE803" s="7" t="s">
        <v>178</v>
      </c>
      <c r="AF803">
        <v>36</v>
      </c>
      <c r="AG803">
        <v>0</v>
      </c>
      <c r="AH803">
        <v>0</v>
      </c>
      <c r="AI803">
        <v>150</v>
      </c>
    </row>
    <row r="804" spans="1:35" x14ac:dyDescent="0.35">
      <c r="A804" t="s">
        <v>192</v>
      </c>
      <c r="B804" t="s">
        <v>24</v>
      </c>
      <c r="C804" t="s">
        <v>33</v>
      </c>
      <c r="D804" t="s">
        <v>34</v>
      </c>
      <c r="E804" t="s">
        <v>309</v>
      </c>
      <c r="F804" t="s">
        <v>310</v>
      </c>
      <c r="G804" s="20" t="s">
        <v>38</v>
      </c>
      <c r="H804" s="20" t="s">
        <v>39</v>
      </c>
      <c r="I804" t="str">
        <f t="shared" si="17"/>
        <v>Apis mellifera</v>
      </c>
      <c r="J804" t="s">
        <v>70</v>
      </c>
      <c r="K804" t="s">
        <v>332</v>
      </c>
      <c r="L804" t="s">
        <v>275</v>
      </c>
      <c r="M804" t="s">
        <v>157</v>
      </c>
      <c r="N804">
        <v>773</v>
      </c>
      <c r="O804" t="s">
        <v>155</v>
      </c>
      <c r="P804" t="s">
        <v>222</v>
      </c>
      <c r="Q804" s="6">
        <v>45208</v>
      </c>
      <c r="R804">
        <v>1</v>
      </c>
      <c r="U804" t="s">
        <v>225</v>
      </c>
      <c r="AD804">
        <v>3</v>
      </c>
      <c r="AE804" s="7" t="s">
        <v>178</v>
      </c>
      <c r="AF804">
        <v>36</v>
      </c>
      <c r="AG804">
        <v>0</v>
      </c>
      <c r="AH804">
        <v>0</v>
      </c>
      <c r="AI804">
        <v>151</v>
      </c>
    </row>
    <row r="805" spans="1:35" x14ac:dyDescent="0.35">
      <c r="A805" t="s">
        <v>192</v>
      </c>
      <c r="B805" t="s">
        <v>24</v>
      </c>
      <c r="C805" t="s">
        <v>33</v>
      </c>
      <c r="D805" t="s">
        <v>34</v>
      </c>
      <c r="E805" t="s">
        <v>309</v>
      </c>
      <c r="F805" t="s">
        <v>310</v>
      </c>
      <c r="G805" s="20" t="s">
        <v>38</v>
      </c>
      <c r="H805" s="20" t="s">
        <v>39</v>
      </c>
      <c r="I805" t="str">
        <f t="shared" si="17"/>
        <v>Apis mellifera</v>
      </c>
      <c r="J805" t="s">
        <v>70</v>
      </c>
      <c r="K805" t="s">
        <v>332</v>
      </c>
      <c r="L805" t="s">
        <v>275</v>
      </c>
      <c r="M805" t="s">
        <v>157</v>
      </c>
      <c r="N805">
        <v>774</v>
      </c>
      <c r="O805" t="s">
        <v>155</v>
      </c>
      <c r="P805" t="s">
        <v>222</v>
      </c>
      <c r="Q805" s="6">
        <v>45208</v>
      </c>
      <c r="R805">
        <v>1</v>
      </c>
      <c r="U805" t="s">
        <v>225</v>
      </c>
      <c r="AE805" s="7"/>
      <c r="AF805">
        <v>36</v>
      </c>
      <c r="AG805">
        <v>0</v>
      </c>
      <c r="AH805">
        <v>0</v>
      </c>
      <c r="AI805">
        <v>152</v>
      </c>
    </row>
    <row r="806" spans="1:35" x14ac:dyDescent="0.35">
      <c r="A806" t="s">
        <v>192</v>
      </c>
      <c r="B806" t="s">
        <v>24</v>
      </c>
      <c r="C806" t="s">
        <v>33</v>
      </c>
      <c r="D806" t="s">
        <v>34</v>
      </c>
      <c r="E806" t="s">
        <v>309</v>
      </c>
      <c r="F806" t="s">
        <v>310</v>
      </c>
      <c r="G806" s="20" t="s">
        <v>38</v>
      </c>
      <c r="H806" s="20" t="s">
        <v>39</v>
      </c>
      <c r="I806" t="str">
        <f t="shared" ref="I806:I869" si="18">G806&amp;" "&amp;H806</f>
        <v>Apis mellifera</v>
      </c>
      <c r="J806" t="s">
        <v>70</v>
      </c>
      <c r="K806" t="s">
        <v>332</v>
      </c>
      <c r="L806" t="s">
        <v>275</v>
      </c>
      <c r="M806" t="s">
        <v>157</v>
      </c>
      <c r="N806">
        <v>775</v>
      </c>
      <c r="O806" t="s">
        <v>155</v>
      </c>
      <c r="P806" t="s">
        <v>222</v>
      </c>
      <c r="Q806" s="6">
        <v>45208</v>
      </c>
      <c r="R806">
        <v>1</v>
      </c>
      <c r="U806" t="s">
        <v>225</v>
      </c>
      <c r="AD806">
        <v>1</v>
      </c>
      <c r="AE806" s="7" t="s">
        <v>179</v>
      </c>
      <c r="AF806">
        <v>36</v>
      </c>
      <c r="AG806">
        <v>0</v>
      </c>
      <c r="AH806">
        <v>0</v>
      </c>
      <c r="AI806">
        <v>153</v>
      </c>
    </row>
    <row r="807" spans="1:35" x14ac:dyDescent="0.35">
      <c r="A807" t="s">
        <v>192</v>
      </c>
      <c r="B807" t="s">
        <v>24</v>
      </c>
      <c r="C807" t="s">
        <v>33</v>
      </c>
      <c r="D807" t="s">
        <v>34</v>
      </c>
      <c r="E807" t="s">
        <v>309</v>
      </c>
      <c r="F807" t="s">
        <v>310</v>
      </c>
      <c r="G807" s="20" t="s">
        <v>38</v>
      </c>
      <c r="H807" s="20" t="s">
        <v>39</v>
      </c>
      <c r="I807" t="str">
        <f t="shared" si="18"/>
        <v>Apis mellifera</v>
      </c>
      <c r="J807" t="s">
        <v>70</v>
      </c>
      <c r="K807" t="s">
        <v>332</v>
      </c>
      <c r="L807" t="s">
        <v>275</v>
      </c>
      <c r="M807" t="s">
        <v>157</v>
      </c>
      <c r="N807">
        <v>776</v>
      </c>
      <c r="O807" t="s">
        <v>155</v>
      </c>
      <c r="P807" t="s">
        <v>222</v>
      </c>
      <c r="Q807" s="6">
        <v>45208</v>
      </c>
      <c r="R807">
        <v>1</v>
      </c>
      <c r="U807" t="s">
        <v>225</v>
      </c>
      <c r="AD807">
        <v>2</v>
      </c>
      <c r="AE807" s="7" t="s">
        <v>177</v>
      </c>
      <c r="AF807">
        <v>36</v>
      </c>
      <c r="AG807">
        <v>0</v>
      </c>
      <c r="AH807">
        <v>0</v>
      </c>
      <c r="AI807">
        <v>154</v>
      </c>
    </row>
    <row r="808" spans="1:35" x14ac:dyDescent="0.35">
      <c r="A808" t="s">
        <v>192</v>
      </c>
      <c r="B808" t="s">
        <v>24</v>
      </c>
      <c r="C808" t="s">
        <v>33</v>
      </c>
      <c r="D808" t="s">
        <v>34</v>
      </c>
      <c r="E808" t="s">
        <v>309</v>
      </c>
      <c r="F808" t="s">
        <v>310</v>
      </c>
      <c r="G808" s="20" t="s">
        <v>38</v>
      </c>
      <c r="H808" s="20" t="s">
        <v>39</v>
      </c>
      <c r="I808" t="str">
        <f t="shared" si="18"/>
        <v>Apis mellifera</v>
      </c>
      <c r="J808" t="s">
        <v>70</v>
      </c>
      <c r="K808" t="s">
        <v>332</v>
      </c>
      <c r="L808" t="s">
        <v>275</v>
      </c>
      <c r="M808" t="s">
        <v>157</v>
      </c>
      <c r="N808">
        <v>777</v>
      </c>
      <c r="O808" t="s">
        <v>155</v>
      </c>
      <c r="P808" t="s">
        <v>222</v>
      </c>
      <c r="Q808" s="6">
        <v>45208</v>
      </c>
      <c r="R808">
        <v>1</v>
      </c>
      <c r="U808" t="s">
        <v>225</v>
      </c>
      <c r="AD808">
        <v>2</v>
      </c>
      <c r="AE808" s="7" t="s">
        <v>178</v>
      </c>
      <c r="AF808">
        <v>36</v>
      </c>
      <c r="AG808">
        <v>0</v>
      </c>
      <c r="AH808">
        <v>0</v>
      </c>
      <c r="AI808">
        <v>155</v>
      </c>
    </row>
    <row r="809" spans="1:35" x14ac:dyDescent="0.35">
      <c r="A809" t="s">
        <v>192</v>
      </c>
      <c r="B809" t="s">
        <v>24</v>
      </c>
      <c r="C809" t="s">
        <v>33</v>
      </c>
      <c r="D809" t="s">
        <v>34</v>
      </c>
      <c r="E809" t="s">
        <v>309</v>
      </c>
      <c r="F809" t="s">
        <v>310</v>
      </c>
      <c r="G809" s="20" t="s">
        <v>38</v>
      </c>
      <c r="H809" s="20" t="s">
        <v>39</v>
      </c>
      <c r="I809" t="str">
        <f t="shared" si="18"/>
        <v>Apis mellifera</v>
      </c>
      <c r="J809" t="s">
        <v>70</v>
      </c>
      <c r="K809" t="s">
        <v>332</v>
      </c>
      <c r="L809" t="s">
        <v>275</v>
      </c>
      <c r="M809" t="s">
        <v>157</v>
      </c>
      <c r="N809">
        <v>778</v>
      </c>
      <c r="O809" t="s">
        <v>155</v>
      </c>
      <c r="P809" t="s">
        <v>222</v>
      </c>
      <c r="Q809" s="6">
        <v>45208</v>
      </c>
      <c r="R809">
        <v>1</v>
      </c>
      <c r="S809" t="s">
        <v>166</v>
      </c>
      <c r="T809" t="s">
        <v>72</v>
      </c>
      <c r="U809" t="s">
        <v>271</v>
      </c>
      <c r="AD809">
        <v>4</v>
      </c>
      <c r="AE809" s="7" t="s">
        <v>178</v>
      </c>
      <c r="AF809">
        <v>36</v>
      </c>
      <c r="AG809">
        <v>0</v>
      </c>
      <c r="AH809">
        <v>0</v>
      </c>
      <c r="AI809">
        <v>156</v>
      </c>
    </row>
    <row r="810" spans="1:35" x14ac:dyDescent="0.35">
      <c r="A810" t="s">
        <v>192</v>
      </c>
      <c r="B810" t="s">
        <v>24</v>
      </c>
      <c r="C810" t="s">
        <v>33</v>
      </c>
      <c r="D810" t="s">
        <v>34</v>
      </c>
      <c r="E810" t="s">
        <v>309</v>
      </c>
      <c r="F810" t="s">
        <v>310</v>
      </c>
      <c r="G810" s="20" t="s">
        <v>38</v>
      </c>
      <c r="H810" s="20" t="s">
        <v>39</v>
      </c>
      <c r="I810" t="str">
        <f t="shared" si="18"/>
        <v>Apis mellifera</v>
      </c>
      <c r="J810" t="s">
        <v>70</v>
      </c>
      <c r="K810" t="s">
        <v>332</v>
      </c>
      <c r="L810" t="s">
        <v>275</v>
      </c>
      <c r="M810" t="s">
        <v>157</v>
      </c>
      <c r="N810">
        <v>782</v>
      </c>
      <c r="O810" t="s">
        <v>155</v>
      </c>
      <c r="P810" t="s">
        <v>222</v>
      </c>
      <c r="Q810" s="6">
        <v>45208</v>
      </c>
      <c r="R810">
        <v>1</v>
      </c>
      <c r="U810" t="s">
        <v>225</v>
      </c>
      <c r="AD810">
        <v>2</v>
      </c>
      <c r="AE810" s="7"/>
      <c r="AF810">
        <v>36</v>
      </c>
      <c r="AG810">
        <v>0</v>
      </c>
      <c r="AH810">
        <v>0</v>
      </c>
      <c r="AI810">
        <v>157</v>
      </c>
    </row>
    <row r="811" spans="1:35" x14ac:dyDescent="0.35">
      <c r="A811" t="s">
        <v>192</v>
      </c>
      <c r="B811" t="s">
        <v>24</v>
      </c>
      <c r="C811" t="s">
        <v>33</v>
      </c>
      <c r="D811" t="s">
        <v>34</v>
      </c>
      <c r="E811" t="s">
        <v>309</v>
      </c>
      <c r="F811" t="s">
        <v>310</v>
      </c>
      <c r="G811" s="20" t="s">
        <v>38</v>
      </c>
      <c r="H811" s="20" t="s">
        <v>39</v>
      </c>
      <c r="I811" t="str">
        <f t="shared" si="18"/>
        <v>Apis mellifera</v>
      </c>
      <c r="J811" t="s">
        <v>70</v>
      </c>
      <c r="K811" t="s">
        <v>332</v>
      </c>
      <c r="L811" t="s">
        <v>275</v>
      </c>
      <c r="M811" t="s">
        <v>157</v>
      </c>
      <c r="N811">
        <v>783</v>
      </c>
      <c r="O811" t="s">
        <v>155</v>
      </c>
      <c r="P811" t="s">
        <v>222</v>
      </c>
      <c r="Q811" s="6">
        <v>45208</v>
      </c>
      <c r="U811" t="s">
        <v>225</v>
      </c>
      <c r="AE811" s="7"/>
      <c r="AF811">
        <v>36</v>
      </c>
      <c r="AG811">
        <v>0</v>
      </c>
      <c r="AH811">
        <v>0</v>
      </c>
      <c r="AI811">
        <v>158</v>
      </c>
    </row>
    <row r="812" spans="1:35" x14ac:dyDescent="0.35">
      <c r="A812" t="s">
        <v>192</v>
      </c>
      <c r="B812" t="s">
        <v>24</v>
      </c>
      <c r="C812" t="s">
        <v>33</v>
      </c>
      <c r="D812" t="s">
        <v>34</v>
      </c>
      <c r="E812" t="s">
        <v>309</v>
      </c>
      <c r="F812" t="s">
        <v>310</v>
      </c>
      <c r="G812" s="20" t="s">
        <v>38</v>
      </c>
      <c r="H812" s="20" t="s">
        <v>39</v>
      </c>
      <c r="I812" t="str">
        <f t="shared" si="18"/>
        <v>Apis mellifera</v>
      </c>
      <c r="J812" t="s">
        <v>70</v>
      </c>
      <c r="K812" t="s">
        <v>332</v>
      </c>
      <c r="L812" t="s">
        <v>275</v>
      </c>
      <c r="M812" t="s">
        <v>157</v>
      </c>
      <c r="N812">
        <v>784</v>
      </c>
      <c r="O812" t="s">
        <v>155</v>
      </c>
      <c r="P812" t="s">
        <v>222</v>
      </c>
      <c r="Q812" s="6">
        <v>45208</v>
      </c>
      <c r="U812" t="s">
        <v>225</v>
      </c>
      <c r="AE812" s="7"/>
      <c r="AF812">
        <v>36</v>
      </c>
      <c r="AG812">
        <v>0</v>
      </c>
      <c r="AH812">
        <v>0</v>
      </c>
      <c r="AI812">
        <v>159</v>
      </c>
    </row>
    <row r="813" spans="1:35" x14ac:dyDescent="0.35">
      <c r="A813" t="s">
        <v>192</v>
      </c>
      <c r="B813" t="s">
        <v>24</v>
      </c>
      <c r="C813" t="s">
        <v>33</v>
      </c>
      <c r="D813" t="s">
        <v>34</v>
      </c>
      <c r="E813" t="s">
        <v>309</v>
      </c>
      <c r="F813" t="s">
        <v>310</v>
      </c>
      <c r="G813" s="20" t="s">
        <v>38</v>
      </c>
      <c r="H813" s="20" t="s">
        <v>39</v>
      </c>
      <c r="I813" t="str">
        <f t="shared" si="18"/>
        <v>Apis mellifera</v>
      </c>
      <c r="J813" t="s">
        <v>70</v>
      </c>
      <c r="K813" t="s">
        <v>332</v>
      </c>
      <c r="L813" t="s">
        <v>275</v>
      </c>
      <c r="M813" t="s">
        <v>157</v>
      </c>
      <c r="N813">
        <v>785</v>
      </c>
      <c r="O813" t="s">
        <v>155</v>
      </c>
      <c r="P813" t="s">
        <v>222</v>
      </c>
      <c r="Q813" s="6">
        <v>45208</v>
      </c>
      <c r="U813" t="s">
        <v>225</v>
      </c>
      <c r="AE813" s="7"/>
      <c r="AF813">
        <v>36</v>
      </c>
      <c r="AG813">
        <v>0</v>
      </c>
      <c r="AH813">
        <v>0</v>
      </c>
      <c r="AI813">
        <v>160</v>
      </c>
    </row>
    <row r="814" spans="1:35" x14ac:dyDescent="0.35">
      <c r="A814" t="s">
        <v>192</v>
      </c>
      <c r="B814" t="s">
        <v>24</v>
      </c>
      <c r="C814" t="s">
        <v>33</v>
      </c>
      <c r="D814" t="s">
        <v>34</v>
      </c>
      <c r="E814" t="s">
        <v>309</v>
      </c>
      <c r="F814" t="s">
        <v>310</v>
      </c>
      <c r="G814" s="20" t="s">
        <v>38</v>
      </c>
      <c r="H814" s="20" t="s">
        <v>39</v>
      </c>
      <c r="I814" t="str">
        <f t="shared" si="18"/>
        <v>Apis mellifera</v>
      </c>
      <c r="J814" t="s">
        <v>70</v>
      </c>
      <c r="K814" t="s">
        <v>332</v>
      </c>
      <c r="L814" t="s">
        <v>275</v>
      </c>
      <c r="M814" t="s">
        <v>157</v>
      </c>
      <c r="N814">
        <v>786</v>
      </c>
      <c r="O814" t="s">
        <v>155</v>
      </c>
      <c r="P814" t="s">
        <v>222</v>
      </c>
      <c r="Q814" s="6">
        <v>45208</v>
      </c>
      <c r="U814" t="s">
        <v>225</v>
      </c>
      <c r="AE814" s="7"/>
      <c r="AF814">
        <v>36</v>
      </c>
      <c r="AG814">
        <v>0</v>
      </c>
      <c r="AH814">
        <v>0</v>
      </c>
      <c r="AI814">
        <v>161</v>
      </c>
    </row>
    <row r="815" spans="1:35" x14ac:dyDescent="0.35">
      <c r="A815" t="s">
        <v>192</v>
      </c>
      <c r="B815" t="s">
        <v>24</v>
      </c>
      <c r="C815" t="s">
        <v>33</v>
      </c>
      <c r="D815" t="s">
        <v>34</v>
      </c>
      <c r="E815" t="s">
        <v>309</v>
      </c>
      <c r="F815" t="s">
        <v>310</v>
      </c>
      <c r="G815" s="20" t="s">
        <v>38</v>
      </c>
      <c r="H815" s="20" t="s">
        <v>39</v>
      </c>
      <c r="I815" t="str">
        <f t="shared" si="18"/>
        <v>Apis mellifera</v>
      </c>
      <c r="J815" t="s">
        <v>70</v>
      </c>
      <c r="K815" t="s">
        <v>332</v>
      </c>
      <c r="L815" t="s">
        <v>275</v>
      </c>
      <c r="M815" t="s">
        <v>157</v>
      </c>
      <c r="N815">
        <v>787</v>
      </c>
      <c r="O815" t="s">
        <v>155</v>
      </c>
      <c r="P815" t="s">
        <v>222</v>
      </c>
      <c r="Q815" s="6">
        <v>45208</v>
      </c>
      <c r="U815" t="s">
        <v>225</v>
      </c>
      <c r="AE815" s="7"/>
      <c r="AF815">
        <v>36</v>
      </c>
      <c r="AG815">
        <v>0</v>
      </c>
      <c r="AH815">
        <v>0</v>
      </c>
      <c r="AI815">
        <v>162</v>
      </c>
    </row>
    <row r="816" spans="1:35" x14ac:dyDescent="0.35">
      <c r="A816" t="s">
        <v>192</v>
      </c>
      <c r="B816" t="s">
        <v>24</v>
      </c>
      <c r="C816" t="s">
        <v>33</v>
      </c>
      <c r="D816" t="s">
        <v>34</v>
      </c>
      <c r="E816" t="s">
        <v>309</v>
      </c>
      <c r="F816" t="s">
        <v>310</v>
      </c>
      <c r="G816" s="20" t="s">
        <v>38</v>
      </c>
      <c r="H816" s="20" t="s">
        <v>39</v>
      </c>
      <c r="I816" t="str">
        <f t="shared" si="18"/>
        <v>Apis mellifera</v>
      </c>
      <c r="J816" t="s">
        <v>70</v>
      </c>
      <c r="K816" t="s">
        <v>332</v>
      </c>
      <c r="L816" t="s">
        <v>275</v>
      </c>
      <c r="M816" t="s">
        <v>157</v>
      </c>
      <c r="N816">
        <v>788</v>
      </c>
      <c r="O816" t="s">
        <v>155</v>
      </c>
      <c r="P816" t="s">
        <v>222</v>
      </c>
      <c r="Q816" s="6">
        <v>45208</v>
      </c>
      <c r="U816" t="s">
        <v>225</v>
      </c>
      <c r="AE816" s="7"/>
      <c r="AF816">
        <v>36</v>
      </c>
      <c r="AG816">
        <v>0</v>
      </c>
      <c r="AH816">
        <v>0</v>
      </c>
      <c r="AI816">
        <v>163</v>
      </c>
    </row>
    <row r="817" spans="1:35" x14ac:dyDescent="0.35">
      <c r="A817" t="s">
        <v>192</v>
      </c>
      <c r="B817" t="s">
        <v>24</v>
      </c>
      <c r="C817" t="s">
        <v>33</v>
      </c>
      <c r="D817" t="s">
        <v>34</v>
      </c>
      <c r="E817" t="s">
        <v>309</v>
      </c>
      <c r="F817" t="s">
        <v>310</v>
      </c>
      <c r="G817" s="20" t="s">
        <v>38</v>
      </c>
      <c r="H817" s="20" t="s">
        <v>39</v>
      </c>
      <c r="I817" t="str">
        <f t="shared" si="18"/>
        <v>Apis mellifera</v>
      </c>
      <c r="J817" t="s">
        <v>70</v>
      </c>
      <c r="K817" t="s">
        <v>332</v>
      </c>
      <c r="L817" t="s">
        <v>275</v>
      </c>
      <c r="M817" t="s">
        <v>157</v>
      </c>
      <c r="N817">
        <v>789</v>
      </c>
      <c r="O817" t="s">
        <v>155</v>
      </c>
      <c r="P817" t="s">
        <v>222</v>
      </c>
      <c r="Q817" s="6">
        <v>45208</v>
      </c>
      <c r="U817" t="s">
        <v>225</v>
      </c>
      <c r="AE817" s="7"/>
      <c r="AF817">
        <v>36</v>
      </c>
      <c r="AG817">
        <v>0</v>
      </c>
      <c r="AH817">
        <v>0</v>
      </c>
      <c r="AI817">
        <v>164</v>
      </c>
    </row>
    <row r="818" spans="1:35" x14ac:dyDescent="0.35">
      <c r="A818" t="s">
        <v>192</v>
      </c>
      <c r="B818" t="s">
        <v>24</v>
      </c>
      <c r="C818" t="s">
        <v>33</v>
      </c>
      <c r="D818" t="s">
        <v>34</v>
      </c>
      <c r="E818" t="s">
        <v>309</v>
      </c>
      <c r="F818" t="s">
        <v>310</v>
      </c>
      <c r="G818" s="20" t="s">
        <v>38</v>
      </c>
      <c r="H818" s="20" t="s">
        <v>39</v>
      </c>
      <c r="I818" t="str">
        <f t="shared" si="18"/>
        <v>Apis mellifera</v>
      </c>
      <c r="J818" t="s">
        <v>70</v>
      </c>
      <c r="K818" t="s">
        <v>332</v>
      </c>
      <c r="L818" t="s">
        <v>275</v>
      </c>
      <c r="M818" t="s">
        <v>157</v>
      </c>
      <c r="N818">
        <v>790</v>
      </c>
      <c r="O818" t="s">
        <v>155</v>
      </c>
      <c r="P818" t="s">
        <v>222</v>
      </c>
      <c r="Q818" s="6">
        <v>45208</v>
      </c>
      <c r="U818" t="s">
        <v>225</v>
      </c>
      <c r="AE818" s="7"/>
      <c r="AF818">
        <v>36</v>
      </c>
      <c r="AG818">
        <v>0</v>
      </c>
      <c r="AH818">
        <v>0</v>
      </c>
      <c r="AI818">
        <v>165</v>
      </c>
    </row>
    <row r="819" spans="1:35" x14ac:dyDescent="0.35">
      <c r="A819" t="s">
        <v>192</v>
      </c>
      <c r="B819" t="s">
        <v>24</v>
      </c>
      <c r="C819" t="s">
        <v>33</v>
      </c>
      <c r="D819" t="s">
        <v>34</v>
      </c>
      <c r="E819" t="s">
        <v>309</v>
      </c>
      <c r="F819" t="s">
        <v>310</v>
      </c>
      <c r="G819" s="20" t="s">
        <v>38</v>
      </c>
      <c r="H819" s="20" t="s">
        <v>39</v>
      </c>
      <c r="I819" t="str">
        <f t="shared" si="18"/>
        <v>Apis mellifera</v>
      </c>
      <c r="J819" t="s">
        <v>70</v>
      </c>
      <c r="K819" t="s">
        <v>332</v>
      </c>
      <c r="L819" t="s">
        <v>275</v>
      </c>
      <c r="M819" t="s">
        <v>157</v>
      </c>
      <c r="N819">
        <v>791</v>
      </c>
      <c r="O819" t="s">
        <v>155</v>
      </c>
      <c r="P819" t="s">
        <v>222</v>
      </c>
      <c r="Q819" s="6">
        <v>45208</v>
      </c>
      <c r="U819" t="s">
        <v>225</v>
      </c>
      <c r="AE819" s="7"/>
      <c r="AF819">
        <v>36</v>
      </c>
      <c r="AG819">
        <v>0</v>
      </c>
      <c r="AH819">
        <v>0</v>
      </c>
      <c r="AI819">
        <v>166</v>
      </c>
    </row>
    <row r="820" spans="1:35" x14ac:dyDescent="0.35">
      <c r="A820" t="s">
        <v>192</v>
      </c>
      <c r="B820" t="s">
        <v>24</v>
      </c>
      <c r="C820" t="s">
        <v>33</v>
      </c>
      <c r="D820" t="s">
        <v>34</v>
      </c>
      <c r="E820" t="s">
        <v>309</v>
      </c>
      <c r="F820" t="s">
        <v>310</v>
      </c>
      <c r="G820" s="20" t="s">
        <v>38</v>
      </c>
      <c r="H820" s="20" t="s">
        <v>39</v>
      </c>
      <c r="I820" t="str">
        <f t="shared" si="18"/>
        <v>Apis mellifera</v>
      </c>
      <c r="J820" t="s">
        <v>70</v>
      </c>
      <c r="K820" t="s">
        <v>332</v>
      </c>
      <c r="L820" t="s">
        <v>275</v>
      </c>
      <c r="M820" t="s">
        <v>157</v>
      </c>
      <c r="N820">
        <v>792</v>
      </c>
      <c r="O820" t="s">
        <v>155</v>
      </c>
      <c r="P820" t="s">
        <v>222</v>
      </c>
      <c r="Q820" s="6">
        <v>45208</v>
      </c>
      <c r="U820" t="s">
        <v>225</v>
      </c>
      <c r="AE820" s="7"/>
      <c r="AF820">
        <v>36</v>
      </c>
      <c r="AG820">
        <v>0</v>
      </c>
      <c r="AH820">
        <v>0</v>
      </c>
      <c r="AI820">
        <v>167</v>
      </c>
    </row>
    <row r="821" spans="1:35" x14ac:dyDescent="0.35">
      <c r="A821" t="s">
        <v>192</v>
      </c>
      <c r="B821" t="s">
        <v>24</v>
      </c>
      <c r="C821" t="s">
        <v>33</v>
      </c>
      <c r="D821" t="s">
        <v>34</v>
      </c>
      <c r="E821" t="s">
        <v>309</v>
      </c>
      <c r="F821" t="s">
        <v>310</v>
      </c>
      <c r="G821" s="20" t="s">
        <v>38</v>
      </c>
      <c r="H821" s="20" t="s">
        <v>39</v>
      </c>
      <c r="I821" t="str">
        <f t="shared" si="18"/>
        <v>Apis mellifera</v>
      </c>
      <c r="J821" t="s">
        <v>70</v>
      </c>
      <c r="K821" t="s">
        <v>332</v>
      </c>
      <c r="L821" t="s">
        <v>275</v>
      </c>
      <c r="M821" t="s">
        <v>157</v>
      </c>
      <c r="N821">
        <v>793</v>
      </c>
      <c r="O821" t="s">
        <v>155</v>
      </c>
      <c r="P821" t="s">
        <v>222</v>
      </c>
      <c r="Q821" s="6">
        <v>45208</v>
      </c>
      <c r="U821" t="s">
        <v>225</v>
      </c>
      <c r="AE821" s="7"/>
      <c r="AF821">
        <v>36</v>
      </c>
      <c r="AG821">
        <v>0</v>
      </c>
      <c r="AH821">
        <v>0</v>
      </c>
      <c r="AI821">
        <v>168</v>
      </c>
    </row>
    <row r="822" spans="1:35" x14ac:dyDescent="0.35">
      <c r="A822" t="s">
        <v>192</v>
      </c>
      <c r="B822" t="s">
        <v>24</v>
      </c>
      <c r="C822" t="s">
        <v>33</v>
      </c>
      <c r="D822" t="s">
        <v>34</v>
      </c>
      <c r="E822" t="s">
        <v>309</v>
      </c>
      <c r="F822" t="s">
        <v>310</v>
      </c>
      <c r="G822" s="20" t="s">
        <v>38</v>
      </c>
      <c r="H822" s="20" t="s">
        <v>39</v>
      </c>
      <c r="I822" t="str">
        <f t="shared" si="18"/>
        <v>Apis mellifera</v>
      </c>
      <c r="J822" t="s">
        <v>70</v>
      </c>
      <c r="K822" t="s">
        <v>332</v>
      </c>
      <c r="L822" t="s">
        <v>275</v>
      </c>
      <c r="M822" t="s">
        <v>157</v>
      </c>
      <c r="N822">
        <v>794</v>
      </c>
      <c r="O822" t="s">
        <v>155</v>
      </c>
      <c r="P822" t="s">
        <v>222</v>
      </c>
      <c r="Q822" s="6">
        <v>45208</v>
      </c>
      <c r="U822" t="s">
        <v>225</v>
      </c>
      <c r="AE822" s="7"/>
      <c r="AF822">
        <v>36</v>
      </c>
      <c r="AG822">
        <v>0</v>
      </c>
      <c r="AH822">
        <v>0</v>
      </c>
      <c r="AI822">
        <v>169</v>
      </c>
    </row>
    <row r="823" spans="1:35" x14ac:dyDescent="0.35">
      <c r="A823" t="s">
        <v>192</v>
      </c>
      <c r="B823" t="s">
        <v>24</v>
      </c>
      <c r="C823" t="s">
        <v>33</v>
      </c>
      <c r="D823" t="s">
        <v>34</v>
      </c>
      <c r="E823" t="s">
        <v>309</v>
      </c>
      <c r="F823" t="s">
        <v>310</v>
      </c>
      <c r="G823" s="20" t="s">
        <v>38</v>
      </c>
      <c r="H823" s="20" t="s">
        <v>39</v>
      </c>
      <c r="I823" t="str">
        <f t="shared" si="18"/>
        <v>Apis mellifera</v>
      </c>
      <c r="J823" t="s">
        <v>70</v>
      </c>
      <c r="K823" t="s">
        <v>332</v>
      </c>
      <c r="L823" t="s">
        <v>275</v>
      </c>
      <c r="M823" t="s">
        <v>157</v>
      </c>
      <c r="N823">
        <v>795</v>
      </c>
      <c r="O823" t="s">
        <v>155</v>
      </c>
      <c r="P823" t="s">
        <v>222</v>
      </c>
      <c r="Q823" s="6">
        <v>45208</v>
      </c>
      <c r="U823" t="s">
        <v>225</v>
      </c>
      <c r="AE823" s="7"/>
      <c r="AF823">
        <v>36</v>
      </c>
      <c r="AG823">
        <v>0</v>
      </c>
      <c r="AH823">
        <v>0</v>
      </c>
      <c r="AI823">
        <v>170</v>
      </c>
    </row>
    <row r="824" spans="1:35" x14ac:dyDescent="0.35">
      <c r="A824" t="s">
        <v>192</v>
      </c>
      <c r="B824" t="s">
        <v>24</v>
      </c>
      <c r="C824" t="s">
        <v>33</v>
      </c>
      <c r="D824" t="s">
        <v>34</v>
      </c>
      <c r="E824" t="s">
        <v>309</v>
      </c>
      <c r="F824" t="s">
        <v>310</v>
      </c>
      <c r="G824" s="20" t="s">
        <v>38</v>
      </c>
      <c r="H824" s="20" t="s">
        <v>39</v>
      </c>
      <c r="I824" t="str">
        <f t="shared" si="18"/>
        <v>Apis mellifera</v>
      </c>
      <c r="J824" t="s">
        <v>70</v>
      </c>
      <c r="K824" t="s">
        <v>332</v>
      </c>
      <c r="L824" t="s">
        <v>275</v>
      </c>
      <c r="M824" t="s">
        <v>157</v>
      </c>
      <c r="N824">
        <v>796</v>
      </c>
      <c r="O824" t="s">
        <v>155</v>
      </c>
      <c r="P824" t="s">
        <v>222</v>
      </c>
      <c r="Q824" s="6">
        <v>45208</v>
      </c>
      <c r="U824" t="s">
        <v>225</v>
      </c>
      <c r="AE824" s="7"/>
      <c r="AF824">
        <v>36</v>
      </c>
      <c r="AG824">
        <v>0</v>
      </c>
      <c r="AH824">
        <v>0</v>
      </c>
      <c r="AI824">
        <v>171</v>
      </c>
    </row>
    <row r="825" spans="1:35" x14ac:dyDescent="0.35">
      <c r="A825" t="s">
        <v>192</v>
      </c>
      <c r="B825" t="s">
        <v>24</v>
      </c>
      <c r="C825" t="s">
        <v>33</v>
      </c>
      <c r="D825" t="s">
        <v>34</v>
      </c>
      <c r="E825" t="s">
        <v>309</v>
      </c>
      <c r="F825" t="s">
        <v>310</v>
      </c>
      <c r="G825" s="20" t="s">
        <v>38</v>
      </c>
      <c r="H825" s="20" t="s">
        <v>39</v>
      </c>
      <c r="I825" t="str">
        <f t="shared" si="18"/>
        <v>Apis mellifera</v>
      </c>
      <c r="J825" t="s">
        <v>70</v>
      </c>
      <c r="K825" t="s">
        <v>332</v>
      </c>
      <c r="L825" t="s">
        <v>275</v>
      </c>
      <c r="M825" t="s">
        <v>157</v>
      </c>
      <c r="N825">
        <v>797</v>
      </c>
      <c r="O825" t="s">
        <v>155</v>
      </c>
      <c r="P825" t="s">
        <v>222</v>
      </c>
      <c r="Q825" s="6">
        <v>45208</v>
      </c>
      <c r="U825" t="s">
        <v>225</v>
      </c>
      <c r="AE825" s="7"/>
      <c r="AF825">
        <v>36</v>
      </c>
      <c r="AG825">
        <v>0</v>
      </c>
      <c r="AH825">
        <v>0</v>
      </c>
      <c r="AI825">
        <v>172</v>
      </c>
    </row>
    <row r="826" spans="1:35" x14ac:dyDescent="0.35">
      <c r="A826" t="s">
        <v>192</v>
      </c>
      <c r="B826" t="s">
        <v>24</v>
      </c>
      <c r="C826" t="s">
        <v>33</v>
      </c>
      <c r="D826" t="s">
        <v>34</v>
      </c>
      <c r="E826" t="s">
        <v>309</v>
      </c>
      <c r="F826" t="s">
        <v>310</v>
      </c>
      <c r="G826" s="20" t="s">
        <v>38</v>
      </c>
      <c r="H826" s="20" t="s">
        <v>39</v>
      </c>
      <c r="I826" t="str">
        <f t="shared" si="18"/>
        <v>Apis mellifera</v>
      </c>
      <c r="J826" t="s">
        <v>70</v>
      </c>
      <c r="K826" t="s">
        <v>332</v>
      </c>
      <c r="L826" t="s">
        <v>275</v>
      </c>
      <c r="M826" t="s">
        <v>157</v>
      </c>
      <c r="N826">
        <v>798</v>
      </c>
      <c r="O826" t="s">
        <v>155</v>
      </c>
      <c r="P826" t="s">
        <v>222</v>
      </c>
      <c r="Q826" s="6">
        <v>45208</v>
      </c>
      <c r="U826" t="s">
        <v>225</v>
      </c>
      <c r="AE826" s="7"/>
      <c r="AF826">
        <v>36</v>
      </c>
      <c r="AG826">
        <v>0</v>
      </c>
      <c r="AH826">
        <v>0</v>
      </c>
      <c r="AI826">
        <v>173</v>
      </c>
    </row>
    <row r="827" spans="1:35" x14ac:dyDescent="0.35">
      <c r="A827" t="s">
        <v>192</v>
      </c>
      <c r="B827" t="s">
        <v>24</v>
      </c>
      <c r="C827" t="s">
        <v>33</v>
      </c>
      <c r="D827" t="s">
        <v>34</v>
      </c>
      <c r="E827" t="s">
        <v>309</v>
      </c>
      <c r="F827" t="s">
        <v>310</v>
      </c>
      <c r="G827" s="20" t="s">
        <v>38</v>
      </c>
      <c r="H827" s="20" t="s">
        <v>39</v>
      </c>
      <c r="I827" t="str">
        <f t="shared" si="18"/>
        <v>Apis mellifera</v>
      </c>
      <c r="J827" t="s">
        <v>70</v>
      </c>
      <c r="K827" t="s">
        <v>332</v>
      </c>
      <c r="L827" t="s">
        <v>275</v>
      </c>
      <c r="M827" t="s">
        <v>157</v>
      </c>
      <c r="N827">
        <v>799</v>
      </c>
      <c r="O827" t="s">
        <v>155</v>
      </c>
      <c r="P827" t="s">
        <v>222</v>
      </c>
      <c r="Q827" s="6">
        <v>45208</v>
      </c>
      <c r="U827" t="s">
        <v>225</v>
      </c>
      <c r="AE827" s="7"/>
      <c r="AF827">
        <v>36</v>
      </c>
      <c r="AG827">
        <v>0</v>
      </c>
      <c r="AH827">
        <v>0</v>
      </c>
      <c r="AI827">
        <v>174</v>
      </c>
    </row>
    <row r="828" spans="1:35" x14ac:dyDescent="0.35">
      <c r="A828" t="s">
        <v>192</v>
      </c>
      <c r="B828" t="s">
        <v>24</v>
      </c>
      <c r="C828" t="s">
        <v>33</v>
      </c>
      <c r="D828" t="s">
        <v>34</v>
      </c>
      <c r="E828" t="s">
        <v>309</v>
      </c>
      <c r="F828" t="s">
        <v>310</v>
      </c>
      <c r="G828" s="20" t="s">
        <v>38</v>
      </c>
      <c r="H828" s="20" t="s">
        <v>39</v>
      </c>
      <c r="I828" t="str">
        <f t="shared" si="18"/>
        <v>Apis mellifera</v>
      </c>
      <c r="J828" t="s">
        <v>70</v>
      </c>
      <c r="K828" t="s">
        <v>332</v>
      </c>
      <c r="L828" t="s">
        <v>275</v>
      </c>
      <c r="M828" t="s">
        <v>157</v>
      </c>
      <c r="N828">
        <v>800</v>
      </c>
      <c r="O828" t="s">
        <v>155</v>
      </c>
      <c r="P828" t="s">
        <v>222</v>
      </c>
      <c r="Q828" s="6">
        <v>45208</v>
      </c>
      <c r="U828" t="s">
        <v>225</v>
      </c>
      <c r="AE828" s="7"/>
      <c r="AF828">
        <v>36</v>
      </c>
      <c r="AG828">
        <v>0</v>
      </c>
      <c r="AH828">
        <v>0</v>
      </c>
      <c r="AI828">
        <v>175</v>
      </c>
    </row>
    <row r="829" spans="1:35" x14ac:dyDescent="0.35">
      <c r="A829" t="s">
        <v>192</v>
      </c>
      <c r="B829" t="s">
        <v>24</v>
      </c>
      <c r="C829" t="s">
        <v>33</v>
      </c>
      <c r="D829" t="s">
        <v>34</v>
      </c>
      <c r="E829" t="s">
        <v>309</v>
      </c>
      <c r="F829" t="s">
        <v>310</v>
      </c>
      <c r="G829" s="20" t="s">
        <v>38</v>
      </c>
      <c r="H829" s="20" t="s">
        <v>39</v>
      </c>
      <c r="I829" t="str">
        <f t="shared" si="18"/>
        <v>Apis mellifera</v>
      </c>
      <c r="J829" t="s">
        <v>70</v>
      </c>
      <c r="K829" t="s">
        <v>332</v>
      </c>
      <c r="L829" t="s">
        <v>275</v>
      </c>
      <c r="M829" t="s">
        <v>157</v>
      </c>
      <c r="N829">
        <v>801</v>
      </c>
      <c r="O829" t="s">
        <v>155</v>
      </c>
      <c r="P829" t="s">
        <v>222</v>
      </c>
      <c r="Q829" s="6">
        <v>45208</v>
      </c>
      <c r="U829" t="s">
        <v>225</v>
      </c>
      <c r="AE829" s="7"/>
      <c r="AF829">
        <v>36</v>
      </c>
      <c r="AG829">
        <v>0</v>
      </c>
      <c r="AH829">
        <v>0</v>
      </c>
      <c r="AI829">
        <v>176</v>
      </c>
    </row>
    <row r="830" spans="1:35" x14ac:dyDescent="0.35">
      <c r="A830" t="s">
        <v>192</v>
      </c>
      <c r="B830" t="s">
        <v>24</v>
      </c>
      <c r="C830" t="s">
        <v>33</v>
      </c>
      <c r="D830" t="s">
        <v>34</v>
      </c>
      <c r="E830" t="s">
        <v>309</v>
      </c>
      <c r="F830" t="s">
        <v>310</v>
      </c>
      <c r="G830" s="20" t="s">
        <v>38</v>
      </c>
      <c r="H830" s="20" t="s">
        <v>39</v>
      </c>
      <c r="I830" t="str">
        <f t="shared" si="18"/>
        <v>Apis mellifera</v>
      </c>
      <c r="J830" t="s">
        <v>70</v>
      </c>
      <c r="K830" t="s">
        <v>332</v>
      </c>
      <c r="L830" t="s">
        <v>275</v>
      </c>
      <c r="M830" t="s">
        <v>157</v>
      </c>
      <c r="N830">
        <v>802</v>
      </c>
      <c r="O830" t="s">
        <v>155</v>
      </c>
      <c r="P830" t="s">
        <v>222</v>
      </c>
      <c r="Q830" s="6">
        <v>45208</v>
      </c>
      <c r="U830" t="s">
        <v>225</v>
      </c>
      <c r="AE830" s="7"/>
      <c r="AF830">
        <v>36</v>
      </c>
      <c r="AG830">
        <v>0</v>
      </c>
      <c r="AH830">
        <v>0</v>
      </c>
      <c r="AI830">
        <v>177</v>
      </c>
    </row>
    <row r="831" spans="1:35" x14ac:dyDescent="0.35">
      <c r="A831" t="s">
        <v>192</v>
      </c>
      <c r="B831" t="s">
        <v>24</v>
      </c>
      <c r="C831" t="s">
        <v>33</v>
      </c>
      <c r="D831" t="s">
        <v>34</v>
      </c>
      <c r="E831" t="s">
        <v>309</v>
      </c>
      <c r="F831" t="s">
        <v>310</v>
      </c>
      <c r="G831" s="20" t="s">
        <v>38</v>
      </c>
      <c r="H831" s="20" t="s">
        <v>39</v>
      </c>
      <c r="I831" t="str">
        <f t="shared" si="18"/>
        <v>Apis mellifera</v>
      </c>
      <c r="J831" t="s">
        <v>70</v>
      </c>
      <c r="K831" t="s">
        <v>332</v>
      </c>
      <c r="L831" t="s">
        <v>275</v>
      </c>
      <c r="M831" t="s">
        <v>157</v>
      </c>
      <c r="N831">
        <v>803</v>
      </c>
      <c r="O831" t="s">
        <v>155</v>
      </c>
      <c r="P831" t="s">
        <v>222</v>
      </c>
      <c r="Q831" s="6">
        <v>45208</v>
      </c>
      <c r="U831" t="s">
        <v>225</v>
      </c>
      <c r="AE831" s="7"/>
      <c r="AF831">
        <v>36</v>
      </c>
      <c r="AG831">
        <v>0</v>
      </c>
      <c r="AH831">
        <v>0</v>
      </c>
      <c r="AI831">
        <v>178</v>
      </c>
    </row>
    <row r="832" spans="1:35" x14ac:dyDescent="0.35">
      <c r="A832" t="s">
        <v>192</v>
      </c>
      <c r="B832" t="s">
        <v>24</v>
      </c>
      <c r="C832" t="s">
        <v>33</v>
      </c>
      <c r="D832" t="s">
        <v>34</v>
      </c>
      <c r="E832" t="s">
        <v>309</v>
      </c>
      <c r="F832" t="s">
        <v>310</v>
      </c>
      <c r="G832" s="20" t="s">
        <v>38</v>
      </c>
      <c r="H832" s="20" t="s">
        <v>39</v>
      </c>
      <c r="I832" t="str">
        <f t="shared" si="18"/>
        <v>Apis mellifera</v>
      </c>
      <c r="J832" t="s">
        <v>70</v>
      </c>
      <c r="K832" t="s">
        <v>332</v>
      </c>
      <c r="L832" t="s">
        <v>275</v>
      </c>
      <c r="M832" t="s">
        <v>157</v>
      </c>
      <c r="N832">
        <v>804</v>
      </c>
      <c r="O832" t="s">
        <v>155</v>
      </c>
      <c r="P832" t="s">
        <v>222</v>
      </c>
      <c r="Q832" s="6">
        <v>45208</v>
      </c>
      <c r="U832" t="s">
        <v>225</v>
      </c>
      <c r="AE832" s="7"/>
      <c r="AF832">
        <v>36</v>
      </c>
      <c r="AG832">
        <v>0</v>
      </c>
      <c r="AH832">
        <v>0</v>
      </c>
      <c r="AI832">
        <v>179</v>
      </c>
    </row>
    <row r="833" spans="1:35" x14ac:dyDescent="0.35">
      <c r="A833" t="s">
        <v>192</v>
      </c>
      <c r="B833" t="s">
        <v>24</v>
      </c>
      <c r="C833" t="s">
        <v>33</v>
      </c>
      <c r="D833" t="s">
        <v>34</v>
      </c>
      <c r="E833" t="s">
        <v>309</v>
      </c>
      <c r="F833" t="s">
        <v>310</v>
      </c>
      <c r="G833" s="20" t="s">
        <v>38</v>
      </c>
      <c r="H833" s="20" t="s">
        <v>39</v>
      </c>
      <c r="I833" t="str">
        <f t="shared" si="18"/>
        <v>Apis mellifera</v>
      </c>
      <c r="J833" t="s">
        <v>70</v>
      </c>
      <c r="K833" t="s">
        <v>332</v>
      </c>
      <c r="L833" t="s">
        <v>275</v>
      </c>
      <c r="M833" t="s">
        <v>157</v>
      </c>
      <c r="N833">
        <v>805</v>
      </c>
      <c r="O833" t="s">
        <v>155</v>
      </c>
      <c r="P833" t="s">
        <v>222</v>
      </c>
      <c r="Q833" s="6">
        <v>45208</v>
      </c>
      <c r="U833" t="s">
        <v>225</v>
      </c>
      <c r="AE833" s="7"/>
      <c r="AF833">
        <v>36</v>
      </c>
      <c r="AG833">
        <v>0</v>
      </c>
      <c r="AH833">
        <v>0</v>
      </c>
      <c r="AI833">
        <v>180</v>
      </c>
    </row>
    <row r="834" spans="1:35" x14ac:dyDescent="0.35">
      <c r="A834" t="s">
        <v>192</v>
      </c>
      <c r="B834" t="s">
        <v>24</v>
      </c>
      <c r="C834" t="s">
        <v>33</v>
      </c>
      <c r="D834" t="s">
        <v>34</v>
      </c>
      <c r="E834" t="s">
        <v>309</v>
      </c>
      <c r="F834" t="s">
        <v>310</v>
      </c>
      <c r="G834" s="20" t="s">
        <v>38</v>
      </c>
      <c r="H834" s="20" t="s">
        <v>39</v>
      </c>
      <c r="I834" t="str">
        <f t="shared" si="18"/>
        <v>Apis mellifera</v>
      </c>
      <c r="J834" t="s">
        <v>70</v>
      </c>
      <c r="K834" t="s">
        <v>332</v>
      </c>
      <c r="L834" t="s">
        <v>275</v>
      </c>
      <c r="M834" t="s">
        <v>157</v>
      </c>
      <c r="N834">
        <v>806</v>
      </c>
      <c r="O834" t="s">
        <v>155</v>
      </c>
      <c r="P834" t="s">
        <v>222</v>
      </c>
      <c r="Q834" s="6">
        <v>45208</v>
      </c>
      <c r="U834" t="s">
        <v>225</v>
      </c>
      <c r="AE834" s="7"/>
      <c r="AF834">
        <v>36</v>
      </c>
      <c r="AG834">
        <v>0</v>
      </c>
      <c r="AH834">
        <v>0</v>
      </c>
      <c r="AI834">
        <v>181</v>
      </c>
    </row>
    <row r="835" spans="1:35" x14ac:dyDescent="0.35">
      <c r="A835" t="s">
        <v>192</v>
      </c>
      <c r="B835" t="s">
        <v>24</v>
      </c>
      <c r="C835" t="s">
        <v>33</v>
      </c>
      <c r="D835" t="s">
        <v>34</v>
      </c>
      <c r="E835" t="s">
        <v>309</v>
      </c>
      <c r="F835" t="s">
        <v>310</v>
      </c>
      <c r="G835" s="20" t="s">
        <v>38</v>
      </c>
      <c r="H835" s="20" t="s">
        <v>39</v>
      </c>
      <c r="I835" t="str">
        <f t="shared" si="18"/>
        <v>Apis mellifera</v>
      </c>
      <c r="J835" t="s">
        <v>70</v>
      </c>
      <c r="K835" t="s">
        <v>332</v>
      </c>
      <c r="L835" t="s">
        <v>275</v>
      </c>
      <c r="M835" t="s">
        <v>157</v>
      </c>
      <c r="N835">
        <v>807</v>
      </c>
      <c r="O835" t="s">
        <v>155</v>
      </c>
      <c r="P835" t="s">
        <v>222</v>
      </c>
      <c r="Q835" s="6">
        <v>45208</v>
      </c>
      <c r="U835" t="s">
        <v>225</v>
      </c>
      <c r="AE835" s="7"/>
      <c r="AF835">
        <v>36</v>
      </c>
      <c r="AG835">
        <v>0</v>
      </c>
      <c r="AH835">
        <v>0</v>
      </c>
      <c r="AI835">
        <v>182</v>
      </c>
    </row>
    <row r="836" spans="1:35" x14ac:dyDescent="0.35">
      <c r="A836" t="s">
        <v>192</v>
      </c>
      <c r="B836" t="s">
        <v>24</v>
      </c>
      <c r="C836" t="s">
        <v>33</v>
      </c>
      <c r="D836" t="s">
        <v>34</v>
      </c>
      <c r="E836" t="s">
        <v>309</v>
      </c>
      <c r="F836" t="s">
        <v>310</v>
      </c>
      <c r="G836" s="20" t="s">
        <v>38</v>
      </c>
      <c r="H836" s="20" t="s">
        <v>39</v>
      </c>
      <c r="I836" t="str">
        <f t="shared" si="18"/>
        <v>Apis mellifera</v>
      </c>
      <c r="J836" t="s">
        <v>70</v>
      </c>
      <c r="K836" t="s">
        <v>332</v>
      </c>
      <c r="L836" t="s">
        <v>275</v>
      </c>
      <c r="M836" t="s">
        <v>157</v>
      </c>
      <c r="N836">
        <v>808</v>
      </c>
      <c r="O836" t="s">
        <v>155</v>
      </c>
      <c r="P836" t="s">
        <v>222</v>
      </c>
      <c r="Q836" s="6">
        <v>45208</v>
      </c>
      <c r="U836" t="s">
        <v>225</v>
      </c>
      <c r="AE836" s="7"/>
      <c r="AF836">
        <v>36</v>
      </c>
      <c r="AG836">
        <v>0</v>
      </c>
      <c r="AH836">
        <v>0</v>
      </c>
      <c r="AI836">
        <v>183</v>
      </c>
    </row>
    <row r="837" spans="1:35" x14ac:dyDescent="0.35">
      <c r="A837" t="s">
        <v>192</v>
      </c>
      <c r="B837" t="s">
        <v>24</v>
      </c>
      <c r="C837" t="s">
        <v>33</v>
      </c>
      <c r="D837" t="s">
        <v>34</v>
      </c>
      <c r="E837" t="s">
        <v>309</v>
      </c>
      <c r="F837" t="s">
        <v>310</v>
      </c>
      <c r="G837" s="20" t="s">
        <v>38</v>
      </c>
      <c r="H837" s="20" t="s">
        <v>39</v>
      </c>
      <c r="I837" t="str">
        <f t="shared" si="18"/>
        <v>Apis mellifera</v>
      </c>
      <c r="J837" t="s">
        <v>70</v>
      </c>
      <c r="K837" t="s">
        <v>332</v>
      </c>
      <c r="L837" t="s">
        <v>275</v>
      </c>
      <c r="M837" t="s">
        <v>157</v>
      </c>
      <c r="N837">
        <v>809</v>
      </c>
      <c r="O837" t="s">
        <v>155</v>
      </c>
      <c r="P837" t="s">
        <v>222</v>
      </c>
      <c r="Q837" s="6">
        <v>45208</v>
      </c>
      <c r="U837" t="s">
        <v>225</v>
      </c>
      <c r="AE837" s="7"/>
      <c r="AF837">
        <v>36</v>
      </c>
      <c r="AG837">
        <v>0</v>
      </c>
      <c r="AH837">
        <v>0</v>
      </c>
      <c r="AI837">
        <v>184</v>
      </c>
    </row>
    <row r="838" spans="1:35" x14ac:dyDescent="0.35">
      <c r="A838" t="s">
        <v>192</v>
      </c>
      <c r="B838" t="s">
        <v>24</v>
      </c>
      <c r="C838" t="s">
        <v>33</v>
      </c>
      <c r="D838" t="s">
        <v>34</v>
      </c>
      <c r="E838" t="s">
        <v>309</v>
      </c>
      <c r="F838" t="s">
        <v>310</v>
      </c>
      <c r="G838" s="20" t="s">
        <v>38</v>
      </c>
      <c r="H838" s="20" t="s">
        <v>39</v>
      </c>
      <c r="I838" t="str">
        <f t="shared" si="18"/>
        <v>Apis mellifera</v>
      </c>
      <c r="J838" t="s">
        <v>70</v>
      </c>
      <c r="K838" t="s">
        <v>332</v>
      </c>
      <c r="L838" t="s">
        <v>275</v>
      </c>
      <c r="M838" t="s">
        <v>157</v>
      </c>
      <c r="N838">
        <v>810</v>
      </c>
      <c r="O838" t="s">
        <v>155</v>
      </c>
      <c r="P838" t="s">
        <v>222</v>
      </c>
      <c r="Q838" s="6">
        <v>45208</v>
      </c>
      <c r="U838" t="s">
        <v>225</v>
      </c>
      <c r="AE838" s="7"/>
      <c r="AF838">
        <v>36</v>
      </c>
      <c r="AG838">
        <v>0</v>
      </c>
      <c r="AH838">
        <v>0</v>
      </c>
      <c r="AI838">
        <v>185</v>
      </c>
    </row>
    <row r="839" spans="1:35" x14ac:dyDescent="0.35">
      <c r="A839" t="s">
        <v>192</v>
      </c>
      <c r="B839" t="s">
        <v>24</v>
      </c>
      <c r="C839" t="s">
        <v>33</v>
      </c>
      <c r="D839" t="s">
        <v>34</v>
      </c>
      <c r="E839" t="s">
        <v>309</v>
      </c>
      <c r="F839" t="s">
        <v>310</v>
      </c>
      <c r="G839" s="20" t="s">
        <v>38</v>
      </c>
      <c r="H839" s="20" t="s">
        <v>39</v>
      </c>
      <c r="I839" t="str">
        <f t="shared" si="18"/>
        <v>Apis mellifera</v>
      </c>
      <c r="J839" t="s">
        <v>70</v>
      </c>
      <c r="K839" t="s">
        <v>332</v>
      </c>
      <c r="L839" t="s">
        <v>275</v>
      </c>
      <c r="M839" t="s">
        <v>157</v>
      </c>
      <c r="N839">
        <v>811</v>
      </c>
      <c r="O839" t="s">
        <v>155</v>
      </c>
      <c r="P839" t="s">
        <v>222</v>
      </c>
      <c r="Q839" s="6">
        <v>45208</v>
      </c>
      <c r="U839" t="s">
        <v>225</v>
      </c>
      <c r="AE839" s="7"/>
      <c r="AF839">
        <v>36</v>
      </c>
      <c r="AG839">
        <v>0</v>
      </c>
      <c r="AH839">
        <v>0</v>
      </c>
      <c r="AI839">
        <v>186</v>
      </c>
    </row>
    <row r="840" spans="1:35" x14ac:dyDescent="0.35">
      <c r="A840" t="s">
        <v>192</v>
      </c>
      <c r="B840" t="s">
        <v>24</v>
      </c>
      <c r="C840" t="s">
        <v>33</v>
      </c>
      <c r="D840" t="s">
        <v>34</v>
      </c>
      <c r="E840" t="s">
        <v>309</v>
      </c>
      <c r="F840" t="s">
        <v>310</v>
      </c>
      <c r="G840" s="20" t="s">
        <v>38</v>
      </c>
      <c r="H840" s="20" t="s">
        <v>39</v>
      </c>
      <c r="I840" t="str">
        <f t="shared" si="18"/>
        <v>Apis mellifera</v>
      </c>
      <c r="J840" t="s">
        <v>70</v>
      </c>
      <c r="K840" t="s">
        <v>332</v>
      </c>
      <c r="L840" t="s">
        <v>275</v>
      </c>
      <c r="M840" t="s">
        <v>157</v>
      </c>
      <c r="N840">
        <v>812</v>
      </c>
      <c r="O840" t="s">
        <v>155</v>
      </c>
      <c r="P840" t="s">
        <v>222</v>
      </c>
      <c r="Q840" s="6">
        <v>45208</v>
      </c>
      <c r="U840" t="s">
        <v>225</v>
      </c>
      <c r="AE840" s="7"/>
      <c r="AF840">
        <v>36</v>
      </c>
      <c r="AG840">
        <v>0</v>
      </c>
      <c r="AH840">
        <v>0</v>
      </c>
      <c r="AI840">
        <v>187</v>
      </c>
    </row>
    <row r="841" spans="1:35" x14ac:dyDescent="0.35">
      <c r="A841" t="s">
        <v>192</v>
      </c>
      <c r="B841" t="s">
        <v>24</v>
      </c>
      <c r="C841" t="s">
        <v>33</v>
      </c>
      <c r="D841" t="s">
        <v>34</v>
      </c>
      <c r="E841" t="s">
        <v>309</v>
      </c>
      <c r="F841" t="s">
        <v>310</v>
      </c>
      <c r="G841" s="20" t="s">
        <v>38</v>
      </c>
      <c r="H841" s="20" t="s">
        <v>39</v>
      </c>
      <c r="I841" t="str">
        <f t="shared" si="18"/>
        <v>Apis mellifera</v>
      </c>
      <c r="J841" t="s">
        <v>70</v>
      </c>
      <c r="K841" t="s">
        <v>332</v>
      </c>
      <c r="L841" t="s">
        <v>275</v>
      </c>
      <c r="M841" t="s">
        <v>157</v>
      </c>
      <c r="N841">
        <v>813</v>
      </c>
      <c r="O841" t="s">
        <v>155</v>
      </c>
      <c r="P841" t="s">
        <v>222</v>
      </c>
      <c r="Q841" s="6">
        <v>45208</v>
      </c>
      <c r="U841" t="s">
        <v>225</v>
      </c>
      <c r="AE841" s="7"/>
      <c r="AF841">
        <v>36</v>
      </c>
      <c r="AG841">
        <v>0</v>
      </c>
      <c r="AH841">
        <v>0</v>
      </c>
      <c r="AI841">
        <v>188</v>
      </c>
    </row>
    <row r="842" spans="1:35" x14ac:dyDescent="0.35">
      <c r="A842" t="s">
        <v>192</v>
      </c>
      <c r="B842" t="s">
        <v>24</v>
      </c>
      <c r="C842" t="s">
        <v>33</v>
      </c>
      <c r="D842" t="s">
        <v>65</v>
      </c>
      <c r="E842" t="s">
        <v>62</v>
      </c>
      <c r="F842" t="s">
        <v>311</v>
      </c>
      <c r="G842" s="20" t="s">
        <v>195</v>
      </c>
      <c r="H842" t="s">
        <v>7</v>
      </c>
      <c r="I842" t="str">
        <f t="shared" si="18"/>
        <v>Augochlora species</v>
      </c>
      <c r="J842" t="s">
        <v>65</v>
      </c>
      <c r="K842" t="s">
        <v>333</v>
      </c>
      <c r="L842" s="3" t="s">
        <v>196</v>
      </c>
      <c r="M842" s="3" t="s">
        <v>161</v>
      </c>
      <c r="N842">
        <v>682</v>
      </c>
      <c r="O842" t="s">
        <v>155</v>
      </c>
      <c r="P842" t="s">
        <v>222</v>
      </c>
      <c r="Q842" s="6">
        <v>45203</v>
      </c>
      <c r="R842">
        <v>0</v>
      </c>
      <c r="S842" s="13" t="s">
        <v>166</v>
      </c>
      <c r="T842" t="s">
        <v>72</v>
      </c>
      <c r="U842" t="s">
        <v>271</v>
      </c>
      <c r="AD842">
        <v>1</v>
      </c>
      <c r="AE842" s="7" t="s">
        <v>178</v>
      </c>
      <c r="AF842">
        <v>9</v>
      </c>
      <c r="AG842">
        <v>0</v>
      </c>
      <c r="AH842">
        <v>0</v>
      </c>
      <c r="AI842">
        <v>360</v>
      </c>
    </row>
    <row r="843" spans="1:35" x14ac:dyDescent="0.35">
      <c r="A843" t="s">
        <v>192</v>
      </c>
      <c r="B843" t="s">
        <v>24</v>
      </c>
      <c r="C843" t="s">
        <v>33</v>
      </c>
      <c r="D843" t="s">
        <v>65</v>
      </c>
      <c r="E843" t="s">
        <v>62</v>
      </c>
      <c r="F843" t="s">
        <v>311</v>
      </c>
      <c r="G843" s="20" t="s">
        <v>142</v>
      </c>
      <c r="H843" t="s">
        <v>7</v>
      </c>
      <c r="I843" t="str">
        <f t="shared" si="18"/>
        <v>Augochloropsis species</v>
      </c>
      <c r="J843" t="s">
        <v>65</v>
      </c>
      <c r="K843" t="s">
        <v>333</v>
      </c>
      <c r="L843" s="3" t="s">
        <v>196</v>
      </c>
      <c r="M843" s="3" t="s">
        <v>161</v>
      </c>
      <c r="N843">
        <v>676</v>
      </c>
      <c r="O843" t="s">
        <v>155</v>
      </c>
      <c r="P843" t="s">
        <v>222</v>
      </c>
      <c r="Q843" s="6">
        <v>45203</v>
      </c>
      <c r="R843">
        <v>1</v>
      </c>
      <c r="S843" t="s">
        <v>166</v>
      </c>
      <c r="T843" t="s">
        <v>72</v>
      </c>
      <c r="U843" t="s">
        <v>271</v>
      </c>
      <c r="AD843">
        <v>1</v>
      </c>
      <c r="AE843" s="7" t="s">
        <v>178</v>
      </c>
      <c r="AF843">
        <v>6</v>
      </c>
      <c r="AG843">
        <v>0</v>
      </c>
      <c r="AH843">
        <v>0</v>
      </c>
      <c r="AI843">
        <v>361</v>
      </c>
    </row>
    <row r="844" spans="1:35" x14ac:dyDescent="0.35">
      <c r="A844" t="s">
        <v>192</v>
      </c>
      <c r="B844" t="s">
        <v>24</v>
      </c>
      <c r="C844" t="s">
        <v>33</v>
      </c>
      <c r="D844" t="s">
        <v>34</v>
      </c>
      <c r="E844" t="s">
        <v>309</v>
      </c>
      <c r="F844" t="s">
        <v>139</v>
      </c>
      <c r="G844" s="20" t="s">
        <v>140</v>
      </c>
      <c r="H844" s="20" t="s">
        <v>141</v>
      </c>
      <c r="I844" t="str">
        <f t="shared" si="18"/>
        <v>Eulaema polychroma</v>
      </c>
      <c r="J844" t="s">
        <v>242</v>
      </c>
      <c r="K844" t="s">
        <v>331</v>
      </c>
      <c r="L844" t="s">
        <v>273</v>
      </c>
      <c r="N844">
        <v>717</v>
      </c>
      <c r="O844" t="s">
        <v>155</v>
      </c>
      <c r="P844" t="s">
        <v>222</v>
      </c>
      <c r="Q844" s="6">
        <v>45208</v>
      </c>
      <c r="R844">
        <v>1</v>
      </c>
      <c r="S844" s="3" t="s">
        <v>170</v>
      </c>
      <c r="T844" t="s">
        <v>229</v>
      </c>
      <c r="U844" t="s">
        <v>229</v>
      </c>
      <c r="AD844">
        <v>1</v>
      </c>
      <c r="AE844" s="7" t="s">
        <v>177</v>
      </c>
      <c r="AF844">
        <v>18</v>
      </c>
      <c r="AG844">
        <v>0</v>
      </c>
      <c r="AH844">
        <v>0</v>
      </c>
      <c r="AI844">
        <v>362</v>
      </c>
    </row>
    <row r="845" spans="1:35" x14ac:dyDescent="0.35">
      <c r="A845" t="s">
        <v>192</v>
      </c>
      <c r="B845" t="s">
        <v>24</v>
      </c>
      <c r="C845" t="s">
        <v>33</v>
      </c>
      <c r="D845" t="s">
        <v>34</v>
      </c>
      <c r="E845" t="s">
        <v>309</v>
      </c>
      <c r="F845" t="s">
        <v>42</v>
      </c>
      <c r="G845" s="20" t="s">
        <v>144</v>
      </c>
      <c r="H845" s="21" t="s">
        <v>145</v>
      </c>
      <c r="I845" t="str">
        <f t="shared" si="18"/>
        <v>Frieseomelitta nigra</v>
      </c>
      <c r="J845" t="s">
        <v>42</v>
      </c>
      <c r="K845" t="s">
        <v>334</v>
      </c>
      <c r="L845" t="s">
        <v>44</v>
      </c>
      <c r="N845">
        <v>674</v>
      </c>
      <c r="O845" t="s">
        <v>155</v>
      </c>
      <c r="P845" t="s">
        <v>222</v>
      </c>
      <c r="Q845" s="6">
        <v>45203</v>
      </c>
      <c r="R845">
        <v>0</v>
      </c>
      <c r="U845" t="s">
        <v>225</v>
      </c>
      <c r="AD845">
        <v>1</v>
      </c>
      <c r="AE845" s="7" t="s">
        <v>177</v>
      </c>
      <c r="AF845">
        <v>6</v>
      </c>
      <c r="AG845">
        <v>0</v>
      </c>
      <c r="AH845">
        <v>0</v>
      </c>
      <c r="AI845">
        <v>363</v>
      </c>
    </row>
    <row r="846" spans="1:35" x14ac:dyDescent="0.35">
      <c r="A846" t="s">
        <v>192</v>
      </c>
      <c r="B846" t="s">
        <v>24</v>
      </c>
      <c r="C846" t="s">
        <v>33</v>
      </c>
      <c r="D846" t="s">
        <v>34</v>
      </c>
      <c r="E846" t="s">
        <v>309</v>
      </c>
      <c r="F846" t="s">
        <v>42</v>
      </c>
      <c r="G846" s="20" t="s">
        <v>144</v>
      </c>
      <c r="H846" s="21" t="s">
        <v>145</v>
      </c>
      <c r="I846" t="str">
        <f t="shared" si="18"/>
        <v>Frieseomelitta nigra</v>
      </c>
      <c r="J846" t="s">
        <v>42</v>
      </c>
      <c r="K846" t="s">
        <v>334</v>
      </c>
      <c r="L846" t="s">
        <v>44</v>
      </c>
      <c r="N846">
        <v>688</v>
      </c>
      <c r="O846" t="s">
        <v>155</v>
      </c>
      <c r="P846" t="s">
        <v>222</v>
      </c>
      <c r="Q846" s="6">
        <v>45203</v>
      </c>
      <c r="R846">
        <v>0</v>
      </c>
      <c r="S846" t="s">
        <v>166</v>
      </c>
      <c r="T846" t="s">
        <v>72</v>
      </c>
      <c r="U846" t="s">
        <v>271</v>
      </c>
      <c r="AD846">
        <v>1</v>
      </c>
      <c r="AE846" s="7" t="s">
        <v>178</v>
      </c>
      <c r="AF846">
        <v>12</v>
      </c>
      <c r="AG846">
        <v>0</v>
      </c>
      <c r="AH846">
        <v>0</v>
      </c>
      <c r="AI846">
        <v>364</v>
      </c>
    </row>
    <row r="847" spans="1:35" x14ac:dyDescent="0.35">
      <c r="A847" t="s">
        <v>192</v>
      </c>
      <c r="B847" t="s">
        <v>24</v>
      </c>
      <c r="C847" t="s">
        <v>33</v>
      </c>
      <c r="D847" t="s">
        <v>34</v>
      </c>
      <c r="E847" t="s">
        <v>309</v>
      </c>
      <c r="F847" t="s">
        <v>42</v>
      </c>
      <c r="G847" s="20" t="s">
        <v>144</v>
      </c>
      <c r="H847" s="21" t="s">
        <v>145</v>
      </c>
      <c r="I847" t="str">
        <f t="shared" si="18"/>
        <v>Frieseomelitta nigra</v>
      </c>
      <c r="J847" t="s">
        <v>42</v>
      </c>
      <c r="K847" t="s">
        <v>334</v>
      </c>
      <c r="L847" t="s">
        <v>44</v>
      </c>
      <c r="N847">
        <v>701</v>
      </c>
      <c r="O847" t="s">
        <v>155</v>
      </c>
      <c r="P847" t="s">
        <v>222</v>
      </c>
      <c r="Q847" s="6">
        <v>45208</v>
      </c>
      <c r="R847">
        <v>0</v>
      </c>
      <c r="U847" t="s">
        <v>225</v>
      </c>
      <c r="AD847">
        <v>4</v>
      </c>
      <c r="AE847" s="7" t="s">
        <v>178</v>
      </c>
      <c r="AF847">
        <v>28</v>
      </c>
      <c r="AG847">
        <v>0</v>
      </c>
      <c r="AH847">
        <v>0</v>
      </c>
      <c r="AI847">
        <v>365</v>
      </c>
    </row>
    <row r="848" spans="1:35" x14ac:dyDescent="0.35">
      <c r="A848" t="s">
        <v>192</v>
      </c>
      <c r="B848" t="s">
        <v>24</v>
      </c>
      <c r="C848" t="s">
        <v>33</v>
      </c>
      <c r="D848" t="s">
        <v>34</v>
      </c>
      <c r="E848" t="s">
        <v>309</v>
      </c>
      <c r="F848" t="s">
        <v>42</v>
      </c>
      <c r="G848" s="20" t="s">
        <v>144</v>
      </c>
      <c r="H848" s="21" t="s">
        <v>145</v>
      </c>
      <c r="I848" t="str">
        <f t="shared" si="18"/>
        <v>Frieseomelitta nigra</v>
      </c>
      <c r="J848" t="s">
        <v>42</v>
      </c>
      <c r="K848" t="s">
        <v>334</v>
      </c>
      <c r="L848" t="s">
        <v>44</v>
      </c>
      <c r="N848">
        <v>718</v>
      </c>
      <c r="O848" t="s">
        <v>155</v>
      </c>
      <c r="P848" t="s">
        <v>222</v>
      </c>
      <c r="Q848" s="6">
        <v>45208</v>
      </c>
      <c r="R848">
        <v>0</v>
      </c>
      <c r="S848" s="3" t="s">
        <v>166</v>
      </c>
      <c r="T848" t="s">
        <v>72</v>
      </c>
      <c r="U848" t="s">
        <v>271</v>
      </c>
      <c r="AD848">
        <v>2</v>
      </c>
      <c r="AE848" s="7" t="s">
        <v>187</v>
      </c>
      <c r="AF848">
        <v>34</v>
      </c>
      <c r="AG848">
        <v>0</v>
      </c>
      <c r="AH848">
        <v>0</v>
      </c>
      <c r="AI848">
        <v>366</v>
      </c>
    </row>
    <row r="849" spans="1:35" x14ac:dyDescent="0.35">
      <c r="A849" t="s">
        <v>192</v>
      </c>
      <c r="B849" t="s">
        <v>24</v>
      </c>
      <c r="C849" t="s">
        <v>33</v>
      </c>
      <c r="D849" t="s">
        <v>34</v>
      </c>
      <c r="E849" t="s">
        <v>309</v>
      </c>
      <c r="F849" t="s">
        <v>42</v>
      </c>
      <c r="G849" s="20" t="s">
        <v>144</v>
      </c>
      <c r="H849" s="21" t="s">
        <v>145</v>
      </c>
      <c r="I849" t="str">
        <f t="shared" si="18"/>
        <v>Frieseomelitta nigra</v>
      </c>
      <c r="J849" t="s">
        <v>42</v>
      </c>
      <c r="K849" t="s">
        <v>334</v>
      </c>
      <c r="L849" t="s">
        <v>44</v>
      </c>
      <c r="N849">
        <v>739</v>
      </c>
      <c r="O849" t="s">
        <v>155</v>
      </c>
      <c r="P849" t="s">
        <v>222</v>
      </c>
      <c r="Q849" s="6">
        <v>45208</v>
      </c>
      <c r="R849">
        <v>1</v>
      </c>
      <c r="U849" t="s">
        <v>225</v>
      </c>
      <c r="AD849">
        <v>1</v>
      </c>
      <c r="AE849" s="7" t="s">
        <v>177</v>
      </c>
      <c r="AF849">
        <v>37</v>
      </c>
      <c r="AG849">
        <v>0</v>
      </c>
      <c r="AH849">
        <v>0</v>
      </c>
      <c r="AI849">
        <v>367</v>
      </c>
    </row>
    <row r="850" spans="1:35" x14ac:dyDescent="0.35">
      <c r="A850" t="s">
        <v>192</v>
      </c>
      <c r="B850" t="s">
        <v>24</v>
      </c>
      <c r="C850" t="s">
        <v>33</v>
      </c>
      <c r="D850" t="s">
        <v>34</v>
      </c>
      <c r="E850" t="s">
        <v>309</v>
      </c>
      <c r="F850" t="s">
        <v>42</v>
      </c>
      <c r="G850" s="20" t="s">
        <v>144</v>
      </c>
      <c r="H850" s="21" t="s">
        <v>145</v>
      </c>
      <c r="I850" t="str">
        <f t="shared" si="18"/>
        <v>Frieseomelitta nigra</v>
      </c>
      <c r="J850" t="s">
        <v>42</v>
      </c>
      <c r="K850" t="s">
        <v>334</v>
      </c>
      <c r="L850" t="s">
        <v>44</v>
      </c>
      <c r="N850">
        <v>760</v>
      </c>
      <c r="O850" t="s">
        <v>155</v>
      </c>
      <c r="P850" t="s">
        <v>222</v>
      </c>
      <c r="Q850" s="6">
        <v>45208</v>
      </c>
      <c r="R850">
        <v>1</v>
      </c>
      <c r="S850" t="s">
        <v>166</v>
      </c>
      <c r="T850" t="s">
        <v>72</v>
      </c>
      <c r="U850" t="s">
        <v>271</v>
      </c>
      <c r="AD850">
        <v>2</v>
      </c>
      <c r="AE850" s="7" t="s">
        <v>179</v>
      </c>
      <c r="AF850">
        <v>36</v>
      </c>
      <c r="AG850">
        <v>0</v>
      </c>
      <c r="AH850">
        <v>0</v>
      </c>
      <c r="AI850">
        <v>368</v>
      </c>
    </row>
    <row r="851" spans="1:35" x14ac:dyDescent="0.35">
      <c r="A851" t="s">
        <v>192</v>
      </c>
      <c r="B851" t="s">
        <v>24</v>
      </c>
      <c r="C851" t="s">
        <v>33</v>
      </c>
      <c r="D851" t="s">
        <v>34</v>
      </c>
      <c r="E851" t="s">
        <v>309</v>
      </c>
      <c r="F851" t="s">
        <v>42</v>
      </c>
      <c r="G851" s="20" t="s">
        <v>144</v>
      </c>
      <c r="H851" s="21" t="s">
        <v>145</v>
      </c>
      <c r="I851" t="str">
        <f t="shared" si="18"/>
        <v>Frieseomelitta nigra</v>
      </c>
      <c r="J851" t="s">
        <v>42</v>
      </c>
      <c r="K851" t="s">
        <v>334</v>
      </c>
      <c r="L851" t="s">
        <v>44</v>
      </c>
      <c r="N851">
        <v>765</v>
      </c>
      <c r="O851" t="s">
        <v>155</v>
      </c>
      <c r="P851" t="s">
        <v>222</v>
      </c>
      <c r="Q851" s="6">
        <v>45208</v>
      </c>
      <c r="U851" t="s">
        <v>225</v>
      </c>
      <c r="AD851">
        <v>2</v>
      </c>
      <c r="AE851" s="7" t="s">
        <v>180</v>
      </c>
      <c r="AF851">
        <v>36</v>
      </c>
      <c r="AG851">
        <v>0</v>
      </c>
      <c r="AH851">
        <v>0</v>
      </c>
      <c r="AI851">
        <v>369</v>
      </c>
    </row>
    <row r="852" spans="1:35" x14ac:dyDescent="0.35">
      <c r="A852" t="s">
        <v>192</v>
      </c>
      <c r="B852" t="s">
        <v>24</v>
      </c>
      <c r="C852" t="s">
        <v>33</v>
      </c>
      <c r="D852" t="s">
        <v>34</v>
      </c>
      <c r="E852" t="s">
        <v>309</v>
      </c>
      <c r="F852" t="s">
        <v>42</v>
      </c>
      <c r="G852" s="20" t="s">
        <v>144</v>
      </c>
      <c r="H852" s="21" t="s">
        <v>145</v>
      </c>
      <c r="I852" t="str">
        <f t="shared" si="18"/>
        <v>Frieseomelitta nigra</v>
      </c>
      <c r="J852" t="s">
        <v>42</v>
      </c>
      <c r="K852" t="s">
        <v>334</v>
      </c>
      <c r="L852" t="s">
        <v>44</v>
      </c>
      <c r="N852">
        <v>779</v>
      </c>
      <c r="O852" t="s">
        <v>155</v>
      </c>
      <c r="P852" t="s">
        <v>222</v>
      </c>
      <c r="Q852" s="6">
        <v>45208</v>
      </c>
      <c r="R852">
        <v>1</v>
      </c>
      <c r="U852" t="s">
        <v>225</v>
      </c>
      <c r="AD852">
        <v>3</v>
      </c>
      <c r="AE852" s="7" t="s">
        <v>178</v>
      </c>
      <c r="AF852">
        <v>36</v>
      </c>
      <c r="AG852">
        <v>0</v>
      </c>
      <c r="AH852">
        <v>0</v>
      </c>
      <c r="AI852">
        <v>370</v>
      </c>
    </row>
    <row r="853" spans="1:35" x14ac:dyDescent="0.35">
      <c r="A853" t="s">
        <v>192</v>
      </c>
      <c r="B853" t="s">
        <v>24</v>
      </c>
      <c r="C853" t="s">
        <v>33</v>
      </c>
      <c r="D853" t="s">
        <v>34</v>
      </c>
      <c r="E853" t="s">
        <v>309</v>
      </c>
      <c r="F853" t="s">
        <v>42</v>
      </c>
      <c r="G853" s="20" t="s">
        <v>144</v>
      </c>
      <c r="H853" s="21" t="s">
        <v>145</v>
      </c>
      <c r="I853" t="str">
        <f t="shared" si="18"/>
        <v>Frieseomelitta nigra</v>
      </c>
      <c r="J853" t="s">
        <v>42</v>
      </c>
      <c r="K853" t="s">
        <v>334</v>
      </c>
      <c r="L853" t="s">
        <v>44</v>
      </c>
      <c r="N853">
        <v>780</v>
      </c>
      <c r="O853" t="s">
        <v>155</v>
      </c>
      <c r="P853" t="s">
        <v>222</v>
      </c>
      <c r="Q853" s="6">
        <v>45208</v>
      </c>
      <c r="R853">
        <v>0</v>
      </c>
      <c r="U853" t="s">
        <v>225</v>
      </c>
      <c r="AD853">
        <v>3</v>
      </c>
      <c r="AE853" s="7" t="s">
        <v>177</v>
      </c>
      <c r="AF853">
        <v>36</v>
      </c>
      <c r="AG853">
        <v>0</v>
      </c>
      <c r="AH853">
        <v>0</v>
      </c>
      <c r="AI853">
        <v>371</v>
      </c>
    </row>
    <row r="854" spans="1:35" x14ac:dyDescent="0.35">
      <c r="A854" t="s">
        <v>192</v>
      </c>
      <c r="B854" t="s">
        <v>24</v>
      </c>
      <c r="C854" t="s">
        <v>33</v>
      </c>
      <c r="D854" t="s">
        <v>34</v>
      </c>
      <c r="E854" t="s">
        <v>309</v>
      </c>
      <c r="F854" t="s">
        <v>42</v>
      </c>
      <c r="G854" s="20" t="s">
        <v>144</v>
      </c>
      <c r="H854" s="21" t="s">
        <v>145</v>
      </c>
      <c r="I854" t="str">
        <f t="shared" si="18"/>
        <v>Frieseomelitta nigra</v>
      </c>
      <c r="J854" t="s">
        <v>42</v>
      </c>
      <c r="K854" t="s">
        <v>334</v>
      </c>
      <c r="L854" t="s">
        <v>44</v>
      </c>
      <c r="N854">
        <v>781</v>
      </c>
      <c r="O854" t="s">
        <v>155</v>
      </c>
      <c r="P854" t="s">
        <v>222</v>
      </c>
      <c r="Q854" s="6">
        <v>45208</v>
      </c>
      <c r="R854">
        <v>1</v>
      </c>
      <c r="U854" t="s">
        <v>225</v>
      </c>
      <c r="AD854">
        <v>1</v>
      </c>
      <c r="AE854" s="7"/>
      <c r="AF854">
        <v>36</v>
      </c>
      <c r="AG854">
        <v>0</v>
      </c>
      <c r="AH854">
        <v>0</v>
      </c>
      <c r="AI854">
        <v>372</v>
      </c>
    </row>
    <row r="855" spans="1:35" x14ac:dyDescent="0.35">
      <c r="A855" t="s">
        <v>192</v>
      </c>
      <c r="B855" t="s">
        <v>24</v>
      </c>
      <c r="C855" t="s">
        <v>33</v>
      </c>
      <c r="D855" t="s">
        <v>34</v>
      </c>
      <c r="E855" t="s">
        <v>309</v>
      </c>
      <c r="F855" t="s">
        <v>42</v>
      </c>
      <c r="G855" s="20" t="s">
        <v>146</v>
      </c>
      <c r="H855" s="20" t="s">
        <v>147</v>
      </c>
      <c r="I855" t="str">
        <f t="shared" si="18"/>
        <v>Melipona beecheii</v>
      </c>
      <c r="J855" t="s">
        <v>327</v>
      </c>
      <c r="K855" t="s">
        <v>333</v>
      </c>
      <c r="L855" t="s">
        <v>274</v>
      </c>
      <c r="N855">
        <v>675</v>
      </c>
      <c r="O855" t="s">
        <v>155</v>
      </c>
      <c r="P855" t="s">
        <v>222</v>
      </c>
      <c r="Q855" s="6">
        <v>45203</v>
      </c>
      <c r="R855">
        <v>1</v>
      </c>
      <c r="S855" t="s">
        <v>170</v>
      </c>
      <c r="T855" t="s">
        <v>229</v>
      </c>
      <c r="U855" t="s">
        <v>229</v>
      </c>
      <c r="AD855">
        <v>2</v>
      </c>
      <c r="AE855" s="7" t="s">
        <v>178</v>
      </c>
      <c r="AF855">
        <v>8</v>
      </c>
      <c r="AG855">
        <v>0</v>
      </c>
      <c r="AH855">
        <v>0</v>
      </c>
      <c r="AI855">
        <v>373</v>
      </c>
    </row>
    <row r="856" spans="1:35" x14ac:dyDescent="0.35">
      <c r="A856" t="s">
        <v>192</v>
      </c>
      <c r="B856" t="s">
        <v>24</v>
      </c>
      <c r="C856" t="s">
        <v>33</v>
      </c>
      <c r="D856" t="s">
        <v>34</v>
      </c>
      <c r="E856" t="s">
        <v>309</v>
      </c>
      <c r="F856" t="s">
        <v>42</v>
      </c>
      <c r="G856" s="20" t="s">
        <v>146</v>
      </c>
      <c r="H856" s="20" t="s">
        <v>147</v>
      </c>
      <c r="I856" t="str">
        <f t="shared" si="18"/>
        <v>Melipona beecheii</v>
      </c>
      <c r="J856" t="s">
        <v>327</v>
      </c>
      <c r="K856" t="s">
        <v>333</v>
      </c>
      <c r="L856" t="s">
        <v>274</v>
      </c>
      <c r="N856">
        <v>689</v>
      </c>
      <c r="O856" t="s">
        <v>155</v>
      </c>
      <c r="P856" t="s">
        <v>222</v>
      </c>
      <c r="Q856" s="6">
        <v>45208</v>
      </c>
      <c r="R856">
        <v>1</v>
      </c>
      <c r="S856" t="s">
        <v>166</v>
      </c>
      <c r="T856" t="s">
        <v>72</v>
      </c>
      <c r="U856" t="s">
        <v>271</v>
      </c>
      <c r="AD856">
        <v>1</v>
      </c>
      <c r="AE856" s="7" t="s">
        <v>178</v>
      </c>
      <c r="AF856">
        <v>18</v>
      </c>
      <c r="AG856">
        <v>0</v>
      </c>
      <c r="AH856">
        <v>0</v>
      </c>
      <c r="AI856">
        <v>374</v>
      </c>
    </row>
    <row r="857" spans="1:35" x14ac:dyDescent="0.35">
      <c r="A857" t="s">
        <v>192</v>
      </c>
      <c r="B857" t="s">
        <v>24</v>
      </c>
      <c r="C857" t="s">
        <v>33</v>
      </c>
      <c r="D857" t="s">
        <v>34</v>
      </c>
      <c r="E857" t="s">
        <v>309</v>
      </c>
      <c r="F857" t="s">
        <v>42</v>
      </c>
      <c r="G857" s="20" t="s">
        <v>146</v>
      </c>
      <c r="H857" s="20" t="s">
        <v>147</v>
      </c>
      <c r="I857" t="str">
        <f t="shared" si="18"/>
        <v>Melipona beecheii</v>
      </c>
      <c r="J857" t="s">
        <v>327</v>
      </c>
      <c r="K857" t="s">
        <v>333</v>
      </c>
      <c r="L857" t="s">
        <v>274</v>
      </c>
      <c r="N857">
        <v>770</v>
      </c>
      <c r="O857" t="s">
        <v>155</v>
      </c>
      <c r="P857" t="s">
        <v>222</v>
      </c>
      <c r="Q857" s="6">
        <v>45208</v>
      </c>
      <c r="R857">
        <v>1</v>
      </c>
      <c r="U857" t="s">
        <v>225</v>
      </c>
      <c r="AD857">
        <v>2</v>
      </c>
      <c r="AE857" s="7" t="s">
        <v>180</v>
      </c>
      <c r="AF857">
        <v>36</v>
      </c>
      <c r="AG857">
        <v>0</v>
      </c>
      <c r="AH857">
        <v>0</v>
      </c>
      <c r="AI857">
        <v>375</v>
      </c>
    </row>
    <row r="858" spans="1:35" x14ac:dyDescent="0.35">
      <c r="A858" t="s">
        <v>192</v>
      </c>
      <c r="B858" t="s">
        <v>24</v>
      </c>
      <c r="C858" t="s">
        <v>33</v>
      </c>
      <c r="D858" t="s">
        <v>34</v>
      </c>
      <c r="E858" t="s">
        <v>309</v>
      </c>
      <c r="F858" t="s">
        <v>42</v>
      </c>
      <c r="G858" s="20" t="s">
        <v>146</v>
      </c>
      <c r="H858" s="20" t="s">
        <v>147</v>
      </c>
      <c r="I858" t="str">
        <f t="shared" si="18"/>
        <v>Melipona beecheii</v>
      </c>
      <c r="J858" t="s">
        <v>327</v>
      </c>
      <c r="K858" t="s">
        <v>333</v>
      </c>
      <c r="L858" t="s">
        <v>274</v>
      </c>
      <c r="N858">
        <v>814</v>
      </c>
      <c r="O858" t="s">
        <v>155</v>
      </c>
      <c r="P858" t="s">
        <v>222</v>
      </c>
      <c r="Q858" s="6">
        <v>45208</v>
      </c>
      <c r="R858">
        <v>1</v>
      </c>
      <c r="S858" t="s">
        <v>166</v>
      </c>
      <c r="T858" t="s">
        <v>72</v>
      </c>
      <c r="U858" t="s">
        <v>271</v>
      </c>
      <c r="AD858">
        <v>2</v>
      </c>
      <c r="AE858" s="7" t="s">
        <v>178</v>
      </c>
      <c r="AF858">
        <v>36</v>
      </c>
      <c r="AG858">
        <v>0</v>
      </c>
      <c r="AH858">
        <v>0</v>
      </c>
      <c r="AI858">
        <v>376</v>
      </c>
    </row>
    <row r="859" spans="1:35" x14ac:dyDescent="0.35">
      <c r="A859" t="s">
        <v>192</v>
      </c>
      <c r="B859" t="s">
        <v>24</v>
      </c>
      <c r="C859" t="s">
        <v>33</v>
      </c>
      <c r="D859" t="s">
        <v>34</v>
      </c>
      <c r="E859" t="s">
        <v>309</v>
      </c>
      <c r="F859" t="s">
        <v>42</v>
      </c>
      <c r="G859" s="20" t="s">
        <v>158</v>
      </c>
      <c r="H859" s="21" t="s">
        <v>150</v>
      </c>
      <c r="I859" t="str">
        <f t="shared" si="18"/>
        <v>Nannotrigona perilampoides</v>
      </c>
      <c r="J859" t="s">
        <v>42</v>
      </c>
      <c r="K859" t="s">
        <v>334</v>
      </c>
      <c r="L859" t="s">
        <v>44</v>
      </c>
      <c r="N859">
        <v>566</v>
      </c>
      <c r="O859" t="s">
        <v>155</v>
      </c>
      <c r="P859" t="s">
        <v>223</v>
      </c>
      <c r="Q859" s="6">
        <v>45201</v>
      </c>
      <c r="R859">
        <v>0</v>
      </c>
      <c r="U859" t="s">
        <v>225</v>
      </c>
      <c r="AD859">
        <v>1</v>
      </c>
      <c r="AE859" s="7"/>
      <c r="AF859">
        <v>10</v>
      </c>
      <c r="AG859">
        <v>16</v>
      </c>
      <c r="AH859">
        <v>0</v>
      </c>
      <c r="AI859">
        <v>377</v>
      </c>
    </row>
    <row r="860" spans="1:35" x14ac:dyDescent="0.35">
      <c r="A860" t="s">
        <v>192</v>
      </c>
      <c r="B860" t="s">
        <v>24</v>
      </c>
      <c r="C860" t="s">
        <v>33</v>
      </c>
      <c r="D860" t="s">
        <v>34</v>
      </c>
      <c r="E860" t="s">
        <v>309</v>
      </c>
      <c r="F860" t="s">
        <v>42</v>
      </c>
      <c r="G860" s="20" t="s">
        <v>158</v>
      </c>
      <c r="H860" s="21" t="s">
        <v>150</v>
      </c>
      <c r="I860" t="str">
        <f t="shared" si="18"/>
        <v>Nannotrigona perilampoides</v>
      </c>
      <c r="J860" t="s">
        <v>42</v>
      </c>
      <c r="K860" t="s">
        <v>334</v>
      </c>
      <c r="L860" t="s">
        <v>44</v>
      </c>
      <c r="M860" t="s">
        <v>159</v>
      </c>
      <c r="N860">
        <v>650</v>
      </c>
      <c r="O860" t="s">
        <v>155</v>
      </c>
      <c r="P860" t="s">
        <v>223</v>
      </c>
      <c r="Q860" s="6">
        <v>45210</v>
      </c>
      <c r="R860">
        <v>0</v>
      </c>
      <c r="S860" t="s">
        <v>166</v>
      </c>
      <c r="T860" t="s">
        <v>72</v>
      </c>
      <c r="U860" t="s">
        <v>271</v>
      </c>
      <c r="AD860">
        <v>2</v>
      </c>
      <c r="AE860" s="7" t="s">
        <v>182</v>
      </c>
      <c r="AF860">
        <v>13</v>
      </c>
      <c r="AG860">
        <v>12</v>
      </c>
      <c r="AH860">
        <v>7</v>
      </c>
      <c r="AI860">
        <v>382</v>
      </c>
    </row>
    <row r="861" spans="1:35" x14ac:dyDescent="0.35">
      <c r="A861" t="s">
        <v>192</v>
      </c>
      <c r="B861" t="s">
        <v>24</v>
      </c>
      <c r="C861" t="s">
        <v>33</v>
      </c>
      <c r="D861" t="s">
        <v>34</v>
      </c>
      <c r="E861" t="s">
        <v>309</v>
      </c>
      <c r="F861" t="s">
        <v>42</v>
      </c>
      <c r="G861" s="20" t="s">
        <v>158</v>
      </c>
      <c r="H861" s="21" t="s">
        <v>150</v>
      </c>
      <c r="I861" t="str">
        <f t="shared" si="18"/>
        <v>Nannotrigona perilampoides</v>
      </c>
      <c r="J861" t="s">
        <v>42</v>
      </c>
      <c r="K861" t="s">
        <v>334</v>
      </c>
      <c r="L861" t="s">
        <v>44</v>
      </c>
      <c r="N861">
        <v>655</v>
      </c>
      <c r="O861" t="s">
        <v>155</v>
      </c>
      <c r="P861" t="s">
        <v>223</v>
      </c>
      <c r="Q861" s="6">
        <v>45210</v>
      </c>
      <c r="R861">
        <v>0</v>
      </c>
      <c r="S861" t="s">
        <v>166</v>
      </c>
      <c r="T861" t="s">
        <v>72</v>
      </c>
      <c r="U861" t="s">
        <v>271</v>
      </c>
      <c r="AD861">
        <v>1</v>
      </c>
      <c r="AE861" s="7" t="s">
        <v>180</v>
      </c>
      <c r="AF861">
        <v>13</v>
      </c>
      <c r="AG861">
        <v>12</v>
      </c>
      <c r="AH861">
        <v>7</v>
      </c>
      <c r="AI861">
        <v>383</v>
      </c>
    </row>
    <row r="862" spans="1:35" x14ac:dyDescent="0.35">
      <c r="A862" t="s">
        <v>192</v>
      </c>
      <c r="B862" t="s">
        <v>24</v>
      </c>
      <c r="C862" t="s">
        <v>33</v>
      </c>
      <c r="D862" t="s">
        <v>34</v>
      </c>
      <c r="E862" t="s">
        <v>309</v>
      </c>
      <c r="F862" t="s">
        <v>42</v>
      </c>
      <c r="G862" s="20" t="s">
        <v>158</v>
      </c>
      <c r="H862" s="21" t="s">
        <v>150</v>
      </c>
      <c r="I862" t="str">
        <f t="shared" si="18"/>
        <v>Nannotrigona perilampoides</v>
      </c>
      <c r="J862" t="s">
        <v>42</v>
      </c>
      <c r="K862" t="s">
        <v>334</v>
      </c>
      <c r="L862" t="s">
        <v>44</v>
      </c>
      <c r="M862" t="s">
        <v>159</v>
      </c>
      <c r="N862">
        <v>659</v>
      </c>
      <c r="O862" t="s">
        <v>155</v>
      </c>
      <c r="P862" t="s">
        <v>223</v>
      </c>
      <c r="Q862" s="6">
        <v>45210</v>
      </c>
      <c r="R862">
        <v>0</v>
      </c>
      <c r="S862" t="s">
        <v>166</v>
      </c>
      <c r="T862" t="s">
        <v>72</v>
      </c>
      <c r="U862" t="s">
        <v>271</v>
      </c>
      <c r="AD862">
        <v>1</v>
      </c>
      <c r="AE862" s="7" t="s">
        <v>180</v>
      </c>
      <c r="AF862">
        <v>13</v>
      </c>
      <c r="AG862">
        <v>12</v>
      </c>
      <c r="AH862">
        <v>7</v>
      </c>
      <c r="AI862">
        <v>384</v>
      </c>
    </row>
    <row r="863" spans="1:35" x14ac:dyDescent="0.35">
      <c r="A863" t="s">
        <v>192</v>
      </c>
      <c r="B863" t="s">
        <v>24</v>
      </c>
      <c r="C863" t="s">
        <v>33</v>
      </c>
      <c r="D863" t="s">
        <v>34</v>
      </c>
      <c r="E863" t="s">
        <v>309</v>
      </c>
      <c r="F863" t="s">
        <v>42</v>
      </c>
      <c r="G863" s="20" t="s">
        <v>158</v>
      </c>
      <c r="H863" s="21" t="s">
        <v>150</v>
      </c>
      <c r="I863" t="str">
        <f t="shared" si="18"/>
        <v>Nannotrigona perilampoides</v>
      </c>
      <c r="J863" t="s">
        <v>42</v>
      </c>
      <c r="K863" t="s">
        <v>334</v>
      </c>
      <c r="L863" t="s">
        <v>44</v>
      </c>
      <c r="M863" t="s">
        <v>159</v>
      </c>
      <c r="N863">
        <v>660</v>
      </c>
      <c r="O863" t="s">
        <v>155</v>
      </c>
      <c r="P863" t="s">
        <v>223</v>
      </c>
      <c r="Q863" s="6">
        <v>45210</v>
      </c>
      <c r="R863">
        <v>0</v>
      </c>
      <c r="S863" t="s">
        <v>166</v>
      </c>
      <c r="T863" t="s">
        <v>72</v>
      </c>
      <c r="U863" t="s">
        <v>271</v>
      </c>
      <c r="AD863">
        <v>1</v>
      </c>
      <c r="AE863" s="7" t="s">
        <v>179</v>
      </c>
      <c r="AF863">
        <v>13</v>
      </c>
      <c r="AG863">
        <v>12</v>
      </c>
      <c r="AH863">
        <v>7</v>
      </c>
      <c r="AI863">
        <v>385</v>
      </c>
    </row>
    <row r="864" spans="1:35" x14ac:dyDescent="0.35">
      <c r="A864" t="s">
        <v>192</v>
      </c>
      <c r="B864" t="s">
        <v>24</v>
      </c>
      <c r="C864" t="s">
        <v>33</v>
      </c>
      <c r="D864" t="s">
        <v>34</v>
      </c>
      <c r="E864" t="s">
        <v>309</v>
      </c>
      <c r="F864" t="s">
        <v>42</v>
      </c>
      <c r="G864" s="20" t="s">
        <v>158</v>
      </c>
      <c r="H864" s="21" t="s">
        <v>150</v>
      </c>
      <c r="I864" t="str">
        <f t="shared" si="18"/>
        <v>Nannotrigona perilampoides</v>
      </c>
      <c r="J864" t="s">
        <v>42</v>
      </c>
      <c r="K864" t="s">
        <v>334</v>
      </c>
      <c r="L864" t="s">
        <v>44</v>
      </c>
      <c r="M864" t="s">
        <v>159</v>
      </c>
      <c r="N864">
        <v>661</v>
      </c>
      <c r="O864" t="s">
        <v>155</v>
      </c>
      <c r="P864" t="s">
        <v>223</v>
      </c>
      <c r="Q864" s="6">
        <v>45210</v>
      </c>
      <c r="R864">
        <v>0</v>
      </c>
      <c r="S864" t="s">
        <v>166</v>
      </c>
      <c r="T864" t="s">
        <v>72</v>
      </c>
      <c r="U864" t="s">
        <v>271</v>
      </c>
      <c r="AD864">
        <v>2</v>
      </c>
      <c r="AE864" s="7" t="s">
        <v>177</v>
      </c>
      <c r="AF864">
        <v>13</v>
      </c>
      <c r="AG864">
        <v>12</v>
      </c>
      <c r="AH864">
        <v>7</v>
      </c>
      <c r="AI864">
        <v>386</v>
      </c>
    </row>
    <row r="865" spans="1:35" x14ac:dyDescent="0.35">
      <c r="A865" t="s">
        <v>192</v>
      </c>
      <c r="B865" t="s">
        <v>24</v>
      </c>
      <c r="C865" t="s">
        <v>33</v>
      </c>
      <c r="D865" t="s">
        <v>34</v>
      </c>
      <c r="E865" t="s">
        <v>309</v>
      </c>
      <c r="F865" t="s">
        <v>42</v>
      </c>
      <c r="G865" s="20" t="s">
        <v>158</v>
      </c>
      <c r="H865" s="21" t="s">
        <v>150</v>
      </c>
      <c r="I865" t="str">
        <f t="shared" si="18"/>
        <v>Nannotrigona perilampoides</v>
      </c>
      <c r="J865" t="s">
        <v>42</v>
      </c>
      <c r="K865" t="s">
        <v>334</v>
      </c>
      <c r="L865" t="s">
        <v>44</v>
      </c>
      <c r="M865" t="s">
        <v>159</v>
      </c>
      <c r="N865">
        <v>672</v>
      </c>
      <c r="O865" t="s">
        <v>155</v>
      </c>
      <c r="P865" t="s">
        <v>223</v>
      </c>
      <c r="Q865" s="6">
        <v>45210</v>
      </c>
      <c r="R865">
        <v>0</v>
      </c>
      <c r="S865" t="s">
        <v>166</v>
      </c>
      <c r="T865" t="s">
        <v>72</v>
      </c>
      <c r="U865" t="s">
        <v>271</v>
      </c>
      <c r="AD865">
        <v>2</v>
      </c>
      <c r="AE865" s="7" t="s">
        <v>179</v>
      </c>
      <c r="AF865">
        <v>13</v>
      </c>
      <c r="AG865">
        <v>12</v>
      </c>
      <c r="AH865">
        <v>7</v>
      </c>
      <c r="AI865">
        <v>387</v>
      </c>
    </row>
    <row r="866" spans="1:35" x14ac:dyDescent="0.35">
      <c r="A866" t="s">
        <v>192</v>
      </c>
      <c r="B866" t="s">
        <v>24</v>
      </c>
      <c r="C866" t="s">
        <v>33</v>
      </c>
      <c r="D866" t="s">
        <v>34</v>
      </c>
      <c r="E866" t="s">
        <v>309</v>
      </c>
      <c r="F866" t="s">
        <v>42</v>
      </c>
      <c r="G866" s="20" t="s">
        <v>158</v>
      </c>
      <c r="H866" s="21" t="s">
        <v>150</v>
      </c>
      <c r="I866" t="str">
        <f t="shared" si="18"/>
        <v>Nannotrigona perilampoides</v>
      </c>
      <c r="J866" t="s">
        <v>42</v>
      </c>
      <c r="K866" t="s">
        <v>334</v>
      </c>
      <c r="L866" t="s">
        <v>44</v>
      </c>
      <c r="M866" t="s">
        <v>159</v>
      </c>
      <c r="N866">
        <v>677</v>
      </c>
      <c r="O866" t="s">
        <v>155</v>
      </c>
      <c r="P866" t="s">
        <v>222</v>
      </c>
      <c r="Q866" s="6">
        <v>45203</v>
      </c>
      <c r="R866">
        <v>0</v>
      </c>
      <c r="S866" t="s">
        <v>166</v>
      </c>
      <c r="T866" t="s">
        <v>72</v>
      </c>
      <c r="U866" t="s">
        <v>271</v>
      </c>
      <c r="AD866">
        <v>1</v>
      </c>
      <c r="AE866" s="7" t="s">
        <v>178</v>
      </c>
      <c r="AF866">
        <v>9</v>
      </c>
      <c r="AG866">
        <v>0</v>
      </c>
      <c r="AH866">
        <v>0</v>
      </c>
      <c r="AI866">
        <v>378</v>
      </c>
    </row>
    <row r="867" spans="1:35" x14ac:dyDescent="0.35">
      <c r="A867" t="s">
        <v>192</v>
      </c>
      <c r="B867" t="s">
        <v>24</v>
      </c>
      <c r="C867" t="s">
        <v>33</v>
      </c>
      <c r="D867" t="s">
        <v>34</v>
      </c>
      <c r="E867" t="s">
        <v>309</v>
      </c>
      <c r="F867" t="s">
        <v>42</v>
      </c>
      <c r="G867" s="20" t="s">
        <v>158</v>
      </c>
      <c r="H867" s="21" t="s">
        <v>150</v>
      </c>
      <c r="I867" t="str">
        <f t="shared" si="18"/>
        <v>Nannotrigona perilampoides</v>
      </c>
      <c r="J867" t="s">
        <v>42</v>
      </c>
      <c r="K867" t="s">
        <v>334</v>
      </c>
      <c r="L867" t="s">
        <v>44</v>
      </c>
      <c r="M867" t="s">
        <v>159</v>
      </c>
      <c r="N867">
        <v>678</v>
      </c>
      <c r="O867" t="s">
        <v>155</v>
      </c>
      <c r="P867" t="s">
        <v>222</v>
      </c>
      <c r="Q867" s="6">
        <v>45203</v>
      </c>
      <c r="R867">
        <v>0</v>
      </c>
      <c r="S867" t="s">
        <v>166</v>
      </c>
      <c r="T867" t="s">
        <v>72</v>
      </c>
      <c r="U867" t="s">
        <v>271</v>
      </c>
      <c r="AD867">
        <v>1</v>
      </c>
      <c r="AE867" s="7" t="s">
        <v>177</v>
      </c>
      <c r="AF867">
        <v>9</v>
      </c>
      <c r="AG867">
        <v>0</v>
      </c>
      <c r="AH867">
        <v>0</v>
      </c>
      <c r="AI867">
        <v>379</v>
      </c>
    </row>
    <row r="868" spans="1:35" x14ac:dyDescent="0.35">
      <c r="A868" t="s">
        <v>192</v>
      </c>
      <c r="B868" t="s">
        <v>24</v>
      </c>
      <c r="C868" t="s">
        <v>33</v>
      </c>
      <c r="D868" t="s">
        <v>34</v>
      </c>
      <c r="E868" t="s">
        <v>309</v>
      </c>
      <c r="F868" t="s">
        <v>42</v>
      </c>
      <c r="G868" s="20" t="s">
        <v>158</v>
      </c>
      <c r="H868" s="21" t="s">
        <v>150</v>
      </c>
      <c r="I868" t="str">
        <f t="shared" si="18"/>
        <v>Nannotrigona perilampoides</v>
      </c>
      <c r="J868" t="s">
        <v>42</v>
      </c>
      <c r="K868" t="s">
        <v>334</v>
      </c>
      <c r="L868" t="s">
        <v>44</v>
      </c>
      <c r="M868" t="s">
        <v>159</v>
      </c>
      <c r="N868">
        <v>680</v>
      </c>
      <c r="O868" t="s">
        <v>155</v>
      </c>
      <c r="P868" t="s">
        <v>222</v>
      </c>
      <c r="Q868" s="6">
        <v>45203</v>
      </c>
      <c r="R868">
        <v>0</v>
      </c>
      <c r="U868" t="s">
        <v>225</v>
      </c>
      <c r="AD868">
        <v>1</v>
      </c>
      <c r="AE868" s="7" t="s">
        <v>178</v>
      </c>
      <c r="AF868">
        <v>7</v>
      </c>
      <c r="AG868">
        <v>0</v>
      </c>
      <c r="AH868">
        <v>0</v>
      </c>
      <c r="AI868">
        <v>380</v>
      </c>
    </row>
    <row r="869" spans="1:35" x14ac:dyDescent="0.35">
      <c r="A869" t="s">
        <v>192</v>
      </c>
      <c r="B869" t="s">
        <v>24</v>
      </c>
      <c r="C869" t="s">
        <v>33</v>
      </c>
      <c r="D869" t="s">
        <v>34</v>
      </c>
      <c r="E869" t="s">
        <v>309</v>
      </c>
      <c r="F869" t="s">
        <v>42</v>
      </c>
      <c r="G869" s="20" t="s">
        <v>158</v>
      </c>
      <c r="H869" s="21" t="s">
        <v>150</v>
      </c>
      <c r="I869" t="str">
        <f t="shared" si="18"/>
        <v>Nannotrigona perilampoides</v>
      </c>
      <c r="J869" t="s">
        <v>42</v>
      </c>
      <c r="K869" t="s">
        <v>334</v>
      </c>
      <c r="L869" t="s">
        <v>44</v>
      </c>
      <c r="M869" t="s">
        <v>159</v>
      </c>
      <c r="N869">
        <v>681</v>
      </c>
      <c r="O869" t="s">
        <v>155</v>
      </c>
      <c r="P869" t="s">
        <v>222</v>
      </c>
      <c r="Q869" s="6">
        <v>45203</v>
      </c>
      <c r="R869">
        <v>0</v>
      </c>
      <c r="S869" t="s">
        <v>166</v>
      </c>
      <c r="T869" t="s">
        <v>72</v>
      </c>
      <c r="U869" t="s">
        <v>271</v>
      </c>
      <c r="AD869">
        <v>1</v>
      </c>
      <c r="AE869" s="7" t="s">
        <v>178</v>
      </c>
      <c r="AF869">
        <v>9</v>
      </c>
      <c r="AG869">
        <v>0</v>
      </c>
      <c r="AH869">
        <v>0</v>
      </c>
      <c r="AI869">
        <v>381</v>
      </c>
    </row>
    <row r="870" spans="1:35" x14ac:dyDescent="0.35">
      <c r="A870" t="s">
        <v>192</v>
      </c>
      <c r="B870" t="s">
        <v>24</v>
      </c>
      <c r="C870" t="s">
        <v>33</v>
      </c>
      <c r="D870" t="s">
        <v>34</v>
      </c>
      <c r="E870" t="s">
        <v>309</v>
      </c>
      <c r="F870" t="s">
        <v>42</v>
      </c>
      <c r="G870" s="20" t="s">
        <v>162</v>
      </c>
      <c r="H870" s="21" t="s">
        <v>163</v>
      </c>
      <c r="I870" t="str">
        <f t="shared" ref="I870:I893" si="19">G870&amp;" "&amp;H870</f>
        <v>Partamona bilineata</v>
      </c>
      <c r="J870" t="s">
        <v>42</v>
      </c>
      <c r="K870" t="s">
        <v>334</v>
      </c>
      <c r="L870" t="s">
        <v>44</v>
      </c>
      <c r="M870" t="s">
        <v>77</v>
      </c>
      <c r="N870">
        <v>738</v>
      </c>
      <c r="O870" t="s">
        <v>155</v>
      </c>
      <c r="P870" t="s">
        <v>222</v>
      </c>
      <c r="Q870" s="6">
        <v>45208</v>
      </c>
      <c r="R870">
        <v>1</v>
      </c>
      <c r="U870" t="s">
        <v>225</v>
      </c>
      <c r="AD870">
        <v>1</v>
      </c>
      <c r="AE870" s="7" t="s">
        <v>178</v>
      </c>
      <c r="AF870">
        <v>37</v>
      </c>
      <c r="AG870">
        <v>0</v>
      </c>
      <c r="AH870">
        <v>0</v>
      </c>
      <c r="AI870">
        <v>388</v>
      </c>
    </row>
    <row r="871" spans="1:35" x14ac:dyDescent="0.35">
      <c r="A871" t="s">
        <v>192</v>
      </c>
      <c r="B871" t="s">
        <v>24</v>
      </c>
      <c r="C871" t="s">
        <v>33</v>
      </c>
      <c r="D871" t="s">
        <v>34</v>
      </c>
      <c r="E871" t="s">
        <v>309</v>
      </c>
      <c r="F871" t="s">
        <v>42</v>
      </c>
      <c r="G871" s="20" t="s">
        <v>151</v>
      </c>
      <c r="H871" s="21" t="s">
        <v>152</v>
      </c>
      <c r="I871" t="str">
        <f t="shared" si="19"/>
        <v>Trigona fulviventris</v>
      </c>
      <c r="J871" t="s">
        <v>42</v>
      </c>
      <c r="K871" t="s">
        <v>334</v>
      </c>
      <c r="L871" t="s">
        <v>44</v>
      </c>
      <c r="N871">
        <v>499</v>
      </c>
      <c r="O871" t="s">
        <v>155</v>
      </c>
      <c r="P871" t="s">
        <v>154</v>
      </c>
      <c r="Q871" s="6">
        <v>45202</v>
      </c>
      <c r="R871">
        <v>1</v>
      </c>
      <c r="U871" t="s">
        <v>225</v>
      </c>
      <c r="AD871">
        <v>1</v>
      </c>
      <c r="AE871" s="7" t="s">
        <v>178</v>
      </c>
      <c r="AF871">
        <v>5</v>
      </c>
      <c r="AG871">
        <v>28</v>
      </c>
      <c r="AH871">
        <v>0</v>
      </c>
      <c r="AI871">
        <v>391</v>
      </c>
    </row>
    <row r="872" spans="1:35" x14ac:dyDescent="0.35">
      <c r="A872" t="s">
        <v>192</v>
      </c>
      <c r="B872" t="s">
        <v>24</v>
      </c>
      <c r="C872" t="s">
        <v>33</v>
      </c>
      <c r="D872" t="s">
        <v>34</v>
      </c>
      <c r="E872" t="s">
        <v>309</v>
      </c>
      <c r="F872" t="s">
        <v>42</v>
      </c>
      <c r="G872" s="20" t="s">
        <v>151</v>
      </c>
      <c r="H872" s="21" t="s">
        <v>152</v>
      </c>
      <c r="I872" t="str">
        <f t="shared" si="19"/>
        <v>Trigona fulviventris</v>
      </c>
      <c r="J872" t="s">
        <v>42</v>
      </c>
      <c r="K872" t="s">
        <v>334</v>
      </c>
      <c r="L872" t="s">
        <v>44</v>
      </c>
      <c r="N872">
        <v>500</v>
      </c>
      <c r="O872" t="s">
        <v>155</v>
      </c>
      <c r="P872" t="s">
        <v>154</v>
      </c>
      <c r="Q872" s="6">
        <v>45202</v>
      </c>
      <c r="R872">
        <v>1</v>
      </c>
      <c r="U872" t="s">
        <v>225</v>
      </c>
      <c r="AD872">
        <v>1</v>
      </c>
      <c r="AE872" s="7" t="s">
        <v>179</v>
      </c>
      <c r="AF872">
        <v>5</v>
      </c>
      <c r="AG872">
        <v>28</v>
      </c>
      <c r="AH872">
        <v>0</v>
      </c>
      <c r="AI872">
        <v>392</v>
      </c>
    </row>
    <row r="873" spans="1:35" x14ac:dyDescent="0.35">
      <c r="A873" t="s">
        <v>192</v>
      </c>
      <c r="B873" t="s">
        <v>24</v>
      </c>
      <c r="C873" t="s">
        <v>33</v>
      </c>
      <c r="D873" t="s">
        <v>34</v>
      </c>
      <c r="E873" t="s">
        <v>309</v>
      </c>
      <c r="F873" t="s">
        <v>42</v>
      </c>
      <c r="G873" s="20" t="s">
        <v>151</v>
      </c>
      <c r="H873" s="21" t="s">
        <v>152</v>
      </c>
      <c r="I873" t="str">
        <f t="shared" si="19"/>
        <v>Trigona fulviventris</v>
      </c>
      <c r="J873" t="s">
        <v>42</v>
      </c>
      <c r="K873" t="s">
        <v>334</v>
      </c>
      <c r="L873" t="s">
        <v>44</v>
      </c>
      <c r="N873">
        <v>501</v>
      </c>
      <c r="O873" t="s">
        <v>155</v>
      </c>
      <c r="P873" t="s">
        <v>154</v>
      </c>
      <c r="Q873" s="6">
        <v>45202</v>
      </c>
      <c r="R873">
        <v>1</v>
      </c>
      <c r="U873" t="s">
        <v>225</v>
      </c>
      <c r="AD873">
        <v>1</v>
      </c>
      <c r="AE873" s="7" t="s">
        <v>180</v>
      </c>
      <c r="AF873">
        <v>5</v>
      </c>
      <c r="AG873">
        <v>28</v>
      </c>
      <c r="AH873">
        <v>0</v>
      </c>
      <c r="AI873">
        <v>393</v>
      </c>
    </row>
    <row r="874" spans="1:35" x14ac:dyDescent="0.35">
      <c r="A874" t="s">
        <v>192</v>
      </c>
      <c r="B874" t="s">
        <v>24</v>
      </c>
      <c r="C874" t="s">
        <v>33</v>
      </c>
      <c r="D874" t="s">
        <v>34</v>
      </c>
      <c r="E874" t="s">
        <v>309</v>
      </c>
      <c r="F874" t="s">
        <v>42</v>
      </c>
      <c r="G874" s="20" t="s">
        <v>151</v>
      </c>
      <c r="H874" s="21" t="s">
        <v>152</v>
      </c>
      <c r="I874" t="str">
        <f t="shared" si="19"/>
        <v>Trigona fulviventris</v>
      </c>
      <c r="J874" t="s">
        <v>42</v>
      </c>
      <c r="K874" t="s">
        <v>334</v>
      </c>
      <c r="L874" t="s">
        <v>44</v>
      </c>
      <c r="N874">
        <v>502</v>
      </c>
      <c r="O874" t="s">
        <v>155</v>
      </c>
      <c r="P874" t="s">
        <v>154</v>
      </c>
      <c r="Q874" s="6">
        <v>45202</v>
      </c>
      <c r="R874">
        <v>1</v>
      </c>
      <c r="U874" t="s">
        <v>225</v>
      </c>
      <c r="AD874">
        <v>1</v>
      </c>
      <c r="AE874" s="7" t="s">
        <v>179</v>
      </c>
      <c r="AF874">
        <v>5</v>
      </c>
      <c r="AG874">
        <v>28</v>
      </c>
      <c r="AH874">
        <v>0</v>
      </c>
      <c r="AI874">
        <v>394</v>
      </c>
    </row>
    <row r="875" spans="1:35" x14ac:dyDescent="0.35">
      <c r="A875" t="s">
        <v>192</v>
      </c>
      <c r="B875" t="s">
        <v>24</v>
      </c>
      <c r="C875" t="s">
        <v>33</v>
      </c>
      <c r="D875" t="s">
        <v>34</v>
      </c>
      <c r="E875" t="s">
        <v>309</v>
      </c>
      <c r="F875" t="s">
        <v>42</v>
      </c>
      <c r="G875" s="20" t="s">
        <v>151</v>
      </c>
      <c r="H875" s="21" t="s">
        <v>152</v>
      </c>
      <c r="I875" t="str">
        <f t="shared" si="19"/>
        <v>Trigona fulviventris</v>
      </c>
      <c r="J875" t="s">
        <v>42</v>
      </c>
      <c r="K875" t="s">
        <v>334</v>
      </c>
      <c r="L875" t="s">
        <v>44</v>
      </c>
      <c r="N875">
        <v>503</v>
      </c>
      <c r="O875" t="s">
        <v>155</v>
      </c>
      <c r="P875" t="s">
        <v>154</v>
      </c>
      <c r="Q875" s="6">
        <v>45202</v>
      </c>
      <c r="R875">
        <v>0</v>
      </c>
      <c r="U875" t="s">
        <v>225</v>
      </c>
      <c r="AD875">
        <v>1</v>
      </c>
      <c r="AE875" s="7" t="s">
        <v>180</v>
      </c>
      <c r="AF875">
        <v>5</v>
      </c>
      <c r="AG875">
        <v>28</v>
      </c>
      <c r="AH875">
        <v>0</v>
      </c>
      <c r="AI875">
        <v>395</v>
      </c>
    </row>
    <row r="876" spans="1:35" x14ac:dyDescent="0.35">
      <c r="A876" t="s">
        <v>192</v>
      </c>
      <c r="B876" t="s">
        <v>24</v>
      </c>
      <c r="C876" t="s">
        <v>33</v>
      </c>
      <c r="D876" t="s">
        <v>34</v>
      </c>
      <c r="E876" t="s">
        <v>309</v>
      </c>
      <c r="F876" t="s">
        <v>42</v>
      </c>
      <c r="G876" s="20" t="s">
        <v>151</v>
      </c>
      <c r="H876" s="21" t="s">
        <v>152</v>
      </c>
      <c r="I876" t="str">
        <f t="shared" si="19"/>
        <v>Trigona fulviventris</v>
      </c>
      <c r="J876" t="s">
        <v>42</v>
      </c>
      <c r="K876" t="s">
        <v>334</v>
      </c>
      <c r="L876" t="s">
        <v>44</v>
      </c>
      <c r="N876">
        <v>504</v>
      </c>
      <c r="O876" t="s">
        <v>155</v>
      </c>
      <c r="P876" t="s">
        <v>154</v>
      </c>
      <c r="Q876" s="6">
        <v>45202</v>
      </c>
      <c r="R876">
        <v>1</v>
      </c>
      <c r="U876" t="s">
        <v>225</v>
      </c>
      <c r="AD876">
        <v>3</v>
      </c>
      <c r="AE876" s="7" t="s">
        <v>178</v>
      </c>
      <c r="AF876">
        <v>12</v>
      </c>
      <c r="AG876">
        <v>6</v>
      </c>
      <c r="AH876">
        <v>0</v>
      </c>
      <c r="AI876">
        <v>396</v>
      </c>
    </row>
    <row r="877" spans="1:35" x14ac:dyDescent="0.35">
      <c r="A877" t="s">
        <v>192</v>
      </c>
      <c r="B877" t="s">
        <v>24</v>
      </c>
      <c r="C877" t="s">
        <v>33</v>
      </c>
      <c r="D877" t="s">
        <v>34</v>
      </c>
      <c r="E877" t="s">
        <v>309</v>
      </c>
      <c r="F877" t="s">
        <v>42</v>
      </c>
      <c r="G877" s="20" t="s">
        <v>151</v>
      </c>
      <c r="H877" s="21" t="s">
        <v>152</v>
      </c>
      <c r="I877" t="str">
        <f t="shared" si="19"/>
        <v>Trigona fulviventris</v>
      </c>
      <c r="J877" t="s">
        <v>42</v>
      </c>
      <c r="K877" t="s">
        <v>334</v>
      </c>
      <c r="L877" t="s">
        <v>44</v>
      </c>
      <c r="N877">
        <v>505</v>
      </c>
      <c r="O877" t="s">
        <v>155</v>
      </c>
      <c r="P877" t="s">
        <v>154</v>
      </c>
      <c r="Q877" s="6">
        <v>45202</v>
      </c>
      <c r="R877">
        <v>0</v>
      </c>
      <c r="U877" t="s">
        <v>225</v>
      </c>
      <c r="AD877">
        <v>1</v>
      </c>
      <c r="AE877" s="7" t="s">
        <v>181</v>
      </c>
      <c r="AF877">
        <v>12</v>
      </c>
      <c r="AG877">
        <v>6</v>
      </c>
      <c r="AH877">
        <v>0</v>
      </c>
      <c r="AI877">
        <v>397</v>
      </c>
    </row>
    <row r="878" spans="1:35" x14ac:dyDescent="0.35">
      <c r="A878" t="s">
        <v>192</v>
      </c>
      <c r="B878" t="s">
        <v>24</v>
      </c>
      <c r="C878" t="s">
        <v>33</v>
      </c>
      <c r="D878" t="s">
        <v>34</v>
      </c>
      <c r="E878" t="s">
        <v>309</v>
      </c>
      <c r="F878" t="s">
        <v>42</v>
      </c>
      <c r="G878" s="20" t="s">
        <v>151</v>
      </c>
      <c r="H878" s="21" t="s">
        <v>152</v>
      </c>
      <c r="I878" t="str">
        <f t="shared" si="19"/>
        <v>Trigona fulviventris</v>
      </c>
      <c r="J878" t="s">
        <v>42</v>
      </c>
      <c r="K878" t="s">
        <v>334</v>
      </c>
      <c r="L878" t="s">
        <v>44</v>
      </c>
      <c r="N878">
        <v>506</v>
      </c>
      <c r="O878" t="s">
        <v>155</v>
      </c>
      <c r="P878" t="s">
        <v>154</v>
      </c>
      <c r="Q878" s="6">
        <v>45202</v>
      </c>
      <c r="R878">
        <v>1</v>
      </c>
      <c r="U878" t="s">
        <v>225</v>
      </c>
      <c r="AD878">
        <v>1</v>
      </c>
      <c r="AE878" s="7" t="s">
        <v>178</v>
      </c>
      <c r="AF878">
        <v>12</v>
      </c>
      <c r="AG878">
        <v>6</v>
      </c>
      <c r="AH878">
        <v>0</v>
      </c>
      <c r="AI878">
        <v>398</v>
      </c>
    </row>
    <row r="879" spans="1:35" x14ac:dyDescent="0.35">
      <c r="A879" t="s">
        <v>192</v>
      </c>
      <c r="B879" t="s">
        <v>24</v>
      </c>
      <c r="C879" t="s">
        <v>33</v>
      </c>
      <c r="D879" t="s">
        <v>34</v>
      </c>
      <c r="E879" t="s">
        <v>309</v>
      </c>
      <c r="F879" t="s">
        <v>42</v>
      </c>
      <c r="G879" s="20" t="s">
        <v>151</v>
      </c>
      <c r="H879" s="21" t="s">
        <v>152</v>
      </c>
      <c r="I879" t="str">
        <f t="shared" si="19"/>
        <v>Trigona fulviventris</v>
      </c>
      <c r="J879" t="s">
        <v>42</v>
      </c>
      <c r="K879" t="s">
        <v>334</v>
      </c>
      <c r="L879" t="s">
        <v>44</v>
      </c>
      <c r="N879">
        <v>507</v>
      </c>
      <c r="O879" t="s">
        <v>155</v>
      </c>
      <c r="P879" t="s">
        <v>223</v>
      </c>
      <c r="Q879" s="6">
        <v>45201</v>
      </c>
      <c r="R879">
        <v>1</v>
      </c>
      <c r="U879" t="s">
        <v>225</v>
      </c>
      <c r="AD879">
        <v>1</v>
      </c>
      <c r="AE879" s="7" t="s">
        <v>180</v>
      </c>
      <c r="AF879">
        <v>17</v>
      </c>
      <c r="AG879">
        <v>39</v>
      </c>
      <c r="AH879">
        <v>0</v>
      </c>
      <c r="AI879">
        <v>389</v>
      </c>
    </row>
    <row r="880" spans="1:35" x14ac:dyDescent="0.35">
      <c r="A880" t="s">
        <v>192</v>
      </c>
      <c r="B880" t="s">
        <v>24</v>
      </c>
      <c r="C880" t="s">
        <v>33</v>
      </c>
      <c r="D880" t="s">
        <v>34</v>
      </c>
      <c r="E880" t="s">
        <v>309</v>
      </c>
      <c r="F880" t="s">
        <v>42</v>
      </c>
      <c r="G880" s="20" t="s">
        <v>151</v>
      </c>
      <c r="H880" s="21" t="s">
        <v>152</v>
      </c>
      <c r="I880" t="str">
        <f t="shared" si="19"/>
        <v>Trigona fulviventris</v>
      </c>
      <c r="J880" t="s">
        <v>42</v>
      </c>
      <c r="K880" t="s">
        <v>334</v>
      </c>
      <c r="L880" t="s">
        <v>44</v>
      </c>
      <c r="N880">
        <v>537</v>
      </c>
      <c r="O880" t="s">
        <v>155</v>
      </c>
      <c r="P880" t="s">
        <v>223</v>
      </c>
      <c r="Q880" s="6">
        <v>45201</v>
      </c>
      <c r="R880">
        <v>1</v>
      </c>
      <c r="S880" t="s">
        <v>72</v>
      </c>
      <c r="T880" t="s">
        <v>72</v>
      </c>
      <c r="U880" t="s">
        <v>271</v>
      </c>
      <c r="AD880">
        <v>3</v>
      </c>
      <c r="AE880" s="7" t="s">
        <v>180</v>
      </c>
      <c r="AF880">
        <v>12</v>
      </c>
      <c r="AG880">
        <v>24</v>
      </c>
      <c r="AH880">
        <v>10</v>
      </c>
      <c r="AI880">
        <v>390</v>
      </c>
    </row>
    <row r="881" spans="1:35" x14ac:dyDescent="0.35">
      <c r="A881" t="s">
        <v>192</v>
      </c>
      <c r="B881" t="s">
        <v>24</v>
      </c>
      <c r="C881" t="s">
        <v>33</v>
      </c>
      <c r="D881" t="s">
        <v>34</v>
      </c>
      <c r="E881" t="s">
        <v>309</v>
      </c>
      <c r="F881" t="s">
        <v>42</v>
      </c>
      <c r="G881" s="20" t="s">
        <v>151</v>
      </c>
      <c r="H881" s="21" t="s">
        <v>152</v>
      </c>
      <c r="I881" t="str">
        <f t="shared" si="19"/>
        <v>Trigona fulviventris</v>
      </c>
      <c r="J881" t="s">
        <v>42</v>
      </c>
      <c r="K881" t="s">
        <v>334</v>
      </c>
      <c r="L881" t="s">
        <v>44</v>
      </c>
      <c r="N881">
        <v>586</v>
      </c>
      <c r="O881" t="s">
        <v>155</v>
      </c>
      <c r="P881" t="s">
        <v>223</v>
      </c>
      <c r="Q881" s="6">
        <v>45210</v>
      </c>
      <c r="R881">
        <v>1</v>
      </c>
      <c r="U881" t="s">
        <v>225</v>
      </c>
      <c r="AD881">
        <v>1</v>
      </c>
      <c r="AE881" s="7" t="s">
        <v>180</v>
      </c>
      <c r="AF881">
        <v>17</v>
      </c>
      <c r="AG881">
        <v>14</v>
      </c>
      <c r="AH881">
        <v>9</v>
      </c>
      <c r="AI881">
        <v>400</v>
      </c>
    </row>
    <row r="882" spans="1:35" x14ac:dyDescent="0.35">
      <c r="A882" t="s">
        <v>192</v>
      </c>
      <c r="B882" t="s">
        <v>24</v>
      </c>
      <c r="C882" t="s">
        <v>33</v>
      </c>
      <c r="D882" t="s">
        <v>34</v>
      </c>
      <c r="E882" t="s">
        <v>309</v>
      </c>
      <c r="F882" t="s">
        <v>42</v>
      </c>
      <c r="G882" s="20" t="s">
        <v>151</v>
      </c>
      <c r="H882" s="21" t="s">
        <v>152</v>
      </c>
      <c r="I882" t="str">
        <f t="shared" si="19"/>
        <v>Trigona fulviventris</v>
      </c>
      <c r="J882" t="s">
        <v>42</v>
      </c>
      <c r="K882" t="s">
        <v>334</v>
      </c>
      <c r="L882" t="s">
        <v>44</v>
      </c>
      <c r="N882">
        <v>600</v>
      </c>
      <c r="O882" t="s">
        <v>155</v>
      </c>
      <c r="P882" t="s">
        <v>223</v>
      </c>
      <c r="Q882" s="6">
        <v>45210</v>
      </c>
      <c r="R882">
        <v>0</v>
      </c>
      <c r="U882" t="s">
        <v>225</v>
      </c>
      <c r="AD882">
        <v>2</v>
      </c>
      <c r="AE882" s="7" t="s">
        <v>177</v>
      </c>
      <c r="AF882">
        <v>10</v>
      </c>
      <c r="AG882">
        <v>4</v>
      </c>
      <c r="AH882">
        <v>0</v>
      </c>
      <c r="AI882">
        <v>401</v>
      </c>
    </row>
    <row r="883" spans="1:35" x14ac:dyDescent="0.35">
      <c r="A883" t="s">
        <v>192</v>
      </c>
      <c r="B883" t="s">
        <v>24</v>
      </c>
      <c r="C883" t="s">
        <v>33</v>
      </c>
      <c r="D883" t="s">
        <v>34</v>
      </c>
      <c r="E883" t="s">
        <v>309</v>
      </c>
      <c r="F883" t="s">
        <v>42</v>
      </c>
      <c r="G883" s="20" t="s">
        <v>151</v>
      </c>
      <c r="H883" s="21" t="s">
        <v>152</v>
      </c>
      <c r="I883" t="str">
        <f t="shared" si="19"/>
        <v>Trigona fulviventris</v>
      </c>
      <c r="J883" t="s">
        <v>42</v>
      </c>
      <c r="K883" t="s">
        <v>334</v>
      </c>
      <c r="L883" t="s">
        <v>44</v>
      </c>
      <c r="N883">
        <v>603</v>
      </c>
      <c r="O883" t="s">
        <v>155</v>
      </c>
      <c r="P883" t="s">
        <v>223</v>
      </c>
      <c r="Q883" s="6">
        <v>45210</v>
      </c>
      <c r="R883">
        <v>1</v>
      </c>
      <c r="S883" t="s">
        <v>166</v>
      </c>
      <c r="T883" t="s">
        <v>72</v>
      </c>
      <c r="U883" t="s">
        <v>271</v>
      </c>
      <c r="AD883">
        <v>1</v>
      </c>
      <c r="AE883" s="7" t="s">
        <v>178</v>
      </c>
      <c r="AF883">
        <v>10</v>
      </c>
      <c r="AG883">
        <v>4</v>
      </c>
      <c r="AH883">
        <v>0</v>
      </c>
      <c r="AI883">
        <v>402</v>
      </c>
    </row>
    <row r="884" spans="1:35" x14ac:dyDescent="0.35">
      <c r="A884" t="s">
        <v>192</v>
      </c>
      <c r="B884" t="s">
        <v>24</v>
      </c>
      <c r="C884" t="s">
        <v>33</v>
      </c>
      <c r="D884" t="s">
        <v>34</v>
      </c>
      <c r="E884" t="s">
        <v>309</v>
      </c>
      <c r="F884" t="s">
        <v>42</v>
      </c>
      <c r="G884" s="20" t="s">
        <v>151</v>
      </c>
      <c r="H884" s="21" t="s">
        <v>152</v>
      </c>
      <c r="I884" t="str">
        <f t="shared" si="19"/>
        <v>Trigona fulviventris</v>
      </c>
      <c r="J884" t="s">
        <v>42</v>
      </c>
      <c r="K884" t="s">
        <v>334</v>
      </c>
      <c r="L884" t="s">
        <v>44</v>
      </c>
      <c r="N884">
        <v>616</v>
      </c>
      <c r="O884" t="s">
        <v>155</v>
      </c>
      <c r="P884" t="s">
        <v>223</v>
      </c>
      <c r="Q884" s="6">
        <v>45210</v>
      </c>
      <c r="R884">
        <v>0</v>
      </c>
      <c r="U884" t="s">
        <v>225</v>
      </c>
      <c r="AD884">
        <v>1</v>
      </c>
      <c r="AE884" s="7" t="s">
        <v>177</v>
      </c>
      <c r="AF884">
        <v>16</v>
      </c>
      <c r="AG884">
        <v>14</v>
      </c>
      <c r="AH884">
        <v>3</v>
      </c>
      <c r="AI884">
        <v>403</v>
      </c>
    </row>
    <row r="885" spans="1:35" x14ac:dyDescent="0.35">
      <c r="A885" t="s">
        <v>192</v>
      </c>
      <c r="B885" t="s">
        <v>24</v>
      </c>
      <c r="C885" t="s">
        <v>33</v>
      </c>
      <c r="D885" t="s">
        <v>34</v>
      </c>
      <c r="E885" t="s">
        <v>309</v>
      </c>
      <c r="F885" t="s">
        <v>42</v>
      </c>
      <c r="G885" s="20" t="s">
        <v>151</v>
      </c>
      <c r="H885" s="21" t="s">
        <v>152</v>
      </c>
      <c r="I885" t="str">
        <f t="shared" si="19"/>
        <v>Trigona fulviventris</v>
      </c>
      <c r="J885" t="s">
        <v>42</v>
      </c>
      <c r="K885" t="s">
        <v>334</v>
      </c>
      <c r="L885" t="s">
        <v>44</v>
      </c>
      <c r="N885">
        <v>617</v>
      </c>
      <c r="O885" t="s">
        <v>155</v>
      </c>
      <c r="P885" t="s">
        <v>223</v>
      </c>
      <c r="Q885" s="6">
        <v>45210</v>
      </c>
      <c r="R885">
        <v>0</v>
      </c>
      <c r="U885" t="s">
        <v>225</v>
      </c>
      <c r="AD885">
        <v>2</v>
      </c>
      <c r="AE885" s="7" t="s">
        <v>179</v>
      </c>
      <c r="AF885">
        <v>16</v>
      </c>
      <c r="AG885">
        <v>14</v>
      </c>
      <c r="AH885">
        <v>3</v>
      </c>
      <c r="AI885">
        <v>404</v>
      </c>
    </row>
    <row r="886" spans="1:35" x14ac:dyDescent="0.35">
      <c r="A886" t="s">
        <v>192</v>
      </c>
      <c r="B886" t="s">
        <v>24</v>
      </c>
      <c r="C886" t="s">
        <v>33</v>
      </c>
      <c r="D886" t="s">
        <v>34</v>
      </c>
      <c r="E886" t="s">
        <v>309</v>
      </c>
      <c r="F886" t="s">
        <v>42</v>
      </c>
      <c r="G886" s="20" t="s">
        <v>151</v>
      </c>
      <c r="H886" s="21" t="s">
        <v>152</v>
      </c>
      <c r="I886" t="str">
        <f t="shared" si="19"/>
        <v>Trigona fulviventris</v>
      </c>
      <c r="J886" t="s">
        <v>42</v>
      </c>
      <c r="K886" t="s">
        <v>334</v>
      </c>
      <c r="L886" t="s">
        <v>44</v>
      </c>
      <c r="N886">
        <v>629</v>
      </c>
      <c r="O886" t="s">
        <v>155</v>
      </c>
      <c r="P886" t="s">
        <v>223</v>
      </c>
      <c r="Q886" s="6">
        <v>45210</v>
      </c>
      <c r="R886">
        <v>0</v>
      </c>
      <c r="S886" t="s">
        <v>166</v>
      </c>
      <c r="T886" t="s">
        <v>72</v>
      </c>
      <c r="U886" t="s">
        <v>271</v>
      </c>
      <c r="AD886">
        <v>2</v>
      </c>
      <c r="AE886" s="7" t="s">
        <v>179</v>
      </c>
      <c r="AF886">
        <v>9</v>
      </c>
      <c r="AG886">
        <v>19</v>
      </c>
      <c r="AH886">
        <v>0</v>
      </c>
      <c r="AI886">
        <v>405</v>
      </c>
    </row>
    <row r="887" spans="1:35" x14ac:dyDescent="0.35">
      <c r="A887" t="s">
        <v>192</v>
      </c>
      <c r="B887" t="s">
        <v>24</v>
      </c>
      <c r="C887" t="s">
        <v>33</v>
      </c>
      <c r="D887" t="s">
        <v>34</v>
      </c>
      <c r="E887" t="s">
        <v>309</v>
      </c>
      <c r="F887" t="s">
        <v>42</v>
      </c>
      <c r="G887" s="20" t="s">
        <v>151</v>
      </c>
      <c r="H887" s="21" t="s">
        <v>152</v>
      </c>
      <c r="I887" t="str">
        <f t="shared" si="19"/>
        <v>Trigona fulviventris</v>
      </c>
      <c r="J887" t="s">
        <v>42</v>
      </c>
      <c r="K887" t="s">
        <v>334</v>
      </c>
      <c r="L887" t="s">
        <v>44</v>
      </c>
      <c r="N887">
        <v>632</v>
      </c>
      <c r="O887" t="s">
        <v>155</v>
      </c>
      <c r="P887" t="s">
        <v>223</v>
      </c>
      <c r="Q887" s="6">
        <v>45210</v>
      </c>
      <c r="R887">
        <v>0</v>
      </c>
      <c r="U887" t="s">
        <v>225</v>
      </c>
      <c r="AD887">
        <v>1</v>
      </c>
      <c r="AE887" s="7" t="s">
        <v>177</v>
      </c>
      <c r="AF887">
        <v>16</v>
      </c>
      <c r="AG887">
        <v>19</v>
      </c>
      <c r="AH887">
        <v>0</v>
      </c>
      <c r="AI887">
        <v>406</v>
      </c>
    </row>
    <row r="888" spans="1:35" x14ac:dyDescent="0.35">
      <c r="A888" t="s">
        <v>192</v>
      </c>
      <c r="B888" t="s">
        <v>24</v>
      </c>
      <c r="C888" t="s">
        <v>33</v>
      </c>
      <c r="D888" t="s">
        <v>34</v>
      </c>
      <c r="E888" t="s">
        <v>309</v>
      </c>
      <c r="F888" t="s">
        <v>42</v>
      </c>
      <c r="G888" s="20" t="s">
        <v>151</v>
      </c>
      <c r="H888" s="21" t="s">
        <v>152</v>
      </c>
      <c r="I888" t="str">
        <f t="shared" si="19"/>
        <v>Trigona fulviventris</v>
      </c>
      <c r="J888" t="s">
        <v>42</v>
      </c>
      <c r="K888" t="s">
        <v>334</v>
      </c>
      <c r="L888" t="s">
        <v>44</v>
      </c>
      <c r="N888">
        <v>638</v>
      </c>
      <c r="O888" t="s">
        <v>155</v>
      </c>
      <c r="P888" t="s">
        <v>223</v>
      </c>
      <c r="Q888" s="6">
        <v>45210</v>
      </c>
      <c r="R888">
        <v>1</v>
      </c>
      <c r="U888" t="s">
        <v>225</v>
      </c>
      <c r="AD888">
        <v>1</v>
      </c>
      <c r="AE888" s="7" t="s">
        <v>179</v>
      </c>
      <c r="AF888">
        <v>16</v>
      </c>
      <c r="AG888">
        <v>19</v>
      </c>
      <c r="AH888">
        <v>0</v>
      </c>
      <c r="AI888">
        <v>407</v>
      </c>
    </row>
    <row r="889" spans="1:35" x14ac:dyDescent="0.35">
      <c r="A889" t="s">
        <v>192</v>
      </c>
      <c r="B889" t="s">
        <v>24</v>
      </c>
      <c r="C889" t="s">
        <v>33</v>
      </c>
      <c r="D889" t="s">
        <v>34</v>
      </c>
      <c r="E889" t="s">
        <v>309</v>
      </c>
      <c r="F889" t="s">
        <v>42</v>
      </c>
      <c r="G889" s="20" t="s">
        <v>151</v>
      </c>
      <c r="H889" s="21" t="s">
        <v>152</v>
      </c>
      <c r="I889" t="str">
        <f t="shared" si="19"/>
        <v>Trigona fulviventris</v>
      </c>
      <c r="J889" t="s">
        <v>42</v>
      </c>
      <c r="K889" t="s">
        <v>334</v>
      </c>
      <c r="L889" t="s">
        <v>44</v>
      </c>
      <c r="N889">
        <v>640</v>
      </c>
      <c r="O889" t="s">
        <v>155</v>
      </c>
      <c r="P889" t="s">
        <v>223</v>
      </c>
      <c r="Q889" s="6">
        <v>45210</v>
      </c>
      <c r="R889">
        <v>1</v>
      </c>
      <c r="U889" t="s">
        <v>225</v>
      </c>
      <c r="AD889">
        <v>4</v>
      </c>
      <c r="AE889" s="7" t="s">
        <v>179</v>
      </c>
      <c r="AF889">
        <v>16</v>
      </c>
      <c r="AG889">
        <v>19</v>
      </c>
      <c r="AH889">
        <v>0</v>
      </c>
      <c r="AI889">
        <v>408</v>
      </c>
    </row>
    <row r="890" spans="1:35" x14ac:dyDescent="0.35">
      <c r="A890" t="s">
        <v>192</v>
      </c>
      <c r="B890" t="s">
        <v>24</v>
      </c>
      <c r="C890" t="s">
        <v>33</v>
      </c>
      <c r="D890" t="s">
        <v>34</v>
      </c>
      <c r="E890" t="s">
        <v>309</v>
      </c>
      <c r="F890" t="s">
        <v>42</v>
      </c>
      <c r="G890" s="20" t="s">
        <v>151</v>
      </c>
      <c r="H890" s="21" t="s">
        <v>152</v>
      </c>
      <c r="I890" t="str">
        <f t="shared" si="19"/>
        <v>Trigona fulviventris</v>
      </c>
      <c r="J890" t="s">
        <v>42</v>
      </c>
      <c r="K890" t="s">
        <v>334</v>
      </c>
      <c r="L890" t="s">
        <v>44</v>
      </c>
      <c r="N890">
        <v>642</v>
      </c>
      <c r="O890" t="s">
        <v>155</v>
      </c>
      <c r="P890" t="s">
        <v>223</v>
      </c>
      <c r="Q890" s="6">
        <v>45210</v>
      </c>
      <c r="R890">
        <v>1</v>
      </c>
      <c r="U890" t="s">
        <v>225</v>
      </c>
      <c r="AD890">
        <v>1</v>
      </c>
      <c r="AE890" s="7" t="s">
        <v>179</v>
      </c>
      <c r="AF890">
        <v>16</v>
      </c>
      <c r="AG890">
        <v>19</v>
      </c>
      <c r="AH890">
        <v>0</v>
      </c>
      <c r="AI890">
        <v>409</v>
      </c>
    </row>
    <row r="891" spans="1:35" x14ac:dyDescent="0.35">
      <c r="A891" t="s">
        <v>192</v>
      </c>
      <c r="B891" t="s">
        <v>24</v>
      </c>
      <c r="C891" t="s">
        <v>33</v>
      </c>
      <c r="D891" t="s">
        <v>34</v>
      </c>
      <c r="E891" t="s">
        <v>309</v>
      </c>
      <c r="F891" t="s">
        <v>42</v>
      </c>
      <c r="G891" s="20" t="s">
        <v>151</v>
      </c>
      <c r="H891" s="21" t="s">
        <v>152</v>
      </c>
      <c r="I891" t="str">
        <f t="shared" si="19"/>
        <v>Trigona fulviventris</v>
      </c>
      <c r="J891" t="s">
        <v>42</v>
      </c>
      <c r="K891" t="s">
        <v>334</v>
      </c>
      <c r="L891" t="s">
        <v>44</v>
      </c>
      <c r="N891">
        <v>648</v>
      </c>
      <c r="O891" t="s">
        <v>155</v>
      </c>
      <c r="P891" t="s">
        <v>223</v>
      </c>
      <c r="Q891" s="6">
        <v>45210</v>
      </c>
      <c r="R891">
        <v>1</v>
      </c>
      <c r="S891" t="s">
        <v>166</v>
      </c>
      <c r="T891" t="s">
        <v>72</v>
      </c>
      <c r="U891" t="s">
        <v>271</v>
      </c>
      <c r="AD891">
        <v>2</v>
      </c>
      <c r="AE891" s="7" t="s">
        <v>180</v>
      </c>
      <c r="AF891">
        <v>13</v>
      </c>
      <c r="AG891">
        <v>12</v>
      </c>
      <c r="AH891">
        <v>7</v>
      </c>
      <c r="AI891">
        <v>410</v>
      </c>
    </row>
    <row r="892" spans="1:35" x14ac:dyDescent="0.35">
      <c r="A892" t="s">
        <v>192</v>
      </c>
      <c r="B892" t="s">
        <v>24</v>
      </c>
      <c r="C892" t="s">
        <v>33</v>
      </c>
      <c r="D892" t="s">
        <v>34</v>
      </c>
      <c r="E892" t="s">
        <v>309</v>
      </c>
      <c r="F892" t="s">
        <v>42</v>
      </c>
      <c r="G892" s="20" t="s">
        <v>151</v>
      </c>
      <c r="H892" s="21" t="s">
        <v>152</v>
      </c>
      <c r="I892" t="str">
        <f t="shared" si="19"/>
        <v>Trigona fulviventris</v>
      </c>
      <c r="J892" t="s">
        <v>42</v>
      </c>
      <c r="K892" t="s">
        <v>334</v>
      </c>
      <c r="L892" t="s">
        <v>44</v>
      </c>
      <c r="N892">
        <v>658</v>
      </c>
      <c r="O892" t="s">
        <v>155</v>
      </c>
      <c r="P892" t="s">
        <v>223</v>
      </c>
      <c r="Q892" s="6">
        <v>45210</v>
      </c>
      <c r="R892">
        <v>0</v>
      </c>
      <c r="U892" t="s">
        <v>225</v>
      </c>
      <c r="AD892">
        <v>1</v>
      </c>
      <c r="AE892" s="7" t="s">
        <v>179</v>
      </c>
      <c r="AF892">
        <v>13</v>
      </c>
      <c r="AG892">
        <v>12</v>
      </c>
      <c r="AH892">
        <v>7</v>
      </c>
      <c r="AI892">
        <v>411</v>
      </c>
    </row>
    <row r="893" spans="1:35" x14ac:dyDescent="0.35">
      <c r="A893" t="s">
        <v>192</v>
      </c>
      <c r="B893" t="s">
        <v>24</v>
      </c>
      <c r="C893" t="s">
        <v>33</v>
      </c>
      <c r="D893" t="s">
        <v>34</v>
      </c>
      <c r="E893" t="s">
        <v>309</v>
      </c>
      <c r="F893" t="s">
        <v>42</v>
      </c>
      <c r="G893" s="20" t="s">
        <v>151</v>
      </c>
      <c r="H893" s="21" t="s">
        <v>152</v>
      </c>
      <c r="I893" t="str">
        <f t="shared" si="19"/>
        <v>Trigona fulviventris</v>
      </c>
      <c r="J893" t="s">
        <v>42</v>
      </c>
      <c r="K893" t="s">
        <v>334</v>
      </c>
      <c r="L893" t="s">
        <v>44</v>
      </c>
      <c r="N893">
        <v>679</v>
      </c>
      <c r="O893" t="s">
        <v>155</v>
      </c>
      <c r="P893" t="s">
        <v>222</v>
      </c>
      <c r="Q893" s="6">
        <v>45203</v>
      </c>
      <c r="R893">
        <v>0</v>
      </c>
      <c r="U893" t="s">
        <v>225</v>
      </c>
      <c r="AD893">
        <v>2</v>
      </c>
      <c r="AE893" s="7" t="s">
        <v>178</v>
      </c>
      <c r="AF893">
        <v>7</v>
      </c>
      <c r="AG893">
        <v>0</v>
      </c>
      <c r="AH893">
        <v>0</v>
      </c>
      <c r="AI893">
        <v>399</v>
      </c>
    </row>
    <row r="894" spans="1:35" x14ac:dyDescent="0.35">
      <c r="A894" t="s">
        <v>192</v>
      </c>
      <c r="B894" t="s">
        <v>24</v>
      </c>
      <c r="C894" t="s">
        <v>33</v>
      </c>
      <c r="D894" t="s">
        <v>114</v>
      </c>
      <c r="I894" t="s">
        <v>114</v>
      </c>
      <c r="J894" t="s">
        <v>326</v>
      </c>
      <c r="K894" t="s">
        <v>330</v>
      </c>
      <c r="L894" t="s">
        <v>50</v>
      </c>
      <c r="M894" t="s">
        <v>50</v>
      </c>
      <c r="N894">
        <v>711</v>
      </c>
      <c r="O894" t="s">
        <v>155</v>
      </c>
      <c r="P894" t="s">
        <v>222</v>
      </c>
      <c r="Q894" s="6">
        <v>45208</v>
      </c>
      <c r="R894">
        <v>0</v>
      </c>
      <c r="U894" t="s">
        <v>225</v>
      </c>
      <c r="AD894">
        <v>1</v>
      </c>
      <c r="AE894" s="7" t="s">
        <v>177</v>
      </c>
      <c r="AF894">
        <v>34</v>
      </c>
      <c r="AG894">
        <v>0</v>
      </c>
      <c r="AH894">
        <v>0</v>
      </c>
      <c r="AI894">
        <v>412</v>
      </c>
    </row>
    <row r="895" spans="1:35" x14ac:dyDescent="0.35">
      <c r="A895" t="s">
        <v>192</v>
      </c>
      <c r="B895" t="s">
        <v>24</v>
      </c>
      <c r="C895" t="s">
        <v>85</v>
      </c>
      <c r="I895" t="s">
        <v>85</v>
      </c>
      <c r="J895" t="s">
        <v>326</v>
      </c>
      <c r="K895" t="s">
        <v>330</v>
      </c>
      <c r="L895" t="s">
        <v>160</v>
      </c>
      <c r="M895" t="s">
        <v>160</v>
      </c>
      <c r="N895">
        <v>673</v>
      </c>
      <c r="O895" t="s">
        <v>155</v>
      </c>
      <c r="P895" t="s">
        <v>222</v>
      </c>
      <c r="Q895" s="6">
        <v>45203</v>
      </c>
      <c r="R895">
        <v>0</v>
      </c>
      <c r="S895" t="s">
        <v>166</v>
      </c>
      <c r="T895" t="s">
        <v>72</v>
      </c>
      <c r="U895" t="s">
        <v>271</v>
      </c>
      <c r="AD895">
        <v>1</v>
      </c>
      <c r="AE895" s="7" t="s">
        <v>177</v>
      </c>
      <c r="AF895">
        <v>8</v>
      </c>
      <c r="AG895">
        <v>0</v>
      </c>
      <c r="AH895">
        <v>0</v>
      </c>
      <c r="AI895">
        <v>413</v>
      </c>
    </row>
    <row r="896" spans="1:35" x14ac:dyDescent="0.35">
      <c r="A896" t="s">
        <v>156</v>
      </c>
      <c r="B896" t="s">
        <v>24</v>
      </c>
      <c r="C896" t="s">
        <v>33</v>
      </c>
      <c r="D896" t="s">
        <v>34</v>
      </c>
      <c r="E896" t="s">
        <v>309</v>
      </c>
      <c r="F896" t="s">
        <v>310</v>
      </c>
      <c r="G896" s="20" t="s">
        <v>38</v>
      </c>
      <c r="H896" s="20" t="s">
        <v>39</v>
      </c>
      <c r="I896" t="str">
        <f t="shared" ref="I896:I924" si="20">G896&amp;" "&amp;H896</f>
        <v>Apis mellifera</v>
      </c>
      <c r="J896" t="s">
        <v>70</v>
      </c>
      <c r="K896" t="s">
        <v>332</v>
      </c>
      <c r="L896" t="s">
        <v>275</v>
      </c>
      <c r="N896">
        <v>372</v>
      </c>
      <c r="O896" t="s">
        <v>155</v>
      </c>
      <c r="P896" t="s">
        <v>222</v>
      </c>
      <c r="Q896" s="1">
        <v>45179</v>
      </c>
      <c r="U896" t="s">
        <v>225</v>
      </c>
      <c r="V896">
        <v>1</v>
      </c>
      <c r="W896">
        <v>1</v>
      </c>
      <c r="X896">
        <v>879</v>
      </c>
      <c r="Y896">
        <v>0</v>
      </c>
      <c r="Z896">
        <v>1</v>
      </c>
      <c r="AA896">
        <v>1</v>
      </c>
      <c r="AB896">
        <v>3.31</v>
      </c>
      <c r="AD896">
        <v>1</v>
      </c>
      <c r="AI896">
        <v>414</v>
      </c>
    </row>
    <row r="897" spans="1:35" x14ac:dyDescent="0.35">
      <c r="A897" t="s">
        <v>156</v>
      </c>
      <c r="B897" t="s">
        <v>24</v>
      </c>
      <c r="C897" t="s">
        <v>33</v>
      </c>
      <c r="D897" t="s">
        <v>34</v>
      </c>
      <c r="E897" t="s">
        <v>309</v>
      </c>
      <c r="F897" t="s">
        <v>310</v>
      </c>
      <c r="G897" s="20" t="s">
        <v>38</v>
      </c>
      <c r="H897" s="20" t="s">
        <v>39</v>
      </c>
      <c r="I897" t="str">
        <f t="shared" si="20"/>
        <v>Apis mellifera</v>
      </c>
      <c r="J897" t="s">
        <v>70</v>
      </c>
      <c r="K897" t="s">
        <v>332</v>
      </c>
      <c r="L897" t="s">
        <v>275</v>
      </c>
      <c r="N897">
        <v>373</v>
      </c>
      <c r="O897" t="s">
        <v>155</v>
      </c>
      <c r="P897" t="s">
        <v>154</v>
      </c>
      <c r="Q897" s="1">
        <v>45194</v>
      </c>
      <c r="U897" t="s">
        <v>225</v>
      </c>
      <c r="V897">
        <v>1</v>
      </c>
      <c r="W897">
        <v>1</v>
      </c>
      <c r="X897">
        <v>48</v>
      </c>
      <c r="Y897">
        <v>0</v>
      </c>
      <c r="Z897">
        <v>1</v>
      </c>
      <c r="AA897">
        <v>1</v>
      </c>
      <c r="AB897">
        <v>3.74</v>
      </c>
      <c r="AD897">
        <v>1</v>
      </c>
      <c r="AI897">
        <v>418</v>
      </c>
    </row>
    <row r="898" spans="1:35" x14ac:dyDescent="0.35">
      <c r="A898" t="s">
        <v>156</v>
      </c>
      <c r="B898" t="s">
        <v>24</v>
      </c>
      <c r="C898" t="s">
        <v>33</v>
      </c>
      <c r="D898" t="s">
        <v>34</v>
      </c>
      <c r="E898" t="s">
        <v>309</v>
      </c>
      <c r="F898" t="s">
        <v>310</v>
      </c>
      <c r="G898" s="20" t="s">
        <v>38</v>
      </c>
      <c r="H898" s="20" t="s">
        <v>39</v>
      </c>
      <c r="I898" t="str">
        <f t="shared" si="20"/>
        <v>Apis mellifera</v>
      </c>
      <c r="J898" t="s">
        <v>70</v>
      </c>
      <c r="K898" t="s">
        <v>332</v>
      </c>
      <c r="L898" t="s">
        <v>275</v>
      </c>
      <c r="N898">
        <v>374</v>
      </c>
      <c r="O898" t="s">
        <v>155</v>
      </c>
      <c r="P898" t="s">
        <v>222</v>
      </c>
      <c r="Q898" s="1">
        <v>45179</v>
      </c>
      <c r="U898" t="s">
        <v>225</v>
      </c>
      <c r="V898">
        <v>1</v>
      </c>
      <c r="W898">
        <v>1</v>
      </c>
      <c r="X898">
        <v>2571</v>
      </c>
      <c r="Y898">
        <v>0</v>
      </c>
      <c r="Z898">
        <v>1</v>
      </c>
      <c r="AA898">
        <v>1</v>
      </c>
      <c r="AB898">
        <v>3.77</v>
      </c>
      <c r="AD898">
        <v>1</v>
      </c>
      <c r="AI898">
        <v>415</v>
      </c>
    </row>
    <row r="899" spans="1:35" x14ac:dyDescent="0.35">
      <c r="A899" t="s">
        <v>156</v>
      </c>
      <c r="B899" t="s">
        <v>24</v>
      </c>
      <c r="C899" t="s">
        <v>33</v>
      </c>
      <c r="D899" t="s">
        <v>34</v>
      </c>
      <c r="E899" t="s">
        <v>309</v>
      </c>
      <c r="F899" t="s">
        <v>310</v>
      </c>
      <c r="G899" s="20" t="s">
        <v>38</v>
      </c>
      <c r="H899" s="20" t="s">
        <v>39</v>
      </c>
      <c r="I899" t="str">
        <f t="shared" si="20"/>
        <v>Apis mellifera</v>
      </c>
      <c r="J899" t="s">
        <v>70</v>
      </c>
      <c r="K899" t="s">
        <v>332</v>
      </c>
      <c r="L899" t="s">
        <v>275</v>
      </c>
      <c r="N899">
        <v>375</v>
      </c>
      <c r="O899" t="s">
        <v>155</v>
      </c>
      <c r="P899" t="s">
        <v>222</v>
      </c>
      <c r="Q899" s="1">
        <v>45179</v>
      </c>
      <c r="U899" t="s">
        <v>225</v>
      </c>
      <c r="V899">
        <v>1</v>
      </c>
      <c r="W899">
        <v>1</v>
      </c>
      <c r="X899">
        <v>2142</v>
      </c>
      <c r="Y899">
        <v>0</v>
      </c>
      <c r="Z899">
        <v>1</v>
      </c>
      <c r="AA899">
        <v>1</v>
      </c>
      <c r="AB899">
        <v>3.54</v>
      </c>
      <c r="AD899">
        <v>1</v>
      </c>
      <c r="AI899">
        <v>416</v>
      </c>
    </row>
    <row r="900" spans="1:35" x14ac:dyDescent="0.35">
      <c r="A900" t="s">
        <v>156</v>
      </c>
      <c r="B900" t="s">
        <v>24</v>
      </c>
      <c r="C900" t="s">
        <v>33</v>
      </c>
      <c r="D900" t="s">
        <v>34</v>
      </c>
      <c r="E900" t="s">
        <v>309</v>
      </c>
      <c r="F900" t="s">
        <v>310</v>
      </c>
      <c r="G900" s="20" t="s">
        <v>38</v>
      </c>
      <c r="H900" s="20" t="s">
        <v>39</v>
      </c>
      <c r="I900" t="str">
        <f t="shared" si="20"/>
        <v>Apis mellifera</v>
      </c>
      <c r="J900" t="s">
        <v>70</v>
      </c>
      <c r="K900" t="s">
        <v>332</v>
      </c>
      <c r="L900" t="s">
        <v>275</v>
      </c>
      <c r="N900">
        <v>376</v>
      </c>
      <c r="O900" t="s">
        <v>155</v>
      </c>
      <c r="P900" t="s">
        <v>222</v>
      </c>
      <c r="Q900" s="1">
        <v>45179</v>
      </c>
      <c r="U900" t="s">
        <v>225</v>
      </c>
      <c r="V900">
        <v>1</v>
      </c>
      <c r="W900">
        <v>1</v>
      </c>
      <c r="X900">
        <v>603</v>
      </c>
      <c r="Y900">
        <v>1</v>
      </c>
      <c r="Z900">
        <v>0.99834162520729686</v>
      </c>
      <c r="AA900">
        <v>1</v>
      </c>
      <c r="AB900">
        <v>3.77</v>
      </c>
      <c r="AD900">
        <v>1</v>
      </c>
      <c r="AI900">
        <v>417</v>
      </c>
    </row>
    <row r="901" spans="1:35" x14ac:dyDescent="0.35">
      <c r="A901" t="s">
        <v>156</v>
      </c>
      <c r="B901" t="s">
        <v>24</v>
      </c>
      <c r="C901" t="s">
        <v>33</v>
      </c>
      <c r="D901" t="s">
        <v>65</v>
      </c>
      <c r="E901" t="s">
        <v>62</v>
      </c>
      <c r="F901" t="s">
        <v>311</v>
      </c>
      <c r="G901" s="20" t="s">
        <v>138</v>
      </c>
      <c r="H901" t="s">
        <v>7</v>
      </c>
      <c r="I901" t="str">
        <f t="shared" si="20"/>
        <v>Augochlorella species</v>
      </c>
      <c r="J901" t="s">
        <v>65</v>
      </c>
      <c r="K901" t="s">
        <v>333</v>
      </c>
      <c r="L901" t="s">
        <v>196</v>
      </c>
      <c r="N901">
        <v>377</v>
      </c>
      <c r="O901" t="s">
        <v>155</v>
      </c>
      <c r="P901" t="s">
        <v>222</v>
      </c>
      <c r="Q901" s="1">
        <v>45179</v>
      </c>
      <c r="U901" t="s">
        <v>225</v>
      </c>
      <c r="V901">
        <v>1</v>
      </c>
      <c r="W901">
        <v>1</v>
      </c>
      <c r="X901">
        <v>15</v>
      </c>
      <c r="Y901">
        <v>0</v>
      </c>
      <c r="Z901">
        <v>1</v>
      </c>
      <c r="AA901">
        <v>2</v>
      </c>
      <c r="AB901">
        <v>1.59</v>
      </c>
      <c r="AD901">
        <v>1</v>
      </c>
      <c r="AI901">
        <v>419</v>
      </c>
    </row>
    <row r="902" spans="1:35" x14ac:dyDescent="0.35">
      <c r="A902" t="s">
        <v>156</v>
      </c>
      <c r="B902" t="s">
        <v>24</v>
      </c>
      <c r="C902" t="s">
        <v>33</v>
      </c>
      <c r="D902" t="s">
        <v>65</v>
      </c>
      <c r="E902" t="s">
        <v>62</v>
      </c>
      <c r="F902" t="s">
        <v>311</v>
      </c>
      <c r="G902" s="20" t="s">
        <v>142</v>
      </c>
      <c r="H902" s="21" t="s">
        <v>143</v>
      </c>
      <c r="I902" t="str">
        <f t="shared" si="20"/>
        <v>Augochloropsis metallica</v>
      </c>
      <c r="J902" t="s">
        <v>65</v>
      </c>
      <c r="K902" t="s">
        <v>333</v>
      </c>
      <c r="L902" t="s">
        <v>196</v>
      </c>
      <c r="N902">
        <v>381</v>
      </c>
      <c r="O902" t="s">
        <v>155</v>
      </c>
      <c r="P902" t="s">
        <v>154</v>
      </c>
      <c r="Q902" s="1">
        <v>45194</v>
      </c>
      <c r="U902" t="s">
        <v>225</v>
      </c>
      <c r="V902">
        <v>1</v>
      </c>
      <c r="W902">
        <v>1</v>
      </c>
      <c r="X902">
        <v>4644</v>
      </c>
      <c r="Y902">
        <v>170</v>
      </c>
      <c r="Z902">
        <v>0.96339362618432389</v>
      </c>
      <c r="AA902">
        <v>1</v>
      </c>
      <c r="AB902">
        <v>2.7</v>
      </c>
      <c r="AD902">
        <v>1</v>
      </c>
      <c r="AI902">
        <v>420</v>
      </c>
    </row>
    <row r="903" spans="1:35" x14ac:dyDescent="0.35">
      <c r="A903" t="s">
        <v>156</v>
      </c>
      <c r="B903" t="s">
        <v>24</v>
      </c>
      <c r="C903" t="s">
        <v>33</v>
      </c>
      <c r="D903" t="s">
        <v>34</v>
      </c>
      <c r="E903" t="s">
        <v>309</v>
      </c>
      <c r="F903" t="s">
        <v>139</v>
      </c>
      <c r="G903" s="20" t="s">
        <v>140</v>
      </c>
      <c r="H903" s="20" t="s">
        <v>141</v>
      </c>
      <c r="I903" t="str">
        <f t="shared" si="20"/>
        <v>Eulaema polychroma</v>
      </c>
      <c r="J903" t="s">
        <v>242</v>
      </c>
      <c r="K903" t="s">
        <v>331</v>
      </c>
      <c r="L903" t="s">
        <v>273</v>
      </c>
      <c r="N903">
        <v>378</v>
      </c>
      <c r="O903" t="s">
        <v>155</v>
      </c>
      <c r="P903" t="s">
        <v>223</v>
      </c>
      <c r="Q903" s="1">
        <v>45240</v>
      </c>
      <c r="U903" t="s">
        <v>225</v>
      </c>
      <c r="V903">
        <v>1</v>
      </c>
      <c r="W903">
        <v>1</v>
      </c>
      <c r="X903">
        <v>17510</v>
      </c>
      <c r="Y903">
        <v>3</v>
      </c>
      <c r="Z903">
        <v>0.9998890819684253</v>
      </c>
      <c r="AA903">
        <v>1</v>
      </c>
      <c r="AB903">
        <v>6.82</v>
      </c>
      <c r="AD903">
        <v>1</v>
      </c>
    </row>
    <row r="904" spans="1:35" x14ac:dyDescent="0.35">
      <c r="A904" t="s">
        <v>156</v>
      </c>
      <c r="B904" t="s">
        <v>24</v>
      </c>
      <c r="C904" t="s">
        <v>33</v>
      </c>
      <c r="D904" t="s">
        <v>34</v>
      </c>
      <c r="E904" t="s">
        <v>309</v>
      </c>
      <c r="F904" t="s">
        <v>139</v>
      </c>
      <c r="G904" s="20" t="s">
        <v>140</v>
      </c>
      <c r="H904" s="20" t="s">
        <v>141</v>
      </c>
      <c r="I904" t="str">
        <f t="shared" si="20"/>
        <v>Eulaema polychroma</v>
      </c>
      <c r="J904" t="s">
        <v>242</v>
      </c>
      <c r="K904" t="s">
        <v>331</v>
      </c>
      <c r="L904" t="s">
        <v>273</v>
      </c>
      <c r="N904">
        <v>379</v>
      </c>
      <c r="O904" t="s">
        <v>155</v>
      </c>
      <c r="P904" t="s">
        <v>222</v>
      </c>
      <c r="Q904" s="1">
        <v>45179</v>
      </c>
      <c r="U904" t="s">
        <v>225</v>
      </c>
      <c r="V904">
        <v>1</v>
      </c>
      <c r="W904">
        <v>1</v>
      </c>
      <c r="X904">
        <v>3501</v>
      </c>
      <c r="Y904">
        <v>0</v>
      </c>
      <c r="Z904">
        <v>1</v>
      </c>
      <c r="AA904">
        <v>1</v>
      </c>
      <c r="AB904">
        <v>7.19</v>
      </c>
      <c r="AD904">
        <v>1</v>
      </c>
    </row>
    <row r="905" spans="1:35" x14ac:dyDescent="0.35">
      <c r="A905" t="s">
        <v>156</v>
      </c>
      <c r="B905" t="s">
        <v>24</v>
      </c>
      <c r="C905" t="s">
        <v>33</v>
      </c>
      <c r="D905" t="s">
        <v>34</v>
      </c>
      <c r="E905" t="s">
        <v>309</v>
      </c>
      <c r="F905" t="s">
        <v>139</v>
      </c>
      <c r="G905" s="20" t="s">
        <v>140</v>
      </c>
      <c r="H905" s="20" t="s">
        <v>141</v>
      </c>
      <c r="I905" t="str">
        <f t="shared" si="20"/>
        <v>Eulaema polychroma</v>
      </c>
      <c r="J905" t="s">
        <v>242</v>
      </c>
      <c r="K905" t="s">
        <v>331</v>
      </c>
      <c r="L905" t="s">
        <v>273</v>
      </c>
      <c r="N905">
        <v>380</v>
      </c>
      <c r="O905" t="s">
        <v>155</v>
      </c>
      <c r="P905" t="s">
        <v>32</v>
      </c>
      <c r="Q905" t="s">
        <v>32</v>
      </c>
      <c r="U905" t="s">
        <v>225</v>
      </c>
      <c r="V905">
        <v>1</v>
      </c>
      <c r="W905">
        <v>1</v>
      </c>
      <c r="X905">
        <v>890</v>
      </c>
      <c r="Y905">
        <v>0</v>
      </c>
      <c r="Z905">
        <v>1</v>
      </c>
      <c r="AD905">
        <v>1</v>
      </c>
    </row>
    <row r="906" spans="1:35" x14ac:dyDescent="0.35">
      <c r="A906" t="s">
        <v>156</v>
      </c>
      <c r="B906" t="s">
        <v>24</v>
      </c>
      <c r="C906" t="s">
        <v>33</v>
      </c>
      <c r="D906" t="s">
        <v>34</v>
      </c>
      <c r="E906" t="s">
        <v>309</v>
      </c>
      <c r="F906" t="s">
        <v>42</v>
      </c>
      <c r="G906" s="20" t="s">
        <v>144</v>
      </c>
      <c r="H906" s="21" t="s">
        <v>145</v>
      </c>
      <c r="I906" t="str">
        <f t="shared" si="20"/>
        <v>Frieseomelitta nigra</v>
      </c>
      <c r="J906" t="s">
        <v>42</v>
      </c>
      <c r="K906" t="s">
        <v>334</v>
      </c>
      <c r="L906" t="s">
        <v>44</v>
      </c>
      <c r="N906">
        <v>382</v>
      </c>
      <c r="O906" t="s">
        <v>155</v>
      </c>
      <c r="P906" t="s">
        <v>222</v>
      </c>
      <c r="Q906" s="1" t="s">
        <v>153</v>
      </c>
      <c r="U906" t="s">
        <v>225</v>
      </c>
      <c r="V906">
        <v>1</v>
      </c>
      <c r="W906">
        <v>1</v>
      </c>
      <c r="X906">
        <v>67</v>
      </c>
      <c r="Y906">
        <v>0</v>
      </c>
      <c r="Z906">
        <v>1</v>
      </c>
      <c r="AA906">
        <v>1</v>
      </c>
      <c r="AB906">
        <v>1.88</v>
      </c>
      <c r="AD906">
        <v>1</v>
      </c>
    </row>
    <row r="907" spans="1:35" x14ac:dyDescent="0.35">
      <c r="A907" t="s">
        <v>156</v>
      </c>
      <c r="B907" t="s">
        <v>24</v>
      </c>
      <c r="C907" t="s">
        <v>33</v>
      </c>
      <c r="D907" t="s">
        <v>34</v>
      </c>
      <c r="E907" t="s">
        <v>309</v>
      </c>
      <c r="F907" t="s">
        <v>42</v>
      </c>
      <c r="G907" s="20" t="s">
        <v>144</v>
      </c>
      <c r="H907" s="21" t="s">
        <v>145</v>
      </c>
      <c r="I907" t="str">
        <f t="shared" si="20"/>
        <v>Frieseomelitta nigra</v>
      </c>
      <c r="J907" t="s">
        <v>42</v>
      </c>
      <c r="K907" t="s">
        <v>334</v>
      </c>
      <c r="L907" t="s">
        <v>44</v>
      </c>
      <c r="N907">
        <v>383</v>
      </c>
      <c r="O907" t="s">
        <v>155</v>
      </c>
      <c r="P907" t="s">
        <v>222</v>
      </c>
      <c r="Q907" s="1" t="s">
        <v>153</v>
      </c>
      <c r="U907" t="s">
        <v>225</v>
      </c>
      <c r="V907">
        <v>1</v>
      </c>
      <c r="W907">
        <v>1</v>
      </c>
      <c r="X907">
        <v>57</v>
      </c>
      <c r="Y907">
        <v>0</v>
      </c>
      <c r="Z907">
        <v>1</v>
      </c>
      <c r="AA907">
        <v>2</v>
      </c>
      <c r="AB907">
        <v>1.1499999999999999</v>
      </c>
      <c r="AD907">
        <v>1</v>
      </c>
    </row>
    <row r="908" spans="1:35" x14ac:dyDescent="0.35">
      <c r="A908" t="s">
        <v>156</v>
      </c>
      <c r="B908" t="s">
        <v>24</v>
      </c>
      <c r="C908" t="s">
        <v>33</v>
      </c>
      <c r="D908" t="s">
        <v>34</v>
      </c>
      <c r="E908" t="s">
        <v>309</v>
      </c>
      <c r="F908" t="s">
        <v>42</v>
      </c>
      <c r="G908" s="20" t="s">
        <v>144</v>
      </c>
      <c r="H908" s="21" t="s">
        <v>145</v>
      </c>
      <c r="I908" t="str">
        <f t="shared" si="20"/>
        <v>Frieseomelitta nigra</v>
      </c>
      <c r="J908" t="s">
        <v>42</v>
      </c>
      <c r="K908" t="s">
        <v>334</v>
      </c>
      <c r="L908" t="s">
        <v>44</v>
      </c>
      <c r="N908">
        <v>384</v>
      </c>
      <c r="O908" t="s">
        <v>155</v>
      </c>
      <c r="P908" t="s">
        <v>222</v>
      </c>
      <c r="Q908" s="1">
        <v>45179</v>
      </c>
      <c r="U908" t="s">
        <v>225</v>
      </c>
      <c r="V908">
        <v>1</v>
      </c>
      <c r="W908">
        <v>1</v>
      </c>
      <c r="X908">
        <v>609</v>
      </c>
      <c r="Y908">
        <v>3</v>
      </c>
      <c r="Z908">
        <v>0.99507389162561577</v>
      </c>
      <c r="AA908">
        <v>2</v>
      </c>
      <c r="AB908">
        <v>1.44</v>
      </c>
      <c r="AD908">
        <v>1</v>
      </c>
    </row>
    <row r="909" spans="1:35" x14ac:dyDescent="0.35">
      <c r="A909" t="s">
        <v>156</v>
      </c>
      <c r="B909" t="s">
        <v>24</v>
      </c>
      <c r="C909" t="s">
        <v>33</v>
      </c>
      <c r="D909" t="s">
        <v>34</v>
      </c>
      <c r="E909" t="s">
        <v>309</v>
      </c>
      <c r="F909" t="s">
        <v>42</v>
      </c>
      <c r="G909" s="20" t="s">
        <v>144</v>
      </c>
      <c r="H909" s="21" t="s">
        <v>145</v>
      </c>
      <c r="I909" t="str">
        <f t="shared" si="20"/>
        <v>Frieseomelitta nigra</v>
      </c>
      <c r="J909" t="s">
        <v>42</v>
      </c>
      <c r="K909" t="s">
        <v>334</v>
      </c>
      <c r="L909" t="s">
        <v>44</v>
      </c>
      <c r="N909">
        <v>385</v>
      </c>
      <c r="O909" t="s">
        <v>155</v>
      </c>
      <c r="P909" t="s">
        <v>222</v>
      </c>
      <c r="Q909" s="1">
        <v>45179</v>
      </c>
      <c r="U909" t="s">
        <v>225</v>
      </c>
      <c r="V909">
        <v>1</v>
      </c>
      <c r="W909">
        <v>1</v>
      </c>
      <c r="X909">
        <v>412</v>
      </c>
      <c r="Y909">
        <v>0</v>
      </c>
      <c r="Z909">
        <v>1</v>
      </c>
      <c r="AA909">
        <v>2</v>
      </c>
      <c r="AB909">
        <v>1.56</v>
      </c>
      <c r="AD909">
        <v>1</v>
      </c>
    </row>
    <row r="910" spans="1:35" x14ac:dyDescent="0.35">
      <c r="A910" t="s">
        <v>156</v>
      </c>
      <c r="B910" t="s">
        <v>24</v>
      </c>
      <c r="C910" t="s">
        <v>33</v>
      </c>
      <c r="D910" t="s">
        <v>34</v>
      </c>
      <c r="E910" t="s">
        <v>309</v>
      </c>
      <c r="F910" t="s">
        <v>42</v>
      </c>
      <c r="G910" s="20" t="s">
        <v>144</v>
      </c>
      <c r="H910" s="21" t="s">
        <v>145</v>
      </c>
      <c r="I910" t="str">
        <f t="shared" si="20"/>
        <v>Frieseomelitta nigra</v>
      </c>
      <c r="J910" t="s">
        <v>42</v>
      </c>
      <c r="K910" t="s">
        <v>334</v>
      </c>
      <c r="L910" t="s">
        <v>44</v>
      </c>
      <c r="N910">
        <v>386</v>
      </c>
      <c r="O910" t="s">
        <v>155</v>
      </c>
      <c r="P910" t="s">
        <v>222</v>
      </c>
      <c r="Q910" s="1">
        <v>45179</v>
      </c>
      <c r="U910" t="s">
        <v>225</v>
      </c>
      <c r="V910">
        <v>1</v>
      </c>
      <c r="W910">
        <v>0</v>
      </c>
      <c r="X910">
        <v>0</v>
      </c>
      <c r="Y910">
        <v>0</v>
      </c>
      <c r="AA910">
        <v>2</v>
      </c>
      <c r="AB910">
        <v>1.53</v>
      </c>
      <c r="AD910">
        <v>1</v>
      </c>
    </row>
    <row r="911" spans="1:35" x14ac:dyDescent="0.35">
      <c r="A911" t="s">
        <v>156</v>
      </c>
      <c r="B911" t="s">
        <v>24</v>
      </c>
      <c r="C911" t="s">
        <v>33</v>
      </c>
      <c r="D911" t="s">
        <v>65</v>
      </c>
      <c r="E911" t="s">
        <v>62</v>
      </c>
      <c r="F911" t="s">
        <v>316</v>
      </c>
      <c r="G911" s="20" t="s">
        <v>315</v>
      </c>
      <c r="H911" t="s">
        <v>7</v>
      </c>
      <c r="I911" t="str">
        <f t="shared" si="20"/>
        <v>Halictus species</v>
      </c>
      <c r="J911" t="s">
        <v>65</v>
      </c>
      <c r="K911" t="s">
        <v>333</v>
      </c>
      <c r="L911" t="s">
        <v>196</v>
      </c>
      <c r="N911">
        <v>387</v>
      </c>
      <c r="O911" t="s">
        <v>155</v>
      </c>
      <c r="P911" t="s">
        <v>222</v>
      </c>
      <c r="Q911" s="1">
        <v>45026</v>
      </c>
      <c r="U911" t="s">
        <v>225</v>
      </c>
      <c r="V911">
        <v>1</v>
      </c>
      <c r="W911">
        <v>1</v>
      </c>
      <c r="X911">
        <v>11</v>
      </c>
      <c r="Y911">
        <v>0</v>
      </c>
      <c r="Z911">
        <v>1</v>
      </c>
      <c r="AA911">
        <v>2</v>
      </c>
      <c r="AB911">
        <v>1.6</v>
      </c>
      <c r="AD911">
        <v>1</v>
      </c>
    </row>
    <row r="912" spans="1:35" x14ac:dyDescent="0.35">
      <c r="A912" t="s">
        <v>156</v>
      </c>
      <c r="B912" t="s">
        <v>24</v>
      </c>
      <c r="C912" t="s">
        <v>33</v>
      </c>
      <c r="D912" t="s">
        <v>34</v>
      </c>
      <c r="E912" t="s">
        <v>309</v>
      </c>
      <c r="F912" t="s">
        <v>42</v>
      </c>
      <c r="G912" s="20" t="s">
        <v>146</v>
      </c>
      <c r="H912" s="20" t="s">
        <v>147</v>
      </c>
      <c r="I912" t="str">
        <f t="shared" si="20"/>
        <v>Melipona beecheii</v>
      </c>
      <c r="J912" t="s">
        <v>327</v>
      </c>
      <c r="K912" t="s">
        <v>333</v>
      </c>
      <c r="L912" t="s">
        <v>274</v>
      </c>
      <c r="N912">
        <v>388</v>
      </c>
      <c r="O912" t="s">
        <v>155</v>
      </c>
      <c r="P912" t="s">
        <v>222</v>
      </c>
      <c r="Q912" s="1">
        <v>45026</v>
      </c>
      <c r="U912" t="s">
        <v>225</v>
      </c>
      <c r="V912">
        <v>1</v>
      </c>
      <c r="W912">
        <v>1</v>
      </c>
      <c r="X912">
        <v>9395</v>
      </c>
      <c r="Y912">
        <v>0</v>
      </c>
      <c r="Z912">
        <v>1</v>
      </c>
      <c r="AA912">
        <v>1</v>
      </c>
      <c r="AB912">
        <v>3.57</v>
      </c>
      <c r="AD912">
        <v>1</v>
      </c>
    </row>
    <row r="913" spans="1:35" x14ac:dyDescent="0.35">
      <c r="A913" t="s">
        <v>156</v>
      </c>
      <c r="B913" t="s">
        <v>24</v>
      </c>
      <c r="C913" t="s">
        <v>33</v>
      </c>
      <c r="D913" t="s">
        <v>34</v>
      </c>
      <c r="E913" t="s">
        <v>309</v>
      </c>
      <c r="F913" t="s">
        <v>42</v>
      </c>
      <c r="G913" s="20" t="s">
        <v>146</v>
      </c>
      <c r="H913" s="20" t="s">
        <v>147</v>
      </c>
      <c r="I913" t="str">
        <f t="shared" si="20"/>
        <v>Melipona beecheii</v>
      </c>
      <c r="J913" t="s">
        <v>327</v>
      </c>
      <c r="K913" t="s">
        <v>333</v>
      </c>
      <c r="L913" t="s">
        <v>274</v>
      </c>
      <c r="N913">
        <v>389</v>
      </c>
      <c r="O913" t="s">
        <v>155</v>
      </c>
      <c r="P913" t="s">
        <v>222</v>
      </c>
      <c r="Q913" s="1">
        <v>45026</v>
      </c>
      <c r="U913" t="s">
        <v>225</v>
      </c>
      <c r="V913">
        <v>1</v>
      </c>
      <c r="W913">
        <v>0</v>
      </c>
      <c r="X913">
        <v>0</v>
      </c>
      <c r="Y913">
        <v>0</v>
      </c>
      <c r="AA913">
        <v>1</v>
      </c>
      <c r="AB913">
        <v>3.66</v>
      </c>
      <c r="AD913">
        <v>1</v>
      </c>
    </row>
    <row r="914" spans="1:35" x14ac:dyDescent="0.35">
      <c r="A914" t="s">
        <v>156</v>
      </c>
      <c r="B914" t="s">
        <v>24</v>
      </c>
      <c r="C914" t="s">
        <v>33</v>
      </c>
      <c r="D914" t="s">
        <v>34</v>
      </c>
      <c r="E914" t="s">
        <v>309</v>
      </c>
      <c r="F914" t="s">
        <v>42</v>
      </c>
      <c r="G914" s="20" t="s">
        <v>146</v>
      </c>
      <c r="H914" s="20" t="s">
        <v>147</v>
      </c>
      <c r="I914" t="str">
        <f t="shared" si="20"/>
        <v>Melipona beecheii</v>
      </c>
      <c r="J914" t="s">
        <v>327</v>
      </c>
      <c r="K914" t="s">
        <v>333</v>
      </c>
      <c r="L914" t="s">
        <v>274</v>
      </c>
      <c r="N914">
        <v>390</v>
      </c>
      <c r="O914" t="s">
        <v>155</v>
      </c>
      <c r="P914" t="s">
        <v>222</v>
      </c>
      <c r="Q914" s="1" t="s">
        <v>153</v>
      </c>
      <c r="U914" t="s">
        <v>225</v>
      </c>
      <c r="V914">
        <v>1</v>
      </c>
      <c r="W914">
        <v>1</v>
      </c>
      <c r="X914">
        <v>1564</v>
      </c>
      <c r="Y914">
        <v>0</v>
      </c>
      <c r="Z914">
        <v>1</v>
      </c>
      <c r="AA914">
        <v>1</v>
      </c>
      <c r="AB914">
        <v>3.06</v>
      </c>
      <c r="AD914">
        <v>1</v>
      </c>
    </row>
    <row r="915" spans="1:35" x14ac:dyDescent="0.35">
      <c r="A915" t="s">
        <v>156</v>
      </c>
      <c r="B915" t="s">
        <v>24</v>
      </c>
      <c r="C915" t="s">
        <v>33</v>
      </c>
      <c r="D915" t="s">
        <v>34</v>
      </c>
      <c r="E915" t="s">
        <v>309</v>
      </c>
      <c r="F915" t="s">
        <v>42</v>
      </c>
      <c r="G915" s="20" t="s">
        <v>146</v>
      </c>
      <c r="H915" s="20" t="s">
        <v>147</v>
      </c>
      <c r="I915" t="str">
        <f t="shared" si="20"/>
        <v>Melipona beecheii</v>
      </c>
      <c r="J915" t="s">
        <v>327</v>
      </c>
      <c r="K915" t="s">
        <v>333</v>
      </c>
      <c r="L915" t="s">
        <v>274</v>
      </c>
      <c r="N915">
        <v>391</v>
      </c>
      <c r="O915" t="s">
        <v>155</v>
      </c>
      <c r="P915" t="s">
        <v>222</v>
      </c>
      <c r="Q915" s="1" t="s">
        <v>153</v>
      </c>
      <c r="U915" t="s">
        <v>225</v>
      </c>
      <c r="V915">
        <v>1</v>
      </c>
      <c r="W915">
        <v>1</v>
      </c>
      <c r="X915">
        <v>4621</v>
      </c>
      <c r="Y915">
        <v>0</v>
      </c>
      <c r="Z915">
        <v>1</v>
      </c>
      <c r="AA915">
        <v>1</v>
      </c>
      <c r="AB915">
        <v>3.05</v>
      </c>
      <c r="AD915">
        <v>1</v>
      </c>
    </row>
    <row r="916" spans="1:35" x14ac:dyDescent="0.35">
      <c r="A916" t="s">
        <v>156</v>
      </c>
      <c r="B916" t="s">
        <v>24</v>
      </c>
      <c r="C916" t="s">
        <v>33</v>
      </c>
      <c r="D916" t="s">
        <v>34</v>
      </c>
      <c r="E916" t="s">
        <v>309</v>
      </c>
      <c r="F916" t="s">
        <v>42</v>
      </c>
      <c r="G916" s="20" t="s">
        <v>146</v>
      </c>
      <c r="H916" s="20" t="s">
        <v>147</v>
      </c>
      <c r="I916" t="str">
        <f t="shared" si="20"/>
        <v>Melipona beecheii</v>
      </c>
      <c r="J916" t="s">
        <v>327</v>
      </c>
      <c r="K916" t="s">
        <v>333</v>
      </c>
      <c r="L916" t="s">
        <v>274</v>
      </c>
      <c r="N916">
        <v>392</v>
      </c>
      <c r="O916" t="s">
        <v>155</v>
      </c>
      <c r="P916" t="s">
        <v>222</v>
      </c>
      <c r="Q916" s="1">
        <v>45179</v>
      </c>
      <c r="U916" t="s">
        <v>225</v>
      </c>
      <c r="V916">
        <v>1</v>
      </c>
      <c r="W916">
        <v>1</v>
      </c>
      <c r="X916">
        <v>496</v>
      </c>
      <c r="Y916">
        <v>7</v>
      </c>
      <c r="Z916">
        <v>0.98588709677419351</v>
      </c>
      <c r="AA916">
        <v>1</v>
      </c>
      <c r="AB916">
        <v>3.21</v>
      </c>
      <c r="AD916">
        <v>1</v>
      </c>
    </row>
    <row r="917" spans="1:35" x14ac:dyDescent="0.35">
      <c r="A917" t="s">
        <v>156</v>
      </c>
      <c r="B917" t="s">
        <v>24</v>
      </c>
      <c r="C917" t="s">
        <v>33</v>
      </c>
      <c r="D917" t="s">
        <v>34</v>
      </c>
      <c r="E917" t="s">
        <v>309</v>
      </c>
      <c r="F917" t="s">
        <v>42</v>
      </c>
      <c r="G917" s="20" t="s">
        <v>158</v>
      </c>
      <c r="H917" s="21" t="s">
        <v>150</v>
      </c>
      <c r="I917" t="str">
        <f t="shared" si="20"/>
        <v>Nannotrigona perilampoides</v>
      </c>
      <c r="J917" t="s">
        <v>42</v>
      </c>
      <c r="K917" t="s">
        <v>334</v>
      </c>
      <c r="L917" t="s">
        <v>44</v>
      </c>
      <c r="N917">
        <v>394</v>
      </c>
      <c r="O917" t="s">
        <v>155</v>
      </c>
      <c r="P917" t="s">
        <v>222</v>
      </c>
      <c r="Q917" s="1" t="s">
        <v>153</v>
      </c>
      <c r="U917" t="s">
        <v>225</v>
      </c>
      <c r="V917">
        <v>1</v>
      </c>
      <c r="W917">
        <v>1</v>
      </c>
      <c r="X917">
        <v>91</v>
      </c>
      <c r="Y917">
        <v>0</v>
      </c>
      <c r="Z917">
        <v>1</v>
      </c>
      <c r="AA917">
        <v>2</v>
      </c>
      <c r="AB917">
        <v>1.68</v>
      </c>
      <c r="AD917">
        <v>1</v>
      </c>
    </row>
    <row r="918" spans="1:35" x14ac:dyDescent="0.35">
      <c r="A918" t="s">
        <v>156</v>
      </c>
      <c r="B918" t="s">
        <v>24</v>
      </c>
      <c r="C918" t="s">
        <v>33</v>
      </c>
      <c r="D918" t="s">
        <v>34</v>
      </c>
      <c r="E918" t="s">
        <v>309</v>
      </c>
      <c r="F918" t="s">
        <v>42</v>
      </c>
      <c r="G918" s="20" t="s">
        <v>158</v>
      </c>
      <c r="H918" s="21" t="s">
        <v>150</v>
      </c>
      <c r="I918" t="str">
        <f t="shared" si="20"/>
        <v>Nannotrigona perilampoides</v>
      </c>
      <c r="J918" t="s">
        <v>42</v>
      </c>
      <c r="K918" t="s">
        <v>334</v>
      </c>
      <c r="L918" t="s">
        <v>44</v>
      </c>
      <c r="N918">
        <v>395</v>
      </c>
      <c r="O918" t="s">
        <v>155</v>
      </c>
      <c r="P918" t="s">
        <v>222</v>
      </c>
      <c r="Q918" s="1" t="s">
        <v>153</v>
      </c>
      <c r="U918" t="s">
        <v>225</v>
      </c>
      <c r="V918">
        <v>1</v>
      </c>
      <c r="W918">
        <v>0</v>
      </c>
      <c r="X918">
        <v>0</v>
      </c>
      <c r="Y918">
        <v>0</v>
      </c>
      <c r="AA918">
        <v>2</v>
      </c>
      <c r="AB918">
        <v>1.64</v>
      </c>
      <c r="AD918">
        <v>1</v>
      </c>
    </row>
    <row r="919" spans="1:35" x14ac:dyDescent="0.35">
      <c r="A919" t="s">
        <v>156</v>
      </c>
      <c r="B919" t="s">
        <v>24</v>
      </c>
      <c r="C919" t="s">
        <v>33</v>
      </c>
      <c r="D919" t="s">
        <v>34</v>
      </c>
      <c r="E919" t="s">
        <v>309</v>
      </c>
      <c r="F919" t="s">
        <v>42</v>
      </c>
      <c r="G919" s="20" t="s">
        <v>148</v>
      </c>
      <c r="H919" s="21" t="s">
        <v>149</v>
      </c>
      <c r="I919" t="str">
        <f t="shared" si="20"/>
        <v>Plebeia frontalis</v>
      </c>
      <c r="J919" t="s">
        <v>328</v>
      </c>
      <c r="K919" t="s">
        <v>333</v>
      </c>
      <c r="L919" t="s">
        <v>44</v>
      </c>
      <c r="N919">
        <v>393</v>
      </c>
      <c r="O919" t="s">
        <v>155</v>
      </c>
      <c r="P919" t="s">
        <v>222</v>
      </c>
      <c r="Q919" s="1">
        <v>45026</v>
      </c>
      <c r="U919" t="s">
        <v>225</v>
      </c>
      <c r="V919">
        <v>1</v>
      </c>
      <c r="W919">
        <v>1</v>
      </c>
      <c r="X919">
        <v>27</v>
      </c>
      <c r="Y919">
        <v>0</v>
      </c>
      <c r="Z919">
        <v>1</v>
      </c>
      <c r="AA919">
        <v>2</v>
      </c>
      <c r="AB919">
        <v>1.57</v>
      </c>
      <c r="AD919">
        <v>1</v>
      </c>
    </row>
    <row r="920" spans="1:35" x14ac:dyDescent="0.35">
      <c r="A920" t="s">
        <v>156</v>
      </c>
      <c r="B920" t="s">
        <v>24</v>
      </c>
      <c r="C920" t="s">
        <v>33</v>
      </c>
      <c r="D920" t="s">
        <v>34</v>
      </c>
      <c r="E920" t="s">
        <v>309</v>
      </c>
      <c r="F920" t="s">
        <v>42</v>
      </c>
      <c r="G920" s="20" t="s">
        <v>151</v>
      </c>
      <c r="H920" s="21" t="s">
        <v>152</v>
      </c>
      <c r="I920" t="str">
        <f t="shared" si="20"/>
        <v>Trigona fulviventris</v>
      </c>
      <c r="J920" t="s">
        <v>42</v>
      </c>
      <c r="K920" t="s">
        <v>334</v>
      </c>
      <c r="L920" t="s">
        <v>44</v>
      </c>
      <c r="N920">
        <v>396</v>
      </c>
      <c r="O920" t="s">
        <v>155</v>
      </c>
      <c r="P920" t="s">
        <v>223</v>
      </c>
      <c r="Q920" s="1">
        <v>45240</v>
      </c>
      <c r="U920" t="s">
        <v>225</v>
      </c>
      <c r="V920">
        <v>1</v>
      </c>
      <c r="W920">
        <v>1</v>
      </c>
      <c r="X920">
        <v>104</v>
      </c>
      <c r="Y920">
        <v>0</v>
      </c>
      <c r="Z920">
        <v>1</v>
      </c>
      <c r="AA920">
        <v>1</v>
      </c>
      <c r="AB920">
        <v>2.1800000000000002</v>
      </c>
      <c r="AD920">
        <v>1</v>
      </c>
    </row>
    <row r="921" spans="1:35" x14ac:dyDescent="0.35">
      <c r="A921" t="s">
        <v>156</v>
      </c>
      <c r="B921" t="s">
        <v>24</v>
      </c>
      <c r="C921" t="s">
        <v>33</v>
      </c>
      <c r="D921" t="s">
        <v>34</v>
      </c>
      <c r="E921" t="s">
        <v>309</v>
      </c>
      <c r="F921" t="s">
        <v>42</v>
      </c>
      <c r="G921" s="20" t="s">
        <v>151</v>
      </c>
      <c r="H921" s="21" t="s">
        <v>152</v>
      </c>
      <c r="I921" t="str">
        <f t="shared" si="20"/>
        <v>Trigona fulviventris</v>
      </c>
      <c r="J921" t="s">
        <v>42</v>
      </c>
      <c r="K921" t="s">
        <v>334</v>
      </c>
      <c r="L921" t="s">
        <v>44</v>
      </c>
      <c r="N921">
        <v>397</v>
      </c>
      <c r="O921" t="s">
        <v>155</v>
      </c>
      <c r="P921" t="s">
        <v>223</v>
      </c>
      <c r="Q921" s="1">
        <v>45240</v>
      </c>
      <c r="U921" t="s">
        <v>225</v>
      </c>
      <c r="V921">
        <v>1</v>
      </c>
      <c r="W921">
        <v>1</v>
      </c>
      <c r="X921">
        <v>670</v>
      </c>
      <c r="Y921">
        <v>0</v>
      </c>
      <c r="Z921">
        <v>1</v>
      </c>
      <c r="AA921">
        <v>1</v>
      </c>
      <c r="AB921">
        <v>2.16</v>
      </c>
      <c r="AD921">
        <v>1</v>
      </c>
    </row>
    <row r="922" spans="1:35" x14ac:dyDescent="0.35">
      <c r="A922" t="s">
        <v>156</v>
      </c>
      <c r="B922" t="s">
        <v>24</v>
      </c>
      <c r="C922" t="s">
        <v>33</v>
      </c>
      <c r="D922" t="s">
        <v>34</v>
      </c>
      <c r="E922" t="s">
        <v>309</v>
      </c>
      <c r="F922" t="s">
        <v>42</v>
      </c>
      <c r="G922" s="20" t="s">
        <v>151</v>
      </c>
      <c r="H922" s="21" t="s">
        <v>152</v>
      </c>
      <c r="I922" t="str">
        <f t="shared" si="20"/>
        <v>Trigona fulviventris</v>
      </c>
      <c r="J922" t="s">
        <v>42</v>
      </c>
      <c r="K922" t="s">
        <v>334</v>
      </c>
      <c r="L922" t="s">
        <v>44</v>
      </c>
      <c r="N922">
        <v>398</v>
      </c>
      <c r="O922" t="s">
        <v>155</v>
      </c>
      <c r="P922" t="s">
        <v>223</v>
      </c>
      <c r="Q922" s="1">
        <v>45240</v>
      </c>
      <c r="U922" t="s">
        <v>225</v>
      </c>
      <c r="V922">
        <v>1</v>
      </c>
      <c r="W922">
        <v>1</v>
      </c>
      <c r="X922">
        <v>394</v>
      </c>
      <c r="Y922">
        <v>0</v>
      </c>
      <c r="Z922">
        <v>1</v>
      </c>
      <c r="AA922">
        <v>1</v>
      </c>
      <c r="AB922">
        <v>2.17</v>
      </c>
      <c r="AD922">
        <v>1</v>
      </c>
    </row>
    <row r="923" spans="1:35" x14ac:dyDescent="0.35">
      <c r="A923" t="s">
        <v>156</v>
      </c>
      <c r="B923" t="s">
        <v>24</v>
      </c>
      <c r="C923" t="s">
        <v>33</v>
      </c>
      <c r="D923" t="s">
        <v>34</v>
      </c>
      <c r="E923" t="s">
        <v>309</v>
      </c>
      <c r="F923" t="s">
        <v>42</v>
      </c>
      <c r="G923" s="20" t="s">
        <v>151</v>
      </c>
      <c r="H923" s="21" t="s">
        <v>152</v>
      </c>
      <c r="I923" t="str">
        <f t="shared" si="20"/>
        <v>Trigona fulviventris</v>
      </c>
      <c r="J923" t="s">
        <v>42</v>
      </c>
      <c r="K923" t="s">
        <v>334</v>
      </c>
      <c r="L923" t="s">
        <v>44</v>
      </c>
      <c r="N923">
        <v>399</v>
      </c>
      <c r="O923" t="s">
        <v>155</v>
      </c>
      <c r="P923" t="s">
        <v>222</v>
      </c>
      <c r="Q923" s="1">
        <v>45026</v>
      </c>
      <c r="U923" t="s">
        <v>225</v>
      </c>
      <c r="V923">
        <v>1</v>
      </c>
      <c r="W923">
        <v>0</v>
      </c>
      <c r="X923">
        <v>0</v>
      </c>
      <c r="Y923">
        <v>0</v>
      </c>
      <c r="AA923">
        <v>2</v>
      </c>
      <c r="AB923">
        <v>0.98</v>
      </c>
      <c r="AD923">
        <v>1</v>
      </c>
    </row>
    <row r="924" spans="1:35" x14ac:dyDescent="0.35">
      <c r="A924" t="s">
        <v>156</v>
      </c>
      <c r="B924" t="s">
        <v>24</v>
      </c>
      <c r="C924" t="s">
        <v>33</v>
      </c>
      <c r="D924" t="s">
        <v>34</v>
      </c>
      <c r="E924" t="s">
        <v>309</v>
      </c>
      <c r="F924" t="s">
        <v>42</v>
      </c>
      <c r="G924" s="20" t="s">
        <v>151</v>
      </c>
      <c r="H924" s="21" t="s">
        <v>152</v>
      </c>
      <c r="I924" t="str">
        <f t="shared" si="20"/>
        <v>Trigona fulviventris</v>
      </c>
      <c r="J924" t="s">
        <v>42</v>
      </c>
      <c r="K924" t="s">
        <v>334</v>
      </c>
      <c r="L924" t="s">
        <v>44</v>
      </c>
      <c r="N924">
        <v>400</v>
      </c>
      <c r="O924" t="s">
        <v>155</v>
      </c>
      <c r="P924" t="s">
        <v>222</v>
      </c>
      <c r="Q924" s="1">
        <v>45179</v>
      </c>
      <c r="U924" t="s">
        <v>225</v>
      </c>
      <c r="V924">
        <v>1</v>
      </c>
      <c r="W924">
        <v>1</v>
      </c>
      <c r="X924">
        <v>1039</v>
      </c>
      <c r="Y924">
        <v>0</v>
      </c>
      <c r="Z924">
        <v>1</v>
      </c>
      <c r="AA924">
        <v>2</v>
      </c>
      <c r="AB924">
        <v>1.79</v>
      </c>
      <c r="AD924">
        <v>1</v>
      </c>
    </row>
    <row r="925" spans="1:35" x14ac:dyDescent="0.35">
      <c r="C925" s="3" t="s">
        <v>33</v>
      </c>
      <c r="D925" s="10" t="s">
        <v>111</v>
      </c>
      <c r="I925" t="str">
        <f>D925</f>
        <v>Formicidae</v>
      </c>
      <c r="J925" t="s">
        <v>326</v>
      </c>
      <c r="K925" t="s">
        <v>330</v>
      </c>
      <c r="L925" s="9" t="s">
        <v>112</v>
      </c>
      <c r="N925">
        <v>933</v>
      </c>
      <c r="O925" t="s">
        <v>155</v>
      </c>
      <c r="P925" t="s">
        <v>222</v>
      </c>
      <c r="Q925" t="s">
        <v>210</v>
      </c>
      <c r="R925" s="9">
        <v>0</v>
      </c>
      <c r="S925" s="3" t="s">
        <v>199</v>
      </c>
      <c r="U925" t="s">
        <v>225</v>
      </c>
      <c r="AD925">
        <v>1</v>
      </c>
      <c r="AE925" s="8"/>
      <c r="AF925" s="9">
        <v>1</v>
      </c>
      <c r="AI925">
        <v>39</v>
      </c>
    </row>
    <row r="933" spans="26:26" x14ac:dyDescent="0.35">
      <c r="Z933" s="3"/>
    </row>
  </sheetData>
  <sheetProtection algorithmName="SHA-512" hashValue="vXtDYaGL+38auemnwsqe65PCh9GttoJ5fKsVKCdkiyaoQd27knjakRN/PIHv3c0HURdlTh3s8HS8f6MyTJ9Arw==" saltValue="daHzgyEIgj1Fqa91n4uMuQ==" spinCount="100000" sheet="1" objects="1" scenarios="1"/>
  <sortState xmlns:xlrd2="http://schemas.microsoft.com/office/spreadsheetml/2017/richdata2" ref="A2:AI925">
    <sortCondition ref="A2:A925"/>
    <sortCondition ref="C2:C925"/>
    <sortCondition ref="I2:I925"/>
    <sortCondition ref="N2:N925"/>
    <sortCondition ref="AI2:AI925"/>
  </sortState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5D3E-CD1B-49CD-8500-322251C9AFE4}">
  <dimension ref="A1:AI925"/>
  <sheetViews>
    <sheetView zoomScale="55" zoomScaleNormal="55" workbookViewId="0">
      <selection activeCell="Q30" sqref="Q30"/>
    </sheetView>
  </sheetViews>
  <sheetFormatPr defaultRowHeight="14.5" x14ac:dyDescent="0.35"/>
  <cols>
    <col min="17" max="17" width="31.7265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325</v>
      </c>
      <c r="K1" t="s">
        <v>329</v>
      </c>
      <c r="L1" t="s">
        <v>9</v>
      </c>
      <c r="M1" t="s">
        <v>10</v>
      </c>
      <c r="N1" t="s">
        <v>11</v>
      </c>
      <c r="O1" t="s">
        <v>118</v>
      </c>
      <c r="P1" t="s">
        <v>12</v>
      </c>
      <c r="Q1" t="s">
        <v>13</v>
      </c>
      <c r="R1" t="s">
        <v>14</v>
      </c>
      <c r="S1" t="s">
        <v>228</v>
      </c>
      <c r="T1" t="s">
        <v>231</v>
      </c>
      <c r="U1" t="s">
        <v>270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227</v>
      </c>
      <c r="AB1" t="s">
        <v>22</v>
      </c>
      <c r="AC1" t="s">
        <v>263</v>
      </c>
      <c r="AD1" t="s">
        <v>175</v>
      </c>
      <c r="AE1" s="7" t="s">
        <v>176</v>
      </c>
      <c r="AF1" t="s">
        <v>189</v>
      </c>
      <c r="AG1" t="s">
        <v>190</v>
      </c>
      <c r="AH1" t="s">
        <v>191</v>
      </c>
      <c r="AI1" t="s">
        <v>264</v>
      </c>
    </row>
    <row r="2" spans="1:35" x14ac:dyDescent="0.35">
      <c r="A2" t="s">
        <v>23</v>
      </c>
      <c r="B2" t="s">
        <v>24</v>
      </c>
      <c r="C2" t="s">
        <v>25</v>
      </c>
      <c r="D2" t="s">
        <v>26</v>
      </c>
      <c r="E2" t="s">
        <v>312</v>
      </c>
      <c r="F2" t="s">
        <v>313</v>
      </c>
      <c r="G2" t="s">
        <v>27</v>
      </c>
      <c r="H2" t="s">
        <v>28</v>
      </c>
      <c r="I2" t="str">
        <f t="shared" ref="I2:I9" si="0">G2&amp;" "&amp;H2</f>
        <v>Cylindralcides bubo</v>
      </c>
      <c r="J2" t="s">
        <v>326</v>
      </c>
      <c r="K2" t="s">
        <v>330</v>
      </c>
      <c r="L2" t="s">
        <v>29</v>
      </c>
      <c r="M2" t="s">
        <v>29</v>
      </c>
      <c r="N2">
        <v>1</v>
      </c>
      <c r="O2" t="s">
        <v>119</v>
      </c>
      <c r="P2" t="s">
        <v>30</v>
      </c>
      <c r="Q2" s="1">
        <v>44714</v>
      </c>
      <c r="U2" t="s">
        <v>225</v>
      </c>
      <c r="V2">
        <v>1</v>
      </c>
      <c r="W2">
        <v>0</v>
      </c>
      <c r="X2">
        <v>0</v>
      </c>
      <c r="Y2">
        <v>0</v>
      </c>
      <c r="AA2">
        <v>2</v>
      </c>
      <c r="AB2">
        <v>2.0299999999999998</v>
      </c>
    </row>
    <row r="3" spans="1:35" x14ac:dyDescent="0.35">
      <c r="A3" t="s">
        <v>23</v>
      </c>
      <c r="B3" t="s">
        <v>24</v>
      </c>
      <c r="C3" t="s">
        <v>33</v>
      </c>
      <c r="D3" t="s">
        <v>34</v>
      </c>
      <c r="E3" t="s">
        <v>309</v>
      </c>
      <c r="F3" t="s">
        <v>308</v>
      </c>
      <c r="G3" s="20" t="s">
        <v>35</v>
      </c>
      <c r="H3" t="s">
        <v>7</v>
      </c>
      <c r="I3" t="str">
        <f t="shared" si="0"/>
        <v>Amegilla species</v>
      </c>
      <c r="J3" t="s">
        <v>237</v>
      </c>
      <c r="K3" t="s">
        <v>331</v>
      </c>
      <c r="L3" t="s">
        <v>36</v>
      </c>
      <c r="M3" t="s">
        <v>36</v>
      </c>
      <c r="N3">
        <v>2</v>
      </c>
      <c r="O3" t="s">
        <v>119</v>
      </c>
      <c r="P3" t="s">
        <v>37</v>
      </c>
      <c r="Q3" s="1">
        <v>44742</v>
      </c>
      <c r="U3" t="s">
        <v>225</v>
      </c>
      <c r="V3">
        <v>1</v>
      </c>
      <c r="W3">
        <v>1</v>
      </c>
      <c r="X3">
        <v>1232</v>
      </c>
      <c r="Y3">
        <v>184</v>
      </c>
      <c r="Z3">
        <f t="shared" ref="Z3:Z9" si="1">(X3-Y3)/X3</f>
        <v>0.85064935064935066</v>
      </c>
      <c r="AA3">
        <v>1</v>
      </c>
      <c r="AB3">
        <v>4.72</v>
      </c>
    </row>
    <row r="4" spans="1:35" x14ac:dyDescent="0.35">
      <c r="A4" t="s">
        <v>23</v>
      </c>
      <c r="B4" t="s">
        <v>24</v>
      </c>
      <c r="C4" t="s">
        <v>33</v>
      </c>
      <c r="D4" t="s">
        <v>34</v>
      </c>
      <c r="E4" t="s">
        <v>309</v>
      </c>
      <c r="F4" t="s">
        <v>310</v>
      </c>
      <c r="G4" s="20" t="s">
        <v>38</v>
      </c>
      <c r="H4" s="20" t="s">
        <v>39</v>
      </c>
      <c r="I4" t="str">
        <f t="shared" si="0"/>
        <v>Apis mellifera</v>
      </c>
      <c r="J4" t="s">
        <v>70</v>
      </c>
      <c r="K4" t="s">
        <v>332</v>
      </c>
      <c r="L4" t="s">
        <v>40</v>
      </c>
      <c r="M4" t="s">
        <v>40</v>
      </c>
      <c r="N4">
        <v>3</v>
      </c>
      <c r="O4" t="s">
        <v>119</v>
      </c>
      <c r="P4" t="s">
        <v>41</v>
      </c>
      <c r="Q4" s="1">
        <v>44707</v>
      </c>
      <c r="U4" t="s">
        <v>225</v>
      </c>
      <c r="V4">
        <v>1</v>
      </c>
      <c r="W4">
        <v>1</v>
      </c>
      <c r="X4">
        <v>1493</v>
      </c>
      <c r="Y4">
        <v>0</v>
      </c>
      <c r="Z4">
        <f t="shared" si="1"/>
        <v>1</v>
      </c>
      <c r="AA4">
        <v>1</v>
      </c>
      <c r="AB4">
        <v>0.48</v>
      </c>
    </row>
    <row r="5" spans="1:35" x14ac:dyDescent="0.35">
      <c r="A5" t="s">
        <v>23</v>
      </c>
      <c r="B5" t="s">
        <v>24</v>
      </c>
      <c r="C5" t="s">
        <v>33</v>
      </c>
      <c r="D5" t="s">
        <v>34</v>
      </c>
      <c r="E5" t="s">
        <v>309</v>
      </c>
      <c r="F5" t="s">
        <v>310</v>
      </c>
      <c r="G5" s="20" t="s">
        <v>38</v>
      </c>
      <c r="H5" s="20" t="s">
        <v>39</v>
      </c>
      <c r="I5" t="str">
        <f t="shared" si="0"/>
        <v>Apis mellifera</v>
      </c>
      <c r="J5" t="s">
        <v>70</v>
      </c>
      <c r="K5" t="s">
        <v>332</v>
      </c>
      <c r="L5" t="s">
        <v>40</v>
      </c>
      <c r="M5" t="s">
        <v>40</v>
      </c>
      <c r="N5">
        <v>4</v>
      </c>
      <c r="O5" t="s">
        <v>119</v>
      </c>
      <c r="P5" t="s">
        <v>41</v>
      </c>
      <c r="Q5" s="1">
        <v>44707</v>
      </c>
      <c r="U5" t="s">
        <v>225</v>
      </c>
      <c r="V5">
        <v>1</v>
      </c>
      <c r="W5">
        <v>1</v>
      </c>
      <c r="X5">
        <v>2757</v>
      </c>
      <c r="Y5">
        <v>0</v>
      </c>
      <c r="Z5">
        <f t="shared" si="1"/>
        <v>1</v>
      </c>
      <c r="AA5">
        <v>1</v>
      </c>
      <c r="AB5">
        <v>3.41</v>
      </c>
    </row>
    <row r="6" spans="1:35" x14ac:dyDescent="0.35">
      <c r="A6" t="s">
        <v>23</v>
      </c>
      <c r="B6" t="s">
        <v>24</v>
      </c>
      <c r="C6" t="s">
        <v>33</v>
      </c>
      <c r="D6" t="s">
        <v>34</v>
      </c>
      <c r="E6" t="s">
        <v>309</v>
      </c>
      <c r="F6" t="s">
        <v>310</v>
      </c>
      <c r="G6" s="20" t="s">
        <v>38</v>
      </c>
      <c r="H6" s="20" t="s">
        <v>39</v>
      </c>
      <c r="I6" t="str">
        <f t="shared" si="0"/>
        <v>Apis mellifera</v>
      </c>
      <c r="J6" t="s">
        <v>70</v>
      </c>
      <c r="K6" t="s">
        <v>332</v>
      </c>
      <c r="L6" t="s">
        <v>40</v>
      </c>
      <c r="M6" t="s">
        <v>40</v>
      </c>
      <c r="N6">
        <v>5</v>
      </c>
      <c r="O6" t="s">
        <v>119</v>
      </c>
      <c r="P6" t="s">
        <v>41</v>
      </c>
      <c r="Q6" s="1">
        <v>44707</v>
      </c>
      <c r="U6" t="s">
        <v>225</v>
      </c>
      <c r="V6">
        <v>1</v>
      </c>
      <c r="W6">
        <v>1</v>
      </c>
      <c r="X6">
        <v>2315</v>
      </c>
      <c r="Y6">
        <v>0</v>
      </c>
      <c r="Z6">
        <f t="shared" si="1"/>
        <v>1</v>
      </c>
      <c r="AA6">
        <v>1</v>
      </c>
      <c r="AB6">
        <v>3.72</v>
      </c>
    </row>
    <row r="7" spans="1:35" x14ac:dyDescent="0.35">
      <c r="A7" t="s">
        <v>23</v>
      </c>
      <c r="B7" t="s">
        <v>24</v>
      </c>
      <c r="C7" t="s">
        <v>33</v>
      </c>
      <c r="D7" t="s">
        <v>34</v>
      </c>
      <c r="E7" t="s">
        <v>309</v>
      </c>
      <c r="F7" t="s">
        <v>310</v>
      </c>
      <c r="G7" s="20" t="s">
        <v>38</v>
      </c>
      <c r="H7" s="20" t="s">
        <v>39</v>
      </c>
      <c r="I7" t="str">
        <f t="shared" si="0"/>
        <v>Apis mellifera</v>
      </c>
      <c r="J7" t="s">
        <v>70</v>
      </c>
      <c r="K7" t="s">
        <v>332</v>
      </c>
      <c r="L7" t="s">
        <v>40</v>
      </c>
      <c r="M7" t="s">
        <v>40</v>
      </c>
      <c r="N7">
        <v>6</v>
      </c>
      <c r="O7" t="s">
        <v>119</v>
      </c>
      <c r="P7" t="s">
        <v>30</v>
      </c>
      <c r="Q7" s="1">
        <v>44714</v>
      </c>
      <c r="U7" t="s">
        <v>225</v>
      </c>
      <c r="V7">
        <v>1</v>
      </c>
      <c r="W7">
        <v>1</v>
      </c>
      <c r="X7">
        <v>542</v>
      </c>
      <c r="Y7">
        <v>0</v>
      </c>
      <c r="Z7">
        <f t="shared" si="1"/>
        <v>1</v>
      </c>
      <c r="AA7">
        <v>1</v>
      </c>
      <c r="AB7">
        <v>3.95</v>
      </c>
    </row>
    <row r="8" spans="1:35" x14ac:dyDescent="0.35">
      <c r="A8" t="s">
        <v>23</v>
      </c>
      <c r="B8" t="s">
        <v>24</v>
      </c>
      <c r="C8" t="s">
        <v>33</v>
      </c>
      <c r="D8" t="s">
        <v>34</v>
      </c>
      <c r="E8" t="s">
        <v>309</v>
      </c>
      <c r="F8" t="s">
        <v>310</v>
      </c>
      <c r="G8" s="20" t="s">
        <v>38</v>
      </c>
      <c r="H8" s="20" t="s">
        <v>39</v>
      </c>
      <c r="I8" t="str">
        <f t="shared" si="0"/>
        <v>Apis mellifera</v>
      </c>
      <c r="J8" t="s">
        <v>70</v>
      </c>
      <c r="K8" t="s">
        <v>332</v>
      </c>
      <c r="L8" t="s">
        <v>40</v>
      </c>
      <c r="M8" t="s">
        <v>40</v>
      </c>
      <c r="N8">
        <v>7</v>
      </c>
      <c r="O8" t="s">
        <v>119</v>
      </c>
      <c r="P8" t="s">
        <v>41</v>
      </c>
      <c r="Q8" s="1">
        <v>44707</v>
      </c>
      <c r="U8" t="s">
        <v>225</v>
      </c>
      <c r="V8">
        <v>1</v>
      </c>
      <c r="W8">
        <v>1</v>
      </c>
      <c r="X8">
        <v>2243</v>
      </c>
      <c r="Y8">
        <v>0</v>
      </c>
      <c r="Z8">
        <f t="shared" si="1"/>
        <v>1</v>
      </c>
      <c r="AA8">
        <v>1</v>
      </c>
      <c r="AB8">
        <v>4.03</v>
      </c>
    </row>
    <row r="9" spans="1:35" x14ac:dyDescent="0.35">
      <c r="A9" t="s">
        <v>23</v>
      </c>
      <c r="B9" t="s">
        <v>24</v>
      </c>
      <c r="C9" t="s">
        <v>33</v>
      </c>
      <c r="D9" t="s">
        <v>34</v>
      </c>
      <c r="E9" t="s">
        <v>309</v>
      </c>
      <c r="F9" t="s">
        <v>310</v>
      </c>
      <c r="G9" s="20" t="s">
        <v>38</v>
      </c>
      <c r="H9" s="20" t="s">
        <v>39</v>
      </c>
      <c r="I9" t="str">
        <f t="shared" si="0"/>
        <v>Apis mellifera</v>
      </c>
      <c r="J9" t="s">
        <v>70</v>
      </c>
      <c r="K9" t="s">
        <v>332</v>
      </c>
      <c r="L9" t="s">
        <v>40</v>
      </c>
      <c r="M9" t="s">
        <v>40</v>
      </c>
      <c r="N9">
        <v>8</v>
      </c>
      <c r="O9" t="s">
        <v>119</v>
      </c>
      <c r="P9" t="s">
        <v>32</v>
      </c>
      <c r="Q9">
        <v>2022</v>
      </c>
      <c r="U9" t="s">
        <v>225</v>
      </c>
      <c r="V9">
        <v>1</v>
      </c>
      <c r="W9">
        <v>1</v>
      </c>
      <c r="X9">
        <v>611</v>
      </c>
      <c r="Y9">
        <v>31</v>
      </c>
      <c r="Z9">
        <f t="shared" si="1"/>
        <v>0.9492635024549918</v>
      </c>
      <c r="AA9">
        <v>1</v>
      </c>
      <c r="AB9">
        <v>4.12</v>
      </c>
    </row>
    <row r="10" spans="1:35" x14ac:dyDescent="0.35">
      <c r="A10" t="s">
        <v>23</v>
      </c>
      <c r="B10" t="s">
        <v>24</v>
      </c>
      <c r="C10" t="s">
        <v>33</v>
      </c>
      <c r="D10" t="s">
        <v>49</v>
      </c>
      <c r="I10" t="s">
        <v>49</v>
      </c>
      <c r="J10" t="s">
        <v>326</v>
      </c>
      <c r="K10" t="s">
        <v>330</v>
      </c>
      <c r="L10" t="s">
        <v>50</v>
      </c>
      <c r="M10" t="s">
        <v>51</v>
      </c>
      <c r="N10">
        <v>33</v>
      </c>
      <c r="O10" t="s">
        <v>119</v>
      </c>
      <c r="P10" t="s">
        <v>37</v>
      </c>
      <c r="Q10" s="1">
        <v>44697</v>
      </c>
      <c r="U10" t="s">
        <v>225</v>
      </c>
      <c r="V10">
        <v>1</v>
      </c>
      <c r="W10">
        <v>1</v>
      </c>
      <c r="X10">
        <v>0</v>
      </c>
      <c r="Y10">
        <v>0</v>
      </c>
      <c r="AA10">
        <v>1</v>
      </c>
      <c r="AB10">
        <v>1.67</v>
      </c>
    </row>
    <row r="11" spans="1:35" x14ac:dyDescent="0.35">
      <c r="A11" t="s">
        <v>23</v>
      </c>
      <c r="B11" t="s">
        <v>24</v>
      </c>
      <c r="C11" t="s">
        <v>33</v>
      </c>
      <c r="D11" t="s">
        <v>65</v>
      </c>
      <c r="E11" t="s">
        <v>62</v>
      </c>
      <c r="F11" t="s">
        <v>316</v>
      </c>
      <c r="G11" t="s">
        <v>66</v>
      </c>
      <c r="H11" t="s">
        <v>7</v>
      </c>
      <c r="I11" t="str">
        <f t="shared" ref="I11:I50" si="2">G11&amp;" "&amp;H11</f>
        <v>Homalictus species</v>
      </c>
      <c r="J11" t="s">
        <v>65</v>
      </c>
      <c r="K11" t="s">
        <v>333</v>
      </c>
      <c r="L11" t="s">
        <v>196</v>
      </c>
      <c r="M11" t="s">
        <v>67</v>
      </c>
      <c r="N11">
        <v>46</v>
      </c>
      <c r="O11" t="s">
        <v>119</v>
      </c>
      <c r="P11" t="s">
        <v>48</v>
      </c>
      <c r="Q11" s="1">
        <v>43997</v>
      </c>
      <c r="U11" t="s">
        <v>225</v>
      </c>
      <c r="V11">
        <v>1</v>
      </c>
      <c r="W11">
        <v>1</v>
      </c>
      <c r="AA11">
        <v>1</v>
      </c>
      <c r="AB11">
        <v>1.1499999999999999</v>
      </c>
    </row>
    <row r="12" spans="1:35" x14ac:dyDescent="0.35">
      <c r="A12" t="s">
        <v>23</v>
      </c>
      <c r="B12" t="s">
        <v>24</v>
      </c>
      <c r="C12" t="s">
        <v>33</v>
      </c>
      <c r="D12" t="s">
        <v>65</v>
      </c>
      <c r="E12" t="s">
        <v>62</v>
      </c>
      <c r="F12" t="s">
        <v>316</v>
      </c>
      <c r="G12" t="s">
        <v>66</v>
      </c>
      <c r="H12" t="s">
        <v>7</v>
      </c>
      <c r="I12" t="str">
        <f t="shared" si="2"/>
        <v>Homalictus species</v>
      </c>
      <c r="J12" t="s">
        <v>65</v>
      </c>
      <c r="K12" t="s">
        <v>333</v>
      </c>
      <c r="L12" t="s">
        <v>196</v>
      </c>
      <c r="M12" t="s">
        <v>67</v>
      </c>
      <c r="N12">
        <v>47</v>
      </c>
      <c r="O12" t="s">
        <v>119</v>
      </c>
      <c r="P12" t="s">
        <v>48</v>
      </c>
      <c r="Q12" s="1">
        <v>43997</v>
      </c>
      <c r="U12" t="s">
        <v>225</v>
      </c>
      <c r="V12">
        <v>1</v>
      </c>
      <c r="W12">
        <v>1</v>
      </c>
      <c r="AA12">
        <v>1</v>
      </c>
      <c r="AB12">
        <v>1.6</v>
      </c>
    </row>
    <row r="13" spans="1:35" x14ac:dyDescent="0.35">
      <c r="A13" t="s">
        <v>23</v>
      </c>
      <c r="B13" t="s">
        <v>24</v>
      </c>
      <c r="C13" t="s">
        <v>33</v>
      </c>
      <c r="D13" t="s">
        <v>65</v>
      </c>
      <c r="E13" t="s">
        <v>62</v>
      </c>
      <c r="F13" t="s">
        <v>316</v>
      </c>
      <c r="G13" t="s">
        <v>66</v>
      </c>
      <c r="H13" t="s">
        <v>7</v>
      </c>
      <c r="I13" t="str">
        <f t="shared" si="2"/>
        <v>Homalictus species</v>
      </c>
      <c r="J13" t="s">
        <v>65</v>
      </c>
      <c r="K13" t="s">
        <v>333</v>
      </c>
      <c r="L13" t="s">
        <v>196</v>
      </c>
      <c r="M13" t="s">
        <v>67</v>
      </c>
      <c r="N13">
        <v>48</v>
      </c>
      <c r="O13" t="s">
        <v>119</v>
      </c>
      <c r="P13" t="s">
        <v>48</v>
      </c>
      <c r="Q13" s="1">
        <v>43997</v>
      </c>
      <c r="U13" t="s">
        <v>225</v>
      </c>
      <c r="V13">
        <v>1</v>
      </c>
      <c r="W13">
        <v>1</v>
      </c>
      <c r="X13">
        <v>12532</v>
      </c>
      <c r="Y13">
        <v>3</v>
      </c>
      <c r="Z13">
        <f>(X13-Y13)/X13</f>
        <v>0.99976061283115225</v>
      </c>
      <c r="AA13">
        <v>1</v>
      </c>
      <c r="AB13">
        <v>1.68</v>
      </c>
    </row>
    <row r="14" spans="1:35" x14ac:dyDescent="0.35">
      <c r="A14" t="s">
        <v>23</v>
      </c>
      <c r="B14" t="s">
        <v>24</v>
      </c>
      <c r="C14" t="s">
        <v>33</v>
      </c>
      <c r="D14" t="s">
        <v>65</v>
      </c>
      <c r="E14" t="s">
        <v>62</v>
      </c>
      <c r="F14" t="s">
        <v>316</v>
      </c>
      <c r="G14" t="s">
        <v>66</v>
      </c>
      <c r="H14" t="s">
        <v>7</v>
      </c>
      <c r="I14" t="str">
        <f t="shared" si="2"/>
        <v>Homalictus species</v>
      </c>
      <c r="J14" t="s">
        <v>65</v>
      </c>
      <c r="K14" t="s">
        <v>333</v>
      </c>
      <c r="L14" t="s">
        <v>196</v>
      </c>
      <c r="M14" t="s">
        <v>67</v>
      </c>
      <c r="N14">
        <v>49</v>
      </c>
      <c r="O14" t="s">
        <v>119</v>
      </c>
      <c r="P14" t="s">
        <v>48</v>
      </c>
      <c r="Q14" s="1">
        <v>43997</v>
      </c>
      <c r="U14" t="s">
        <v>225</v>
      </c>
      <c r="V14">
        <v>1</v>
      </c>
      <c r="W14">
        <v>1</v>
      </c>
      <c r="X14">
        <v>619</v>
      </c>
      <c r="Y14">
        <v>9349</v>
      </c>
      <c r="Z14">
        <f>(X14-Y14)/X14</f>
        <v>-14.103392568659128</v>
      </c>
      <c r="AA14">
        <v>2</v>
      </c>
      <c r="AB14">
        <v>1.88</v>
      </c>
    </row>
    <row r="15" spans="1:35" x14ac:dyDescent="0.35">
      <c r="A15" t="s">
        <v>23</v>
      </c>
      <c r="B15" t="s">
        <v>24</v>
      </c>
      <c r="C15" t="s">
        <v>33</v>
      </c>
      <c r="D15" t="s">
        <v>65</v>
      </c>
      <c r="E15" t="s">
        <v>58</v>
      </c>
      <c r="G15" s="20" t="s">
        <v>307</v>
      </c>
      <c r="H15" t="s">
        <v>7</v>
      </c>
      <c r="I15" t="str">
        <f t="shared" si="2"/>
        <v>Lipotriches species</v>
      </c>
      <c r="J15" t="s">
        <v>65</v>
      </c>
      <c r="K15" t="s">
        <v>333</v>
      </c>
      <c r="L15" t="s">
        <v>196</v>
      </c>
      <c r="M15" t="s">
        <v>59</v>
      </c>
      <c r="N15">
        <v>36</v>
      </c>
      <c r="O15" t="s">
        <v>119</v>
      </c>
      <c r="P15" t="s">
        <v>37</v>
      </c>
      <c r="Q15" s="1">
        <v>44727</v>
      </c>
      <c r="U15" t="s">
        <v>225</v>
      </c>
      <c r="V15">
        <v>1</v>
      </c>
      <c r="W15">
        <v>1</v>
      </c>
      <c r="X15">
        <v>5918</v>
      </c>
      <c r="Y15">
        <v>0</v>
      </c>
      <c r="Z15">
        <f>(X15-Y15)/X15</f>
        <v>1</v>
      </c>
      <c r="AA15">
        <v>1</v>
      </c>
      <c r="AB15">
        <v>3.24</v>
      </c>
    </row>
    <row r="16" spans="1:35" x14ac:dyDescent="0.35">
      <c r="A16" t="s">
        <v>23</v>
      </c>
      <c r="B16" t="s">
        <v>24</v>
      </c>
      <c r="C16" t="s">
        <v>33</v>
      </c>
      <c r="D16" t="s">
        <v>65</v>
      </c>
      <c r="E16" t="s">
        <v>58</v>
      </c>
      <c r="G16" s="20" t="s">
        <v>60</v>
      </c>
      <c r="H16" t="s">
        <v>7</v>
      </c>
      <c r="I16" t="str">
        <f t="shared" si="2"/>
        <v>Mellitidia species</v>
      </c>
      <c r="J16" t="s">
        <v>65</v>
      </c>
      <c r="K16" t="s">
        <v>333</v>
      </c>
      <c r="L16" t="s">
        <v>196</v>
      </c>
      <c r="M16" t="s">
        <v>61</v>
      </c>
      <c r="N16">
        <v>37</v>
      </c>
      <c r="O16" t="s">
        <v>119</v>
      </c>
      <c r="P16" t="s">
        <v>56</v>
      </c>
      <c r="Q16" s="1">
        <v>44725</v>
      </c>
      <c r="U16" t="s">
        <v>225</v>
      </c>
      <c r="V16">
        <v>1</v>
      </c>
      <c r="W16">
        <v>1</v>
      </c>
      <c r="X16">
        <v>3625</v>
      </c>
      <c r="Y16">
        <v>0</v>
      </c>
      <c r="Z16">
        <f>(X16-Y16)/X16</f>
        <v>1</v>
      </c>
      <c r="AA16">
        <v>2</v>
      </c>
      <c r="AB16">
        <v>2.15</v>
      </c>
    </row>
    <row r="17" spans="1:28" x14ac:dyDescent="0.35">
      <c r="A17" t="s">
        <v>23</v>
      </c>
      <c r="B17" t="s">
        <v>24</v>
      </c>
      <c r="C17" t="s">
        <v>33</v>
      </c>
      <c r="D17" t="s">
        <v>65</v>
      </c>
      <c r="E17" t="s">
        <v>58</v>
      </c>
      <c r="G17" s="20" t="s">
        <v>60</v>
      </c>
      <c r="H17" t="s">
        <v>7</v>
      </c>
      <c r="I17" t="str">
        <f t="shared" si="2"/>
        <v>Mellitidia species</v>
      </c>
      <c r="J17" t="s">
        <v>65</v>
      </c>
      <c r="K17" t="s">
        <v>333</v>
      </c>
      <c r="L17" t="s">
        <v>196</v>
      </c>
      <c r="M17" t="s">
        <v>61</v>
      </c>
      <c r="N17">
        <v>38</v>
      </c>
      <c r="O17" t="s">
        <v>119</v>
      </c>
      <c r="P17" t="s">
        <v>56</v>
      </c>
      <c r="Q17" s="1">
        <v>44725</v>
      </c>
      <c r="U17" t="s">
        <v>225</v>
      </c>
      <c r="V17">
        <v>1</v>
      </c>
      <c r="W17">
        <v>1</v>
      </c>
      <c r="X17">
        <v>4021</v>
      </c>
      <c r="Y17">
        <v>20</v>
      </c>
      <c r="Z17">
        <f>(X17-Y17)/X17</f>
        <v>0.99502611290723697</v>
      </c>
      <c r="AA17">
        <v>2</v>
      </c>
      <c r="AB17">
        <v>2.58</v>
      </c>
    </row>
    <row r="18" spans="1:28" x14ac:dyDescent="0.35">
      <c r="A18" t="s">
        <v>23</v>
      </c>
      <c r="B18" t="s">
        <v>24</v>
      </c>
      <c r="C18" t="s">
        <v>33</v>
      </c>
      <c r="D18" t="s">
        <v>65</v>
      </c>
      <c r="E18" t="s">
        <v>58</v>
      </c>
      <c r="G18" s="20" t="s">
        <v>60</v>
      </c>
      <c r="H18" t="s">
        <v>7</v>
      </c>
      <c r="I18" t="str">
        <f t="shared" si="2"/>
        <v>Mellitidia species</v>
      </c>
      <c r="J18" t="s">
        <v>65</v>
      </c>
      <c r="K18" t="s">
        <v>333</v>
      </c>
      <c r="L18" t="s">
        <v>196</v>
      </c>
      <c r="M18" t="s">
        <v>61</v>
      </c>
      <c r="N18">
        <v>39</v>
      </c>
      <c r="O18" t="s">
        <v>119</v>
      </c>
      <c r="P18" t="s">
        <v>56</v>
      </c>
      <c r="Q18" s="2">
        <v>44743</v>
      </c>
      <c r="U18" t="s">
        <v>225</v>
      </c>
      <c r="V18">
        <v>1</v>
      </c>
      <c r="W18">
        <v>1</v>
      </c>
      <c r="X18">
        <v>321</v>
      </c>
      <c r="Y18">
        <v>0</v>
      </c>
      <c r="Z18">
        <f t="shared" ref="Z18:Z22" si="3">(X18-Y18)/X18</f>
        <v>1</v>
      </c>
      <c r="AA18">
        <v>1</v>
      </c>
      <c r="AB18">
        <v>2.74</v>
      </c>
    </row>
    <row r="19" spans="1:28" x14ac:dyDescent="0.35">
      <c r="A19" t="s">
        <v>23</v>
      </c>
      <c r="B19" t="s">
        <v>24</v>
      </c>
      <c r="C19" t="s">
        <v>33</v>
      </c>
      <c r="D19" t="s">
        <v>65</v>
      </c>
      <c r="E19" t="s">
        <v>58</v>
      </c>
      <c r="G19" s="20" t="s">
        <v>60</v>
      </c>
      <c r="H19" t="s">
        <v>7</v>
      </c>
      <c r="I19" t="str">
        <f t="shared" si="2"/>
        <v>Mellitidia species</v>
      </c>
      <c r="J19" t="s">
        <v>65</v>
      </c>
      <c r="K19" t="s">
        <v>333</v>
      </c>
      <c r="L19" t="s">
        <v>196</v>
      </c>
      <c r="M19" t="s">
        <v>61</v>
      </c>
      <c r="N19">
        <v>40</v>
      </c>
      <c r="O19" t="s">
        <v>119</v>
      </c>
      <c r="P19" t="s">
        <v>56</v>
      </c>
      <c r="Q19" s="1">
        <v>44735</v>
      </c>
      <c r="U19" t="s">
        <v>225</v>
      </c>
      <c r="V19">
        <v>1</v>
      </c>
      <c r="W19">
        <v>1</v>
      </c>
      <c r="X19">
        <v>12480</v>
      </c>
      <c r="Y19">
        <v>0</v>
      </c>
      <c r="Z19">
        <f>(X19-Y19)/X19</f>
        <v>1</v>
      </c>
      <c r="AA19">
        <v>1</v>
      </c>
      <c r="AB19">
        <v>2.85</v>
      </c>
    </row>
    <row r="20" spans="1:28" x14ac:dyDescent="0.35">
      <c r="A20" t="s">
        <v>23</v>
      </c>
      <c r="B20" t="s">
        <v>24</v>
      </c>
      <c r="C20" t="s">
        <v>33</v>
      </c>
      <c r="D20" t="s">
        <v>65</v>
      </c>
      <c r="E20" t="s">
        <v>58</v>
      </c>
      <c r="G20" s="20" t="s">
        <v>60</v>
      </c>
      <c r="H20" t="s">
        <v>7</v>
      </c>
      <c r="I20" t="str">
        <f t="shared" si="2"/>
        <v>Mellitidia species</v>
      </c>
      <c r="J20" t="s">
        <v>65</v>
      </c>
      <c r="K20" t="s">
        <v>333</v>
      </c>
      <c r="L20" t="s">
        <v>196</v>
      </c>
      <c r="M20" t="s">
        <v>61</v>
      </c>
      <c r="N20">
        <v>41</v>
      </c>
      <c r="O20" t="s">
        <v>119</v>
      </c>
      <c r="P20" t="s">
        <v>56</v>
      </c>
      <c r="Q20" s="1">
        <v>44735</v>
      </c>
      <c r="U20" t="s">
        <v>225</v>
      </c>
      <c r="V20">
        <v>1</v>
      </c>
      <c r="W20">
        <v>1</v>
      </c>
      <c r="X20">
        <v>14540</v>
      </c>
      <c r="Y20">
        <v>8</v>
      </c>
      <c r="Z20">
        <f t="shared" si="3"/>
        <v>0.99944979367262721</v>
      </c>
      <c r="AA20">
        <v>1</v>
      </c>
      <c r="AB20">
        <v>2.94</v>
      </c>
    </row>
    <row r="21" spans="1:28" x14ac:dyDescent="0.35">
      <c r="A21" t="s">
        <v>23</v>
      </c>
      <c r="B21" t="s">
        <v>24</v>
      </c>
      <c r="C21" t="s">
        <v>33</v>
      </c>
      <c r="D21" t="s">
        <v>65</v>
      </c>
      <c r="E21" t="s">
        <v>58</v>
      </c>
      <c r="G21" s="20" t="s">
        <v>60</v>
      </c>
      <c r="H21" t="s">
        <v>7</v>
      </c>
      <c r="I21" t="str">
        <f t="shared" si="2"/>
        <v>Mellitidia species</v>
      </c>
      <c r="J21" t="s">
        <v>65</v>
      </c>
      <c r="K21" t="s">
        <v>333</v>
      </c>
      <c r="L21" t="s">
        <v>196</v>
      </c>
      <c r="M21" t="s">
        <v>61</v>
      </c>
      <c r="N21">
        <v>42</v>
      </c>
      <c r="O21" t="s">
        <v>119</v>
      </c>
      <c r="P21" t="s">
        <v>56</v>
      </c>
      <c r="Q21" s="2">
        <v>44743</v>
      </c>
      <c r="U21" t="s">
        <v>225</v>
      </c>
      <c r="V21">
        <v>1</v>
      </c>
      <c r="W21">
        <v>1</v>
      </c>
      <c r="X21">
        <v>7270</v>
      </c>
      <c r="Y21">
        <v>0</v>
      </c>
      <c r="Z21">
        <f t="shared" si="3"/>
        <v>1</v>
      </c>
      <c r="AA21">
        <v>1</v>
      </c>
      <c r="AB21">
        <v>3.07</v>
      </c>
    </row>
    <row r="22" spans="1:28" x14ac:dyDescent="0.35">
      <c r="A22" t="s">
        <v>23</v>
      </c>
      <c r="B22" t="s">
        <v>24</v>
      </c>
      <c r="C22" t="s">
        <v>33</v>
      </c>
      <c r="D22" t="s">
        <v>52</v>
      </c>
      <c r="E22" t="s">
        <v>53</v>
      </c>
      <c r="G22" t="s">
        <v>54</v>
      </c>
      <c r="H22" t="s">
        <v>7</v>
      </c>
      <c r="I22" t="str">
        <f t="shared" si="2"/>
        <v>Palaeorhiza species</v>
      </c>
      <c r="J22" t="s">
        <v>249</v>
      </c>
      <c r="K22" t="s">
        <v>332</v>
      </c>
      <c r="L22" t="s">
        <v>268</v>
      </c>
      <c r="M22" t="s">
        <v>55</v>
      </c>
      <c r="N22">
        <v>34</v>
      </c>
      <c r="O22" t="s">
        <v>119</v>
      </c>
      <c r="P22" t="s">
        <v>56</v>
      </c>
      <c r="Q22" s="2">
        <v>44743</v>
      </c>
      <c r="U22" t="s">
        <v>225</v>
      </c>
      <c r="V22">
        <v>1</v>
      </c>
      <c r="W22">
        <v>1</v>
      </c>
      <c r="X22">
        <v>48</v>
      </c>
      <c r="Y22">
        <v>0</v>
      </c>
      <c r="Z22">
        <f t="shared" si="3"/>
        <v>1</v>
      </c>
      <c r="AA22">
        <v>2</v>
      </c>
      <c r="AB22">
        <v>2.42</v>
      </c>
    </row>
    <row r="23" spans="1:28" x14ac:dyDescent="0.35">
      <c r="A23" t="s">
        <v>23</v>
      </c>
      <c r="B23" t="s">
        <v>24</v>
      </c>
      <c r="C23" t="s">
        <v>33</v>
      </c>
      <c r="D23" t="s">
        <v>52</v>
      </c>
      <c r="E23" t="s">
        <v>53</v>
      </c>
      <c r="G23" t="s">
        <v>54</v>
      </c>
      <c r="H23" t="s">
        <v>7</v>
      </c>
      <c r="I23" t="str">
        <f t="shared" si="2"/>
        <v>Palaeorhiza species</v>
      </c>
      <c r="J23" t="s">
        <v>249</v>
      </c>
      <c r="K23" t="s">
        <v>332</v>
      </c>
      <c r="L23" t="s">
        <v>268</v>
      </c>
      <c r="M23" t="s">
        <v>55</v>
      </c>
      <c r="N23">
        <v>35</v>
      </c>
      <c r="O23" t="s">
        <v>119</v>
      </c>
      <c r="P23" t="s">
        <v>56</v>
      </c>
      <c r="Q23" s="2">
        <v>44743</v>
      </c>
      <c r="U23" t="s">
        <v>225</v>
      </c>
      <c r="V23">
        <v>1</v>
      </c>
      <c r="W23">
        <v>1</v>
      </c>
      <c r="X23">
        <v>0</v>
      </c>
      <c r="Y23">
        <v>0</v>
      </c>
      <c r="AA23">
        <v>2</v>
      </c>
      <c r="AB23">
        <v>2.4900000000000002</v>
      </c>
    </row>
    <row r="24" spans="1:28" x14ac:dyDescent="0.35">
      <c r="A24" t="s">
        <v>23</v>
      </c>
      <c r="B24" t="s">
        <v>24</v>
      </c>
      <c r="C24" t="s">
        <v>33</v>
      </c>
      <c r="D24" t="s">
        <v>65</v>
      </c>
      <c r="E24" t="s">
        <v>62</v>
      </c>
      <c r="F24" t="s">
        <v>316</v>
      </c>
      <c r="G24" s="20" t="s">
        <v>314</v>
      </c>
      <c r="H24" s="20" t="s">
        <v>63</v>
      </c>
      <c r="I24" t="str">
        <f t="shared" si="2"/>
        <v xml:space="preserve">Patellapis stirlingi </v>
      </c>
      <c r="J24" t="s">
        <v>65</v>
      </c>
      <c r="K24" t="s">
        <v>333</v>
      </c>
      <c r="L24" t="s">
        <v>65</v>
      </c>
      <c r="M24" t="s">
        <v>64</v>
      </c>
      <c r="N24">
        <v>43</v>
      </c>
      <c r="O24" t="s">
        <v>119</v>
      </c>
      <c r="P24" t="s">
        <v>30</v>
      </c>
      <c r="Q24" s="1">
        <v>44719</v>
      </c>
      <c r="U24" t="s">
        <v>225</v>
      </c>
      <c r="V24">
        <v>1</v>
      </c>
      <c r="W24">
        <v>1</v>
      </c>
      <c r="AA24">
        <v>2</v>
      </c>
      <c r="AB24">
        <v>1.93</v>
      </c>
    </row>
    <row r="25" spans="1:28" x14ac:dyDescent="0.35">
      <c r="A25" t="s">
        <v>23</v>
      </c>
      <c r="B25" t="s">
        <v>24</v>
      </c>
      <c r="C25" t="s">
        <v>33</v>
      </c>
      <c r="D25" t="s">
        <v>65</v>
      </c>
      <c r="E25" t="s">
        <v>62</v>
      </c>
      <c r="F25" t="s">
        <v>316</v>
      </c>
      <c r="G25" s="20" t="s">
        <v>314</v>
      </c>
      <c r="H25" s="20" t="s">
        <v>63</v>
      </c>
      <c r="I25" t="str">
        <f t="shared" si="2"/>
        <v xml:space="preserve">Patellapis stirlingi </v>
      </c>
      <c r="J25" t="s">
        <v>65</v>
      </c>
      <c r="K25" t="s">
        <v>333</v>
      </c>
      <c r="L25" t="s">
        <v>196</v>
      </c>
      <c r="M25" t="s">
        <v>64</v>
      </c>
      <c r="N25">
        <v>44</v>
      </c>
      <c r="O25" t="s">
        <v>119</v>
      </c>
      <c r="P25" t="s">
        <v>41</v>
      </c>
      <c r="Q25" s="1">
        <v>44707</v>
      </c>
      <c r="U25" t="s">
        <v>225</v>
      </c>
      <c r="V25">
        <v>1</v>
      </c>
      <c r="W25">
        <v>1</v>
      </c>
      <c r="X25">
        <v>2869</v>
      </c>
      <c r="Y25">
        <v>0</v>
      </c>
      <c r="Z25">
        <f>(X25-Y25)/X25</f>
        <v>1</v>
      </c>
      <c r="AA25">
        <v>2</v>
      </c>
      <c r="AB25">
        <v>2.35</v>
      </c>
    </row>
    <row r="26" spans="1:28" x14ac:dyDescent="0.35">
      <c r="A26" t="s">
        <v>23</v>
      </c>
      <c r="B26" t="s">
        <v>24</v>
      </c>
      <c r="C26" t="s">
        <v>33</v>
      </c>
      <c r="D26" t="s">
        <v>65</v>
      </c>
      <c r="E26" t="s">
        <v>62</v>
      </c>
      <c r="F26" t="s">
        <v>316</v>
      </c>
      <c r="G26" s="20" t="s">
        <v>314</v>
      </c>
      <c r="H26" s="20" t="s">
        <v>63</v>
      </c>
      <c r="I26" t="str">
        <f t="shared" si="2"/>
        <v xml:space="preserve">Patellapis stirlingi </v>
      </c>
      <c r="J26" t="s">
        <v>65</v>
      </c>
      <c r="K26" t="s">
        <v>333</v>
      </c>
      <c r="L26" t="s">
        <v>196</v>
      </c>
      <c r="M26" t="s">
        <v>64</v>
      </c>
      <c r="N26">
        <v>45</v>
      </c>
      <c r="O26" t="s">
        <v>119</v>
      </c>
      <c r="P26" t="s">
        <v>30</v>
      </c>
      <c r="Q26" s="1">
        <v>44714</v>
      </c>
      <c r="U26" t="s">
        <v>225</v>
      </c>
      <c r="V26">
        <v>1</v>
      </c>
      <c r="W26">
        <v>1</v>
      </c>
      <c r="X26">
        <v>13368</v>
      </c>
      <c r="Y26">
        <v>0</v>
      </c>
      <c r="Z26">
        <f>(X26-Y26)/X26</f>
        <v>1</v>
      </c>
      <c r="AA26">
        <v>2</v>
      </c>
      <c r="AB26">
        <v>2.4</v>
      </c>
    </row>
    <row r="27" spans="1:28" x14ac:dyDescent="0.35">
      <c r="A27" t="s">
        <v>23</v>
      </c>
      <c r="B27" t="s">
        <v>24</v>
      </c>
      <c r="C27" t="s">
        <v>33</v>
      </c>
      <c r="D27" t="s">
        <v>34</v>
      </c>
      <c r="E27" t="s">
        <v>309</v>
      </c>
      <c r="F27" t="s">
        <v>42</v>
      </c>
      <c r="G27" s="20" t="s">
        <v>43</v>
      </c>
      <c r="H27" t="s">
        <v>7</v>
      </c>
      <c r="I27" t="str">
        <f t="shared" si="2"/>
        <v>Tetragonula species</v>
      </c>
      <c r="J27" t="s">
        <v>42</v>
      </c>
      <c r="K27" t="s">
        <v>334</v>
      </c>
      <c r="L27" t="s">
        <v>44</v>
      </c>
      <c r="M27" t="s">
        <v>45</v>
      </c>
      <c r="N27">
        <v>9</v>
      </c>
      <c r="O27" t="s">
        <v>119</v>
      </c>
      <c r="P27" t="s">
        <v>30</v>
      </c>
      <c r="Q27" s="1">
        <v>44714</v>
      </c>
      <c r="U27" t="s">
        <v>225</v>
      </c>
      <c r="V27">
        <v>1</v>
      </c>
      <c r="W27">
        <v>1</v>
      </c>
      <c r="X27">
        <v>226</v>
      </c>
      <c r="Y27">
        <v>0</v>
      </c>
      <c r="Z27">
        <f>(X27-Y27)/X27</f>
        <v>1</v>
      </c>
      <c r="AA27">
        <v>1</v>
      </c>
      <c r="AB27">
        <v>1.65</v>
      </c>
    </row>
    <row r="28" spans="1:28" x14ac:dyDescent="0.35">
      <c r="A28" t="s">
        <v>23</v>
      </c>
      <c r="B28" t="s">
        <v>24</v>
      </c>
      <c r="C28" t="s">
        <v>33</v>
      </c>
      <c r="D28" t="s">
        <v>34</v>
      </c>
      <c r="E28" t="s">
        <v>309</v>
      </c>
      <c r="F28" t="s">
        <v>42</v>
      </c>
      <c r="G28" s="20" t="s">
        <v>43</v>
      </c>
      <c r="H28" t="s">
        <v>7</v>
      </c>
      <c r="I28" t="str">
        <f t="shared" si="2"/>
        <v>Tetragonula species</v>
      </c>
      <c r="J28" t="s">
        <v>42</v>
      </c>
      <c r="K28" t="s">
        <v>334</v>
      </c>
      <c r="L28" t="s">
        <v>44</v>
      </c>
      <c r="M28" t="s">
        <v>45</v>
      </c>
      <c r="N28">
        <v>10</v>
      </c>
      <c r="O28" t="s">
        <v>119</v>
      </c>
      <c r="P28" t="s">
        <v>30</v>
      </c>
      <c r="Q28" s="1">
        <v>44714</v>
      </c>
      <c r="U28" t="s">
        <v>225</v>
      </c>
      <c r="V28">
        <v>1</v>
      </c>
      <c r="W28">
        <v>0</v>
      </c>
      <c r="X28">
        <v>290</v>
      </c>
      <c r="Y28">
        <v>0</v>
      </c>
      <c r="Z28">
        <f>(X28-Y28)/X28</f>
        <v>1</v>
      </c>
      <c r="AA28">
        <v>1</v>
      </c>
      <c r="AB28">
        <v>1.19</v>
      </c>
    </row>
    <row r="29" spans="1:28" x14ac:dyDescent="0.35">
      <c r="A29" t="s">
        <v>23</v>
      </c>
      <c r="B29" t="s">
        <v>24</v>
      </c>
      <c r="C29" t="s">
        <v>33</v>
      </c>
      <c r="D29" t="s">
        <v>34</v>
      </c>
      <c r="E29" t="s">
        <v>309</v>
      </c>
      <c r="F29" t="s">
        <v>42</v>
      </c>
      <c r="G29" s="20" t="s">
        <v>43</v>
      </c>
      <c r="H29" t="s">
        <v>7</v>
      </c>
      <c r="I29" t="str">
        <f t="shared" si="2"/>
        <v>Tetragonula species</v>
      </c>
      <c r="J29" t="s">
        <v>42</v>
      </c>
      <c r="K29" t="s">
        <v>334</v>
      </c>
      <c r="L29" t="s">
        <v>44</v>
      </c>
      <c r="M29" t="s">
        <v>45</v>
      </c>
      <c r="N29">
        <v>11</v>
      </c>
      <c r="O29" t="s">
        <v>119</v>
      </c>
      <c r="P29" t="s">
        <v>41</v>
      </c>
      <c r="Q29" s="1">
        <v>44707</v>
      </c>
      <c r="U29" t="s">
        <v>225</v>
      </c>
      <c r="V29">
        <v>1</v>
      </c>
      <c r="W29">
        <v>0</v>
      </c>
      <c r="X29">
        <v>0</v>
      </c>
      <c r="Y29">
        <v>0</v>
      </c>
      <c r="AA29">
        <v>1</v>
      </c>
      <c r="AB29">
        <v>1.33</v>
      </c>
    </row>
    <row r="30" spans="1:28" x14ac:dyDescent="0.35">
      <c r="A30" t="s">
        <v>23</v>
      </c>
      <c r="B30" t="s">
        <v>24</v>
      </c>
      <c r="C30" t="s">
        <v>33</v>
      </c>
      <c r="D30" t="s">
        <v>34</v>
      </c>
      <c r="E30" t="s">
        <v>309</v>
      </c>
      <c r="F30" t="s">
        <v>42</v>
      </c>
      <c r="G30" s="20" t="s">
        <v>43</v>
      </c>
      <c r="H30" t="s">
        <v>7</v>
      </c>
      <c r="I30" t="str">
        <f t="shared" si="2"/>
        <v>Tetragonula species</v>
      </c>
      <c r="J30" t="s">
        <v>42</v>
      </c>
      <c r="K30" t="s">
        <v>334</v>
      </c>
      <c r="L30" t="s">
        <v>44</v>
      </c>
      <c r="M30" t="s">
        <v>45</v>
      </c>
      <c r="N30">
        <v>12</v>
      </c>
      <c r="O30" t="s">
        <v>119</v>
      </c>
      <c r="P30" t="s">
        <v>41</v>
      </c>
      <c r="Q30" s="1">
        <v>44707</v>
      </c>
      <c r="U30" t="s">
        <v>225</v>
      </c>
      <c r="V30">
        <v>1</v>
      </c>
      <c r="W30">
        <v>0</v>
      </c>
      <c r="X30">
        <v>5</v>
      </c>
      <c r="Y30">
        <v>0</v>
      </c>
      <c r="Z30">
        <f>(X30-Y30)/X30</f>
        <v>1</v>
      </c>
      <c r="AA30">
        <v>1</v>
      </c>
      <c r="AB30">
        <v>1.42</v>
      </c>
    </row>
    <row r="31" spans="1:28" x14ac:dyDescent="0.35">
      <c r="A31" t="s">
        <v>23</v>
      </c>
      <c r="B31" t="s">
        <v>24</v>
      </c>
      <c r="C31" t="s">
        <v>33</v>
      </c>
      <c r="D31" t="s">
        <v>34</v>
      </c>
      <c r="E31" t="s">
        <v>309</v>
      </c>
      <c r="F31" t="s">
        <v>42</v>
      </c>
      <c r="G31" s="20" t="s">
        <v>43</v>
      </c>
      <c r="H31" t="s">
        <v>7</v>
      </c>
      <c r="I31" t="str">
        <f t="shared" si="2"/>
        <v>Tetragonula species</v>
      </c>
      <c r="J31" t="s">
        <v>42</v>
      </c>
      <c r="K31" t="s">
        <v>334</v>
      </c>
      <c r="L31" t="s">
        <v>44</v>
      </c>
      <c r="M31" t="s">
        <v>45</v>
      </c>
      <c r="N31">
        <v>13</v>
      </c>
      <c r="O31" t="s">
        <v>119</v>
      </c>
      <c r="P31" t="s">
        <v>30</v>
      </c>
      <c r="Q31" s="1">
        <v>44714</v>
      </c>
      <c r="U31" t="s">
        <v>225</v>
      </c>
      <c r="V31">
        <v>0</v>
      </c>
      <c r="W31">
        <v>0</v>
      </c>
      <c r="AA31">
        <v>1</v>
      </c>
      <c r="AB31">
        <v>1.69</v>
      </c>
    </row>
    <row r="32" spans="1:28" x14ac:dyDescent="0.35">
      <c r="A32" t="s">
        <v>23</v>
      </c>
      <c r="B32" t="s">
        <v>24</v>
      </c>
      <c r="C32" t="s">
        <v>33</v>
      </c>
      <c r="D32" t="s">
        <v>34</v>
      </c>
      <c r="E32" t="s">
        <v>309</v>
      </c>
      <c r="F32" t="s">
        <v>42</v>
      </c>
      <c r="G32" s="20" t="s">
        <v>43</v>
      </c>
      <c r="H32" t="s">
        <v>7</v>
      </c>
      <c r="I32" t="str">
        <f t="shared" si="2"/>
        <v>Tetragonula species</v>
      </c>
      <c r="J32" t="s">
        <v>42</v>
      </c>
      <c r="K32" t="s">
        <v>334</v>
      </c>
      <c r="L32" t="s">
        <v>44</v>
      </c>
      <c r="M32" t="s">
        <v>45</v>
      </c>
      <c r="N32">
        <v>14</v>
      </c>
      <c r="O32" t="s">
        <v>119</v>
      </c>
      <c r="P32" t="s">
        <v>30</v>
      </c>
      <c r="Q32" s="1">
        <v>44714</v>
      </c>
      <c r="U32" t="s">
        <v>225</v>
      </c>
      <c r="V32">
        <v>1</v>
      </c>
      <c r="W32">
        <v>1</v>
      </c>
      <c r="X32">
        <v>94</v>
      </c>
      <c r="Y32">
        <v>0</v>
      </c>
      <c r="Z32">
        <f>(X32-Y32)/X32</f>
        <v>1</v>
      </c>
      <c r="AA32">
        <v>1</v>
      </c>
      <c r="AB32">
        <v>1.69</v>
      </c>
    </row>
    <row r="33" spans="1:28" x14ac:dyDescent="0.35">
      <c r="A33" t="s">
        <v>23</v>
      </c>
      <c r="B33" t="s">
        <v>24</v>
      </c>
      <c r="C33" t="s">
        <v>33</v>
      </c>
      <c r="D33" t="s">
        <v>34</v>
      </c>
      <c r="E33" t="s">
        <v>309</v>
      </c>
      <c r="F33" t="s">
        <v>42</v>
      </c>
      <c r="G33" s="20" t="s">
        <v>43</v>
      </c>
      <c r="H33" t="s">
        <v>7</v>
      </c>
      <c r="I33" t="str">
        <f t="shared" si="2"/>
        <v>Tetragonula species</v>
      </c>
      <c r="J33" t="s">
        <v>42</v>
      </c>
      <c r="K33" t="s">
        <v>334</v>
      </c>
      <c r="L33" t="s">
        <v>44</v>
      </c>
      <c r="M33" t="s">
        <v>45</v>
      </c>
      <c r="N33">
        <v>15</v>
      </c>
      <c r="O33" t="s">
        <v>119</v>
      </c>
      <c r="P33" t="s">
        <v>41</v>
      </c>
      <c r="Q33" s="1">
        <v>44707</v>
      </c>
      <c r="U33" t="s">
        <v>225</v>
      </c>
      <c r="V33">
        <v>0</v>
      </c>
      <c r="W33">
        <v>1</v>
      </c>
      <c r="X33">
        <v>15803</v>
      </c>
      <c r="Y33">
        <v>0</v>
      </c>
      <c r="Z33">
        <f>(X33-Y33)/X33</f>
        <v>1</v>
      </c>
    </row>
    <row r="34" spans="1:28" x14ac:dyDescent="0.35">
      <c r="A34" t="s">
        <v>23</v>
      </c>
      <c r="B34" t="s">
        <v>24</v>
      </c>
      <c r="C34" t="s">
        <v>33</v>
      </c>
      <c r="D34" t="s">
        <v>34</v>
      </c>
      <c r="E34" t="s">
        <v>309</v>
      </c>
      <c r="F34" t="s">
        <v>42</v>
      </c>
      <c r="G34" s="20" t="s">
        <v>43</v>
      </c>
      <c r="H34" t="s">
        <v>7</v>
      </c>
      <c r="I34" t="str">
        <f t="shared" si="2"/>
        <v>Tetragonula species</v>
      </c>
      <c r="J34" t="s">
        <v>42</v>
      </c>
      <c r="K34" t="s">
        <v>334</v>
      </c>
      <c r="L34" t="s">
        <v>44</v>
      </c>
      <c r="M34" t="s">
        <v>45</v>
      </c>
      <c r="N34">
        <v>16</v>
      </c>
      <c r="O34" t="s">
        <v>119</v>
      </c>
      <c r="P34" t="s">
        <v>41</v>
      </c>
      <c r="Q34" s="1">
        <v>44707</v>
      </c>
      <c r="U34" t="s">
        <v>225</v>
      </c>
      <c r="V34">
        <v>0</v>
      </c>
      <c r="W34">
        <v>1</v>
      </c>
      <c r="X34">
        <v>7270</v>
      </c>
      <c r="Y34">
        <v>0</v>
      </c>
      <c r="Z34">
        <f>(X34-Y34)/X34</f>
        <v>1</v>
      </c>
    </row>
    <row r="35" spans="1:28" x14ac:dyDescent="0.35">
      <c r="A35" t="s">
        <v>23</v>
      </c>
      <c r="B35" t="s">
        <v>24</v>
      </c>
      <c r="C35" t="s">
        <v>33</v>
      </c>
      <c r="D35" t="s">
        <v>34</v>
      </c>
      <c r="E35" t="s">
        <v>309</v>
      </c>
      <c r="F35" t="s">
        <v>42</v>
      </c>
      <c r="G35" s="20" t="s">
        <v>43</v>
      </c>
      <c r="H35" t="s">
        <v>7</v>
      </c>
      <c r="I35" t="str">
        <f t="shared" si="2"/>
        <v>Tetragonula species</v>
      </c>
      <c r="J35" t="s">
        <v>42</v>
      </c>
      <c r="K35" t="s">
        <v>334</v>
      </c>
      <c r="L35" t="s">
        <v>44</v>
      </c>
      <c r="M35" t="s">
        <v>45</v>
      </c>
      <c r="N35">
        <v>17</v>
      </c>
      <c r="O35" t="s">
        <v>119</v>
      </c>
      <c r="P35" t="s">
        <v>41</v>
      </c>
      <c r="Q35" s="1">
        <v>44707</v>
      </c>
      <c r="U35" t="s">
        <v>225</v>
      </c>
      <c r="V35">
        <v>0</v>
      </c>
      <c r="W35">
        <v>1</v>
      </c>
      <c r="X35">
        <v>321</v>
      </c>
      <c r="Y35">
        <v>0</v>
      </c>
      <c r="Z35">
        <f>(X35-Y35)/X35</f>
        <v>1</v>
      </c>
    </row>
    <row r="36" spans="1:28" x14ac:dyDescent="0.35">
      <c r="A36" t="s">
        <v>23</v>
      </c>
      <c r="B36" t="s">
        <v>24</v>
      </c>
      <c r="C36" t="s">
        <v>33</v>
      </c>
      <c r="D36" t="s">
        <v>34</v>
      </c>
      <c r="E36" t="s">
        <v>309</v>
      </c>
      <c r="F36" t="s">
        <v>42</v>
      </c>
      <c r="G36" s="20" t="s">
        <v>43</v>
      </c>
      <c r="H36" t="s">
        <v>7</v>
      </c>
      <c r="I36" t="str">
        <f t="shared" si="2"/>
        <v>Tetragonula species</v>
      </c>
      <c r="J36" t="s">
        <v>42</v>
      </c>
      <c r="K36" t="s">
        <v>334</v>
      </c>
      <c r="L36" t="s">
        <v>44</v>
      </c>
      <c r="M36" t="s">
        <v>45</v>
      </c>
      <c r="N36">
        <v>18</v>
      </c>
      <c r="O36" t="s">
        <v>119</v>
      </c>
      <c r="P36" t="s">
        <v>30</v>
      </c>
      <c r="Q36" s="1">
        <v>44714</v>
      </c>
      <c r="U36" t="s">
        <v>225</v>
      </c>
      <c r="V36">
        <v>0</v>
      </c>
      <c r="W36">
        <v>0</v>
      </c>
    </row>
    <row r="37" spans="1:28" x14ac:dyDescent="0.35">
      <c r="A37" t="s">
        <v>23</v>
      </c>
      <c r="B37" t="s">
        <v>24</v>
      </c>
      <c r="C37" t="s">
        <v>33</v>
      </c>
      <c r="D37" t="s">
        <v>34</v>
      </c>
      <c r="E37" t="s">
        <v>309</v>
      </c>
      <c r="F37" t="s">
        <v>42</v>
      </c>
      <c r="G37" s="20" t="s">
        <v>43</v>
      </c>
      <c r="H37" t="s">
        <v>7</v>
      </c>
      <c r="I37" t="str">
        <f t="shared" si="2"/>
        <v>Tetragonula species</v>
      </c>
      <c r="J37" t="s">
        <v>42</v>
      </c>
      <c r="K37" t="s">
        <v>334</v>
      </c>
      <c r="L37" t="s">
        <v>44</v>
      </c>
      <c r="M37" t="s">
        <v>45</v>
      </c>
      <c r="N37">
        <v>19</v>
      </c>
      <c r="O37" t="s">
        <v>119</v>
      </c>
      <c r="P37" t="s">
        <v>30</v>
      </c>
      <c r="Q37" s="1">
        <v>44714</v>
      </c>
      <c r="U37" t="s">
        <v>225</v>
      </c>
      <c r="V37">
        <v>0</v>
      </c>
      <c r="W37">
        <v>0</v>
      </c>
    </row>
    <row r="38" spans="1:28" x14ac:dyDescent="0.35">
      <c r="A38" t="s">
        <v>23</v>
      </c>
      <c r="B38" t="s">
        <v>24</v>
      </c>
      <c r="C38" t="s">
        <v>33</v>
      </c>
      <c r="D38" t="s">
        <v>34</v>
      </c>
      <c r="E38" t="s">
        <v>309</v>
      </c>
      <c r="F38" t="s">
        <v>42</v>
      </c>
      <c r="G38" s="20" t="s">
        <v>43</v>
      </c>
      <c r="H38" t="s">
        <v>7</v>
      </c>
      <c r="I38" t="str">
        <f t="shared" si="2"/>
        <v>Tetragonula species</v>
      </c>
      <c r="J38" t="s">
        <v>42</v>
      </c>
      <c r="K38" t="s">
        <v>334</v>
      </c>
      <c r="L38" t="s">
        <v>44</v>
      </c>
      <c r="M38" t="s">
        <v>45</v>
      </c>
      <c r="N38">
        <v>20</v>
      </c>
      <c r="O38" t="s">
        <v>119</v>
      </c>
      <c r="P38" t="s">
        <v>30</v>
      </c>
      <c r="Q38" s="1">
        <v>44714</v>
      </c>
      <c r="U38" t="s">
        <v>225</v>
      </c>
      <c r="V38">
        <v>0</v>
      </c>
      <c r="W38">
        <v>0</v>
      </c>
    </row>
    <row r="39" spans="1:28" x14ac:dyDescent="0.35">
      <c r="A39" t="s">
        <v>23</v>
      </c>
      <c r="B39" t="s">
        <v>24</v>
      </c>
      <c r="C39" t="s">
        <v>33</v>
      </c>
      <c r="D39" t="s">
        <v>34</v>
      </c>
      <c r="E39" t="s">
        <v>309</v>
      </c>
      <c r="F39" t="s">
        <v>42</v>
      </c>
      <c r="G39" s="20" t="s">
        <v>43</v>
      </c>
      <c r="H39" t="s">
        <v>7</v>
      </c>
      <c r="I39" t="str">
        <f t="shared" si="2"/>
        <v>Tetragonula species</v>
      </c>
      <c r="J39" t="s">
        <v>42</v>
      </c>
      <c r="K39" t="s">
        <v>334</v>
      </c>
      <c r="L39" t="s">
        <v>44</v>
      </c>
      <c r="M39" t="s">
        <v>45</v>
      </c>
      <c r="N39">
        <v>21</v>
      </c>
      <c r="O39" t="s">
        <v>119</v>
      </c>
      <c r="P39" t="s">
        <v>30</v>
      </c>
      <c r="Q39" s="1">
        <v>44714</v>
      </c>
      <c r="U39" t="s">
        <v>225</v>
      </c>
      <c r="V39">
        <v>0</v>
      </c>
      <c r="W39">
        <v>0</v>
      </c>
    </row>
    <row r="40" spans="1:28" x14ac:dyDescent="0.35">
      <c r="A40" t="s">
        <v>23</v>
      </c>
      <c r="B40" t="s">
        <v>24</v>
      </c>
      <c r="C40" t="s">
        <v>33</v>
      </c>
      <c r="D40" t="s">
        <v>34</v>
      </c>
      <c r="E40" t="s">
        <v>309</v>
      </c>
      <c r="F40" t="s">
        <v>42</v>
      </c>
      <c r="G40" s="20" t="s">
        <v>43</v>
      </c>
      <c r="H40" t="s">
        <v>7</v>
      </c>
      <c r="I40" t="str">
        <f t="shared" si="2"/>
        <v>Tetragonula species</v>
      </c>
      <c r="J40" t="s">
        <v>42</v>
      </c>
      <c r="K40" t="s">
        <v>334</v>
      </c>
      <c r="L40" t="s">
        <v>44</v>
      </c>
      <c r="M40" t="s">
        <v>45</v>
      </c>
      <c r="N40">
        <v>22</v>
      </c>
      <c r="O40" t="s">
        <v>119</v>
      </c>
      <c r="P40" t="s">
        <v>30</v>
      </c>
      <c r="Q40" s="1">
        <v>44714</v>
      </c>
      <c r="U40" t="s">
        <v>225</v>
      </c>
      <c r="V40">
        <v>0</v>
      </c>
      <c r="W40">
        <v>0</v>
      </c>
    </row>
    <row r="41" spans="1:28" x14ac:dyDescent="0.35">
      <c r="A41" t="s">
        <v>23</v>
      </c>
      <c r="B41" t="s">
        <v>24</v>
      </c>
      <c r="C41" t="s">
        <v>33</v>
      </c>
      <c r="D41" t="s">
        <v>34</v>
      </c>
      <c r="E41" t="s">
        <v>309</v>
      </c>
      <c r="F41" t="s">
        <v>42</v>
      </c>
      <c r="G41" s="20" t="s">
        <v>43</v>
      </c>
      <c r="H41" t="s">
        <v>7</v>
      </c>
      <c r="I41" t="str">
        <f t="shared" si="2"/>
        <v>Tetragonula species</v>
      </c>
      <c r="J41" t="s">
        <v>42</v>
      </c>
      <c r="K41" t="s">
        <v>334</v>
      </c>
      <c r="L41" t="s">
        <v>44</v>
      </c>
      <c r="M41" t="s">
        <v>45</v>
      </c>
      <c r="N41">
        <v>23</v>
      </c>
      <c r="O41" t="s">
        <v>119</v>
      </c>
      <c r="P41" t="s">
        <v>30</v>
      </c>
      <c r="Q41" s="1">
        <v>44714</v>
      </c>
      <c r="U41" t="s">
        <v>225</v>
      </c>
      <c r="V41">
        <v>0</v>
      </c>
      <c r="W41">
        <v>0</v>
      </c>
    </row>
    <row r="42" spans="1:28" x14ac:dyDescent="0.35">
      <c r="A42" t="s">
        <v>23</v>
      </c>
      <c r="B42" t="s">
        <v>24</v>
      </c>
      <c r="C42" t="s">
        <v>33</v>
      </c>
      <c r="D42" t="s">
        <v>34</v>
      </c>
      <c r="E42" t="s">
        <v>309</v>
      </c>
      <c r="F42" t="s">
        <v>42</v>
      </c>
      <c r="G42" s="20" t="s">
        <v>43</v>
      </c>
      <c r="H42" t="s">
        <v>7</v>
      </c>
      <c r="I42" t="str">
        <f t="shared" si="2"/>
        <v>Tetragonula species</v>
      </c>
      <c r="J42" t="s">
        <v>42</v>
      </c>
      <c r="K42" t="s">
        <v>334</v>
      </c>
      <c r="L42" t="s">
        <v>44</v>
      </c>
      <c r="M42" t="s">
        <v>45</v>
      </c>
      <c r="N42">
        <v>24</v>
      </c>
      <c r="O42" t="s">
        <v>119</v>
      </c>
      <c r="P42" t="s">
        <v>30</v>
      </c>
      <c r="Q42" s="1">
        <v>44714</v>
      </c>
      <c r="U42" t="s">
        <v>225</v>
      </c>
      <c r="V42">
        <v>0</v>
      </c>
      <c r="W42">
        <v>0</v>
      </c>
    </row>
    <row r="43" spans="1:28" x14ac:dyDescent="0.35">
      <c r="A43" t="s">
        <v>23</v>
      </c>
      <c r="B43" t="s">
        <v>24</v>
      </c>
      <c r="C43" t="s">
        <v>33</v>
      </c>
      <c r="D43" t="s">
        <v>34</v>
      </c>
      <c r="E43" t="s">
        <v>309</v>
      </c>
      <c r="F43" t="s">
        <v>42</v>
      </c>
      <c r="G43" s="20" t="s">
        <v>43</v>
      </c>
      <c r="H43" t="s">
        <v>7</v>
      </c>
      <c r="I43" t="str">
        <f t="shared" si="2"/>
        <v>Tetragonula species</v>
      </c>
      <c r="J43" t="s">
        <v>42</v>
      </c>
      <c r="K43" t="s">
        <v>334</v>
      </c>
      <c r="L43" t="s">
        <v>44</v>
      </c>
      <c r="M43" t="s">
        <v>45</v>
      </c>
      <c r="N43">
        <v>25</v>
      </c>
      <c r="O43" t="s">
        <v>119</v>
      </c>
      <c r="P43" t="s">
        <v>30</v>
      </c>
      <c r="Q43" s="1">
        <v>44714</v>
      </c>
      <c r="U43" t="s">
        <v>225</v>
      </c>
      <c r="V43">
        <v>0</v>
      </c>
      <c r="W43">
        <v>0</v>
      </c>
    </row>
    <row r="44" spans="1:28" x14ac:dyDescent="0.35">
      <c r="A44" t="s">
        <v>23</v>
      </c>
      <c r="B44" t="s">
        <v>24</v>
      </c>
      <c r="C44" t="s">
        <v>33</v>
      </c>
      <c r="D44" t="s">
        <v>34</v>
      </c>
      <c r="E44" t="s">
        <v>309</v>
      </c>
      <c r="F44" t="s">
        <v>42</v>
      </c>
      <c r="G44" s="20" t="s">
        <v>43</v>
      </c>
      <c r="H44" t="s">
        <v>7</v>
      </c>
      <c r="I44" t="str">
        <f t="shared" si="2"/>
        <v>Tetragonula species</v>
      </c>
      <c r="J44" t="s">
        <v>42</v>
      </c>
      <c r="K44" t="s">
        <v>334</v>
      </c>
      <c r="L44" t="s">
        <v>44</v>
      </c>
      <c r="M44" t="s">
        <v>45</v>
      </c>
      <c r="N44">
        <v>26</v>
      </c>
      <c r="O44" t="s">
        <v>119</v>
      </c>
      <c r="P44" t="s">
        <v>30</v>
      </c>
      <c r="Q44" s="1">
        <v>44714</v>
      </c>
      <c r="U44" t="s">
        <v>225</v>
      </c>
      <c r="V44">
        <v>0</v>
      </c>
      <c r="W44">
        <v>0</v>
      </c>
    </row>
    <row r="45" spans="1:28" x14ac:dyDescent="0.35">
      <c r="A45" t="s">
        <v>23</v>
      </c>
      <c r="B45" t="s">
        <v>24</v>
      </c>
      <c r="C45" t="s">
        <v>33</v>
      </c>
      <c r="D45" t="s">
        <v>34</v>
      </c>
      <c r="E45" t="s">
        <v>309</v>
      </c>
      <c r="F45" t="s">
        <v>42</v>
      </c>
      <c r="G45" s="20" t="s">
        <v>43</v>
      </c>
      <c r="H45" t="s">
        <v>7</v>
      </c>
      <c r="I45" t="str">
        <f t="shared" si="2"/>
        <v>Tetragonula species</v>
      </c>
      <c r="J45" t="s">
        <v>42</v>
      </c>
      <c r="K45" t="s">
        <v>334</v>
      </c>
      <c r="L45" t="s">
        <v>44</v>
      </c>
      <c r="M45" t="s">
        <v>45</v>
      </c>
      <c r="N45">
        <v>27</v>
      </c>
      <c r="O45" t="s">
        <v>119</v>
      </c>
      <c r="P45" t="s">
        <v>30</v>
      </c>
      <c r="Q45" s="1">
        <v>44714</v>
      </c>
      <c r="U45" t="s">
        <v>225</v>
      </c>
      <c r="V45">
        <v>0</v>
      </c>
      <c r="W45">
        <v>0</v>
      </c>
    </row>
    <row r="46" spans="1:28" x14ac:dyDescent="0.35">
      <c r="A46" t="s">
        <v>23</v>
      </c>
      <c r="B46" t="s">
        <v>24</v>
      </c>
      <c r="C46" t="s">
        <v>33</v>
      </c>
      <c r="D46" t="s">
        <v>34</v>
      </c>
      <c r="E46" t="s">
        <v>309</v>
      </c>
      <c r="F46" t="s">
        <v>42</v>
      </c>
      <c r="G46" s="20" t="s">
        <v>43</v>
      </c>
      <c r="H46" t="s">
        <v>7</v>
      </c>
      <c r="I46" t="str">
        <f t="shared" si="2"/>
        <v>Tetragonula species</v>
      </c>
      <c r="J46" t="s">
        <v>42</v>
      </c>
      <c r="K46" t="s">
        <v>334</v>
      </c>
      <c r="L46" t="s">
        <v>44</v>
      </c>
      <c r="M46" t="s">
        <v>45</v>
      </c>
      <c r="N46">
        <v>28</v>
      </c>
      <c r="O46" t="s">
        <v>119</v>
      </c>
      <c r="P46" t="s">
        <v>30</v>
      </c>
      <c r="Q46" s="1">
        <v>44714</v>
      </c>
      <c r="U46" t="s">
        <v>225</v>
      </c>
      <c r="V46">
        <v>1</v>
      </c>
      <c r="W46">
        <v>0</v>
      </c>
      <c r="X46">
        <v>3</v>
      </c>
      <c r="Y46">
        <v>0</v>
      </c>
      <c r="Z46">
        <f>(X46-Y46)/X46</f>
        <v>1</v>
      </c>
    </row>
    <row r="47" spans="1:28" x14ac:dyDescent="0.35">
      <c r="A47" t="s">
        <v>23</v>
      </c>
      <c r="B47" t="s">
        <v>24</v>
      </c>
      <c r="C47" t="s">
        <v>33</v>
      </c>
      <c r="D47" t="s">
        <v>34</v>
      </c>
      <c r="E47" t="s">
        <v>320</v>
      </c>
      <c r="F47" t="s">
        <v>321</v>
      </c>
      <c r="G47" s="20" t="s">
        <v>46</v>
      </c>
      <c r="H47" t="s">
        <v>7</v>
      </c>
      <c r="I47" t="str">
        <f t="shared" si="2"/>
        <v>Xylocopa species</v>
      </c>
      <c r="J47" t="s">
        <v>255</v>
      </c>
      <c r="K47" t="s">
        <v>331</v>
      </c>
      <c r="L47" t="s">
        <v>47</v>
      </c>
      <c r="M47" t="s">
        <v>47</v>
      </c>
      <c r="N47">
        <v>29</v>
      </c>
      <c r="O47" t="s">
        <v>119</v>
      </c>
      <c r="P47" t="s">
        <v>48</v>
      </c>
      <c r="Q47" s="1">
        <v>44727</v>
      </c>
      <c r="U47" t="s">
        <v>225</v>
      </c>
      <c r="V47">
        <v>1</v>
      </c>
      <c r="W47">
        <v>1</v>
      </c>
      <c r="X47">
        <v>9840</v>
      </c>
      <c r="Y47">
        <v>0</v>
      </c>
      <c r="Z47">
        <f>(X47-Y47)/X47</f>
        <v>1</v>
      </c>
      <c r="AA47">
        <v>1</v>
      </c>
      <c r="AB47">
        <v>7.42</v>
      </c>
    </row>
    <row r="48" spans="1:28" x14ac:dyDescent="0.35">
      <c r="A48" t="s">
        <v>23</v>
      </c>
      <c r="B48" t="s">
        <v>24</v>
      </c>
      <c r="C48" t="s">
        <v>33</v>
      </c>
      <c r="D48" t="s">
        <v>34</v>
      </c>
      <c r="E48" t="s">
        <v>320</v>
      </c>
      <c r="F48" t="s">
        <v>321</v>
      </c>
      <c r="G48" s="20" t="s">
        <v>46</v>
      </c>
      <c r="H48" t="s">
        <v>7</v>
      </c>
      <c r="I48" t="str">
        <f t="shared" si="2"/>
        <v>Xylocopa species</v>
      </c>
      <c r="J48" t="s">
        <v>255</v>
      </c>
      <c r="K48" t="s">
        <v>331</v>
      </c>
      <c r="L48" t="s">
        <v>47</v>
      </c>
      <c r="M48" t="s">
        <v>47</v>
      </c>
      <c r="N48">
        <v>30</v>
      </c>
      <c r="O48" t="s">
        <v>119</v>
      </c>
      <c r="P48" t="s">
        <v>37</v>
      </c>
      <c r="Q48" s="1">
        <v>44742</v>
      </c>
      <c r="U48" t="s">
        <v>225</v>
      </c>
      <c r="V48">
        <v>1</v>
      </c>
      <c r="W48">
        <v>1</v>
      </c>
      <c r="X48">
        <v>80359</v>
      </c>
      <c r="Y48">
        <v>0</v>
      </c>
      <c r="Z48">
        <f>(X48-Y48)/X48</f>
        <v>1</v>
      </c>
      <c r="AA48">
        <v>1</v>
      </c>
      <c r="AB48">
        <v>8.1199999999999992</v>
      </c>
    </row>
    <row r="49" spans="1:35" x14ac:dyDescent="0.35">
      <c r="A49" t="s">
        <v>23</v>
      </c>
      <c r="B49" t="s">
        <v>24</v>
      </c>
      <c r="C49" t="s">
        <v>33</v>
      </c>
      <c r="D49" t="s">
        <v>34</v>
      </c>
      <c r="E49" t="s">
        <v>320</v>
      </c>
      <c r="F49" t="s">
        <v>321</v>
      </c>
      <c r="G49" s="20" t="s">
        <v>46</v>
      </c>
      <c r="H49" t="s">
        <v>7</v>
      </c>
      <c r="I49" t="str">
        <f t="shared" si="2"/>
        <v>Xylocopa species</v>
      </c>
      <c r="J49" t="s">
        <v>255</v>
      </c>
      <c r="K49" t="s">
        <v>331</v>
      </c>
      <c r="L49" t="s">
        <v>47</v>
      </c>
      <c r="M49" t="s">
        <v>47</v>
      </c>
      <c r="N49">
        <v>31</v>
      </c>
      <c r="O49" t="s">
        <v>119</v>
      </c>
      <c r="P49" t="s">
        <v>48</v>
      </c>
      <c r="Q49" s="1">
        <v>44727</v>
      </c>
      <c r="U49" t="s">
        <v>225</v>
      </c>
      <c r="V49">
        <v>1</v>
      </c>
      <c r="W49">
        <v>1</v>
      </c>
      <c r="X49">
        <v>11092</v>
      </c>
      <c r="Y49">
        <v>0</v>
      </c>
      <c r="Z49">
        <f>(X49-Y49)/X49</f>
        <v>1</v>
      </c>
      <c r="AA49">
        <v>1</v>
      </c>
      <c r="AB49">
        <v>8.2100000000000009</v>
      </c>
    </row>
    <row r="50" spans="1:35" x14ac:dyDescent="0.35">
      <c r="A50" t="s">
        <v>23</v>
      </c>
      <c r="B50" t="s">
        <v>24</v>
      </c>
      <c r="C50" t="s">
        <v>33</v>
      </c>
      <c r="D50" t="s">
        <v>34</v>
      </c>
      <c r="E50" t="s">
        <v>320</v>
      </c>
      <c r="F50" t="s">
        <v>321</v>
      </c>
      <c r="G50" s="20" t="s">
        <v>46</v>
      </c>
      <c r="H50" t="s">
        <v>7</v>
      </c>
      <c r="I50" t="str">
        <f t="shared" si="2"/>
        <v>Xylocopa species</v>
      </c>
      <c r="J50" t="s">
        <v>255</v>
      </c>
      <c r="K50" t="s">
        <v>331</v>
      </c>
      <c r="L50" t="s">
        <v>47</v>
      </c>
      <c r="M50" t="s">
        <v>47</v>
      </c>
      <c r="N50">
        <v>32</v>
      </c>
      <c r="O50" t="s">
        <v>119</v>
      </c>
      <c r="P50" t="s">
        <v>48</v>
      </c>
      <c r="Q50" s="1">
        <v>44727</v>
      </c>
      <c r="U50" t="s">
        <v>225</v>
      </c>
      <c r="V50">
        <v>1</v>
      </c>
      <c r="W50">
        <v>1</v>
      </c>
      <c r="X50">
        <v>3822</v>
      </c>
      <c r="Y50">
        <v>0</v>
      </c>
      <c r="Z50">
        <f>(X50-Y50)/X50</f>
        <v>1</v>
      </c>
      <c r="AA50">
        <v>1</v>
      </c>
      <c r="AB50">
        <v>8.6199999999999992</v>
      </c>
    </row>
    <row r="51" spans="1:35" x14ac:dyDescent="0.35">
      <c r="A51" t="s">
        <v>68</v>
      </c>
      <c r="B51" t="s">
        <v>69</v>
      </c>
      <c r="C51" t="s">
        <v>33</v>
      </c>
      <c r="D51" t="s">
        <v>34</v>
      </c>
      <c r="E51" t="s">
        <v>309</v>
      </c>
      <c r="F51" t="s">
        <v>310</v>
      </c>
      <c r="G51" s="20" t="s">
        <v>38</v>
      </c>
      <c r="H51" s="20" t="s">
        <v>39</v>
      </c>
      <c r="I51" t="s">
        <v>70</v>
      </c>
      <c r="J51" t="s">
        <v>70</v>
      </c>
      <c r="K51" t="s">
        <v>332</v>
      </c>
      <c r="L51" t="s">
        <v>40</v>
      </c>
      <c r="M51" t="s">
        <v>40</v>
      </c>
      <c r="N51">
        <v>50</v>
      </c>
      <c r="O51" t="s">
        <v>119</v>
      </c>
      <c r="P51" t="s">
        <v>41</v>
      </c>
      <c r="Q51" t="s">
        <v>71</v>
      </c>
      <c r="R51">
        <v>1</v>
      </c>
      <c r="S51" t="s">
        <v>98</v>
      </c>
      <c r="U51" t="s">
        <v>225</v>
      </c>
      <c r="AD51">
        <v>1</v>
      </c>
      <c r="AF51">
        <v>3</v>
      </c>
      <c r="AI51">
        <v>1</v>
      </c>
    </row>
    <row r="52" spans="1:35" x14ac:dyDescent="0.35">
      <c r="A52" t="s">
        <v>68</v>
      </c>
      <c r="B52" t="s">
        <v>69</v>
      </c>
      <c r="C52" t="s">
        <v>33</v>
      </c>
      <c r="D52" t="s">
        <v>65</v>
      </c>
      <c r="E52" t="s">
        <v>62</v>
      </c>
      <c r="F52" t="s">
        <v>316</v>
      </c>
      <c r="G52" t="s">
        <v>66</v>
      </c>
      <c r="H52" t="s">
        <v>7</v>
      </c>
      <c r="I52" t="str">
        <f>G52&amp;" "&amp;H52</f>
        <v>Homalictus species</v>
      </c>
      <c r="J52" t="s">
        <v>65</v>
      </c>
      <c r="K52" t="s">
        <v>333</v>
      </c>
      <c r="L52" t="s">
        <v>196</v>
      </c>
      <c r="M52" t="s">
        <v>67</v>
      </c>
      <c r="N52">
        <v>120</v>
      </c>
      <c r="O52" t="s">
        <v>119</v>
      </c>
      <c r="P52" t="s">
        <v>48</v>
      </c>
      <c r="Q52" t="s">
        <v>76</v>
      </c>
      <c r="U52" t="s">
        <v>225</v>
      </c>
      <c r="AD52">
        <v>1</v>
      </c>
      <c r="AF52">
        <v>3</v>
      </c>
      <c r="AI52">
        <v>2</v>
      </c>
    </row>
    <row r="53" spans="1:35" x14ac:dyDescent="0.35">
      <c r="A53" t="s">
        <v>68</v>
      </c>
      <c r="B53" t="s">
        <v>69</v>
      </c>
      <c r="C53" t="s">
        <v>33</v>
      </c>
      <c r="D53" t="s">
        <v>65</v>
      </c>
      <c r="E53" t="s">
        <v>62</v>
      </c>
      <c r="F53" t="s">
        <v>316</v>
      </c>
      <c r="G53" t="s">
        <v>66</v>
      </c>
      <c r="H53" t="s">
        <v>7</v>
      </c>
      <c r="I53" t="str">
        <f>G53&amp;" "&amp;H53</f>
        <v>Homalictus species</v>
      </c>
      <c r="J53" t="s">
        <v>65</v>
      </c>
      <c r="K53" t="s">
        <v>333</v>
      </c>
      <c r="L53" t="s">
        <v>196</v>
      </c>
      <c r="M53" t="s">
        <v>67</v>
      </c>
      <c r="N53">
        <v>121</v>
      </c>
      <c r="O53" t="s">
        <v>119</v>
      </c>
      <c r="P53" t="s">
        <v>48</v>
      </c>
      <c r="Q53" t="s">
        <v>76</v>
      </c>
      <c r="U53" t="s">
        <v>225</v>
      </c>
      <c r="AD53">
        <v>1</v>
      </c>
      <c r="AF53">
        <v>2</v>
      </c>
      <c r="AI53">
        <v>3</v>
      </c>
    </row>
    <row r="54" spans="1:35" x14ac:dyDescent="0.35">
      <c r="A54" t="s">
        <v>68</v>
      </c>
      <c r="B54" t="s">
        <v>69</v>
      </c>
      <c r="C54" t="s">
        <v>33</v>
      </c>
      <c r="D54" t="s">
        <v>65</v>
      </c>
      <c r="E54" t="s">
        <v>62</v>
      </c>
      <c r="F54" t="s">
        <v>316</v>
      </c>
      <c r="G54" t="s">
        <v>66</v>
      </c>
      <c r="H54" t="s">
        <v>7</v>
      </c>
      <c r="I54" t="str">
        <f>G54&amp;" "&amp;H54</f>
        <v>Homalictus species</v>
      </c>
      <c r="J54" t="s">
        <v>65</v>
      </c>
      <c r="K54" t="s">
        <v>333</v>
      </c>
      <c r="L54" t="s">
        <v>196</v>
      </c>
      <c r="M54" t="s">
        <v>67</v>
      </c>
      <c r="N54">
        <v>122</v>
      </c>
      <c r="O54" t="s">
        <v>119</v>
      </c>
      <c r="P54" t="s">
        <v>56</v>
      </c>
      <c r="Q54" t="s">
        <v>84</v>
      </c>
      <c r="U54" t="s">
        <v>225</v>
      </c>
      <c r="AD54">
        <v>1</v>
      </c>
      <c r="AF54">
        <v>2</v>
      </c>
      <c r="AI54">
        <v>4</v>
      </c>
    </row>
    <row r="55" spans="1:35" x14ac:dyDescent="0.35">
      <c r="A55" t="s">
        <v>68</v>
      </c>
      <c r="B55" t="s">
        <v>69</v>
      </c>
      <c r="C55" t="s">
        <v>33</v>
      </c>
      <c r="D55" t="s">
        <v>34</v>
      </c>
      <c r="E55" t="s">
        <v>309</v>
      </c>
      <c r="F55" t="s">
        <v>42</v>
      </c>
      <c r="I55" t="s">
        <v>42</v>
      </c>
      <c r="J55" t="s">
        <v>42</v>
      </c>
      <c r="K55" t="s">
        <v>334</v>
      </c>
      <c r="L55" t="s">
        <v>44</v>
      </c>
      <c r="M55" t="s">
        <v>77</v>
      </c>
      <c r="N55">
        <v>55</v>
      </c>
      <c r="O55" t="s">
        <v>119</v>
      </c>
      <c r="P55" t="s">
        <v>41</v>
      </c>
      <c r="Q55" t="s">
        <v>75</v>
      </c>
      <c r="S55" t="s">
        <v>107</v>
      </c>
      <c r="T55" t="s">
        <v>107</v>
      </c>
      <c r="U55" t="s">
        <v>271</v>
      </c>
      <c r="AD55">
        <v>1</v>
      </c>
      <c r="AF55" s="3">
        <v>2</v>
      </c>
      <c r="AI55">
        <v>68</v>
      </c>
    </row>
    <row r="56" spans="1:35" x14ac:dyDescent="0.35">
      <c r="A56" t="s">
        <v>68</v>
      </c>
      <c r="B56" t="s">
        <v>69</v>
      </c>
      <c r="C56" t="s">
        <v>33</v>
      </c>
      <c r="D56" t="s">
        <v>34</v>
      </c>
      <c r="E56" t="s">
        <v>309</v>
      </c>
      <c r="F56" t="s">
        <v>42</v>
      </c>
      <c r="I56" t="s">
        <v>42</v>
      </c>
      <c r="J56" t="s">
        <v>42</v>
      </c>
      <c r="K56" t="s">
        <v>334</v>
      </c>
      <c r="L56" t="s">
        <v>44</v>
      </c>
      <c r="M56" t="s">
        <v>44</v>
      </c>
      <c r="N56">
        <v>56</v>
      </c>
      <c r="O56" t="s">
        <v>119</v>
      </c>
      <c r="P56" t="s">
        <v>48</v>
      </c>
      <c r="Q56" t="s">
        <v>76</v>
      </c>
      <c r="R56">
        <v>1</v>
      </c>
      <c r="S56" t="s">
        <v>107</v>
      </c>
      <c r="T56" t="s">
        <v>107</v>
      </c>
      <c r="U56" t="s">
        <v>271</v>
      </c>
      <c r="AD56">
        <v>1</v>
      </c>
      <c r="AF56" s="3">
        <v>2</v>
      </c>
      <c r="AI56">
        <v>66</v>
      </c>
    </row>
    <row r="57" spans="1:35" x14ac:dyDescent="0.35">
      <c r="A57" t="s">
        <v>68</v>
      </c>
      <c r="B57" t="s">
        <v>69</v>
      </c>
      <c r="C57" t="s">
        <v>33</v>
      </c>
      <c r="D57" t="s">
        <v>34</v>
      </c>
      <c r="E57" t="s">
        <v>309</v>
      </c>
      <c r="F57" t="s">
        <v>42</v>
      </c>
      <c r="I57" t="s">
        <v>42</v>
      </c>
      <c r="J57" t="s">
        <v>42</v>
      </c>
      <c r="K57" t="s">
        <v>334</v>
      </c>
      <c r="L57" t="s">
        <v>44</v>
      </c>
      <c r="M57" t="s">
        <v>44</v>
      </c>
      <c r="N57">
        <v>57</v>
      </c>
      <c r="O57" t="s">
        <v>119</v>
      </c>
      <c r="P57" t="s">
        <v>48</v>
      </c>
      <c r="Q57" t="s">
        <v>76</v>
      </c>
      <c r="S57" t="s">
        <v>107</v>
      </c>
      <c r="T57" t="s">
        <v>107</v>
      </c>
      <c r="U57" t="s">
        <v>271</v>
      </c>
      <c r="AD57">
        <v>1</v>
      </c>
      <c r="AF57" s="3">
        <v>2</v>
      </c>
      <c r="AI57">
        <v>67</v>
      </c>
    </row>
    <row r="58" spans="1:35" x14ac:dyDescent="0.35">
      <c r="A58" t="s">
        <v>68</v>
      </c>
      <c r="B58" t="s">
        <v>69</v>
      </c>
      <c r="C58" t="s">
        <v>33</v>
      </c>
      <c r="D58" t="s">
        <v>34</v>
      </c>
      <c r="E58" t="s">
        <v>309</v>
      </c>
      <c r="F58" t="s">
        <v>42</v>
      </c>
      <c r="I58" t="s">
        <v>42</v>
      </c>
      <c r="J58" t="s">
        <v>42</v>
      </c>
      <c r="K58" t="s">
        <v>334</v>
      </c>
      <c r="L58" t="s">
        <v>44</v>
      </c>
      <c r="M58" t="s">
        <v>44</v>
      </c>
      <c r="N58">
        <v>58</v>
      </c>
      <c r="O58" t="s">
        <v>119</v>
      </c>
      <c r="P58" t="s">
        <v>30</v>
      </c>
      <c r="Q58" t="s">
        <v>79</v>
      </c>
      <c r="R58">
        <v>1</v>
      </c>
      <c r="S58" t="s">
        <v>107</v>
      </c>
      <c r="T58" t="s">
        <v>107</v>
      </c>
      <c r="U58" t="s">
        <v>271</v>
      </c>
      <c r="AD58">
        <v>1</v>
      </c>
      <c r="AF58">
        <v>2</v>
      </c>
      <c r="AI58">
        <v>5</v>
      </c>
    </row>
    <row r="59" spans="1:35" x14ac:dyDescent="0.35">
      <c r="A59" t="s">
        <v>68</v>
      </c>
      <c r="B59" t="s">
        <v>69</v>
      </c>
      <c r="C59" t="s">
        <v>33</v>
      </c>
      <c r="D59" t="s">
        <v>34</v>
      </c>
      <c r="E59" t="s">
        <v>309</v>
      </c>
      <c r="F59" t="s">
        <v>42</v>
      </c>
      <c r="I59" t="s">
        <v>42</v>
      </c>
      <c r="J59" t="s">
        <v>42</v>
      </c>
      <c r="K59" t="s">
        <v>334</v>
      </c>
      <c r="L59" t="s">
        <v>44</v>
      </c>
      <c r="M59" t="s">
        <v>44</v>
      </c>
      <c r="N59">
        <v>59</v>
      </c>
      <c r="O59" t="s">
        <v>119</v>
      </c>
      <c r="P59" t="s">
        <v>30</v>
      </c>
      <c r="Q59" t="s">
        <v>79</v>
      </c>
      <c r="R59">
        <v>0</v>
      </c>
      <c r="S59" t="s">
        <v>107</v>
      </c>
      <c r="T59" t="s">
        <v>107</v>
      </c>
      <c r="U59" t="s">
        <v>271</v>
      </c>
      <c r="AD59">
        <v>1</v>
      </c>
      <c r="AF59">
        <v>2</v>
      </c>
      <c r="AI59">
        <v>6</v>
      </c>
    </row>
    <row r="60" spans="1:35" x14ac:dyDescent="0.35">
      <c r="A60" t="s">
        <v>68</v>
      </c>
      <c r="B60" t="s">
        <v>69</v>
      </c>
      <c r="C60" t="s">
        <v>33</v>
      </c>
      <c r="D60" t="s">
        <v>34</v>
      </c>
      <c r="E60" t="s">
        <v>309</v>
      </c>
      <c r="F60" t="s">
        <v>42</v>
      </c>
      <c r="I60" t="s">
        <v>42</v>
      </c>
      <c r="J60" t="s">
        <v>42</v>
      </c>
      <c r="K60" t="s">
        <v>334</v>
      </c>
      <c r="L60" t="s">
        <v>44</v>
      </c>
      <c r="M60" t="s">
        <v>77</v>
      </c>
      <c r="N60">
        <v>60</v>
      </c>
      <c r="O60" t="s">
        <v>119</v>
      </c>
      <c r="P60" t="s">
        <v>30</v>
      </c>
      <c r="Q60" t="s">
        <v>79</v>
      </c>
      <c r="R60">
        <v>0</v>
      </c>
      <c r="S60" t="s">
        <v>107</v>
      </c>
      <c r="T60" t="s">
        <v>107</v>
      </c>
      <c r="U60" t="s">
        <v>271</v>
      </c>
      <c r="AD60">
        <v>1</v>
      </c>
      <c r="AF60">
        <v>2</v>
      </c>
      <c r="AI60">
        <v>7</v>
      </c>
    </row>
    <row r="61" spans="1:35" x14ac:dyDescent="0.35">
      <c r="A61" t="s">
        <v>68</v>
      </c>
      <c r="B61" t="s">
        <v>69</v>
      </c>
      <c r="C61" t="s">
        <v>33</v>
      </c>
      <c r="D61" t="s">
        <v>34</v>
      </c>
      <c r="E61" t="s">
        <v>309</v>
      </c>
      <c r="F61" t="s">
        <v>42</v>
      </c>
      <c r="I61" t="s">
        <v>42</v>
      </c>
      <c r="J61" t="s">
        <v>42</v>
      </c>
      <c r="K61" t="s">
        <v>334</v>
      </c>
      <c r="L61" t="s">
        <v>44</v>
      </c>
      <c r="M61" t="s">
        <v>44</v>
      </c>
      <c r="N61">
        <v>61</v>
      </c>
      <c r="O61" t="s">
        <v>119</v>
      </c>
      <c r="P61" t="s">
        <v>30</v>
      </c>
      <c r="Q61" t="s">
        <v>79</v>
      </c>
      <c r="R61">
        <v>0</v>
      </c>
      <c r="S61" t="s">
        <v>107</v>
      </c>
      <c r="T61" t="s">
        <v>107</v>
      </c>
      <c r="U61" t="s">
        <v>271</v>
      </c>
      <c r="AD61">
        <v>1</v>
      </c>
      <c r="AF61">
        <v>1</v>
      </c>
      <c r="AI61">
        <v>8</v>
      </c>
    </row>
    <row r="62" spans="1:35" x14ac:dyDescent="0.35">
      <c r="A62" t="s">
        <v>68</v>
      </c>
      <c r="B62" t="s">
        <v>69</v>
      </c>
      <c r="C62" t="s">
        <v>33</v>
      </c>
      <c r="D62" t="s">
        <v>34</v>
      </c>
      <c r="E62" t="s">
        <v>309</v>
      </c>
      <c r="F62" t="s">
        <v>42</v>
      </c>
      <c r="I62" t="s">
        <v>42</v>
      </c>
      <c r="J62" t="s">
        <v>42</v>
      </c>
      <c r="K62" t="s">
        <v>334</v>
      </c>
      <c r="L62" t="s">
        <v>44</v>
      </c>
      <c r="M62" t="s">
        <v>44</v>
      </c>
      <c r="N62">
        <v>62</v>
      </c>
      <c r="O62" t="s">
        <v>119</v>
      </c>
      <c r="P62" t="s">
        <v>30</v>
      </c>
      <c r="Q62" t="s">
        <v>79</v>
      </c>
      <c r="R62">
        <v>0</v>
      </c>
      <c r="S62" t="s">
        <v>107</v>
      </c>
      <c r="T62" t="s">
        <v>107</v>
      </c>
      <c r="U62" t="s">
        <v>271</v>
      </c>
      <c r="AD62">
        <v>1</v>
      </c>
      <c r="AF62">
        <v>4</v>
      </c>
      <c r="AI62">
        <v>9</v>
      </c>
    </row>
    <row r="63" spans="1:35" x14ac:dyDescent="0.35">
      <c r="A63" t="s">
        <v>68</v>
      </c>
      <c r="B63" t="s">
        <v>69</v>
      </c>
      <c r="C63" t="s">
        <v>33</v>
      </c>
      <c r="D63" t="s">
        <v>34</v>
      </c>
      <c r="E63" t="s">
        <v>309</v>
      </c>
      <c r="F63" t="s">
        <v>42</v>
      </c>
      <c r="I63" t="s">
        <v>42</v>
      </c>
      <c r="J63" t="s">
        <v>42</v>
      </c>
      <c r="K63" t="s">
        <v>334</v>
      </c>
      <c r="L63" t="s">
        <v>44</v>
      </c>
      <c r="M63" t="s">
        <v>44</v>
      </c>
      <c r="N63">
        <v>63</v>
      </c>
      <c r="O63" t="s">
        <v>119</v>
      </c>
      <c r="P63" t="s">
        <v>30</v>
      </c>
      <c r="Q63" t="s">
        <v>79</v>
      </c>
      <c r="R63">
        <v>0</v>
      </c>
      <c r="S63" t="s">
        <v>107</v>
      </c>
      <c r="T63" t="s">
        <v>107</v>
      </c>
      <c r="U63" t="s">
        <v>271</v>
      </c>
      <c r="AD63">
        <v>1</v>
      </c>
      <c r="AF63" s="9">
        <v>1</v>
      </c>
      <c r="AI63">
        <v>10</v>
      </c>
    </row>
    <row r="64" spans="1:35" x14ac:dyDescent="0.35">
      <c r="A64" t="s">
        <v>68</v>
      </c>
      <c r="B64" t="s">
        <v>69</v>
      </c>
      <c r="C64" t="s">
        <v>33</v>
      </c>
      <c r="D64" t="s">
        <v>34</v>
      </c>
      <c r="E64" t="s">
        <v>309</v>
      </c>
      <c r="F64" t="s">
        <v>42</v>
      </c>
      <c r="I64" t="s">
        <v>42</v>
      </c>
      <c r="J64" t="s">
        <v>42</v>
      </c>
      <c r="K64" t="s">
        <v>334</v>
      </c>
      <c r="L64" t="s">
        <v>44</v>
      </c>
      <c r="M64" t="s">
        <v>44</v>
      </c>
      <c r="N64">
        <v>64</v>
      </c>
      <c r="O64" t="s">
        <v>119</v>
      </c>
      <c r="P64" t="s">
        <v>30</v>
      </c>
      <c r="Q64" t="s">
        <v>79</v>
      </c>
      <c r="R64">
        <v>0</v>
      </c>
      <c r="S64" t="s">
        <v>107</v>
      </c>
      <c r="T64" t="s">
        <v>107</v>
      </c>
      <c r="U64" t="s">
        <v>271</v>
      </c>
      <c r="AD64">
        <v>1</v>
      </c>
      <c r="AF64" s="9">
        <v>3</v>
      </c>
      <c r="AI64">
        <v>11</v>
      </c>
    </row>
    <row r="65" spans="1:35" x14ac:dyDescent="0.35">
      <c r="A65" t="s">
        <v>68</v>
      </c>
      <c r="B65" t="s">
        <v>69</v>
      </c>
      <c r="C65" t="s">
        <v>33</v>
      </c>
      <c r="D65" t="s">
        <v>34</v>
      </c>
      <c r="E65" t="s">
        <v>309</v>
      </c>
      <c r="F65" t="s">
        <v>42</v>
      </c>
      <c r="I65" t="s">
        <v>42</v>
      </c>
      <c r="J65" t="s">
        <v>42</v>
      </c>
      <c r="K65" t="s">
        <v>334</v>
      </c>
      <c r="L65" t="s">
        <v>44</v>
      </c>
      <c r="M65" t="s">
        <v>77</v>
      </c>
      <c r="N65">
        <v>65</v>
      </c>
      <c r="O65" t="s">
        <v>119</v>
      </c>
      <c r="P65" t="s">
        <v>30</v>
      </c>
      <c r="Q65" t="s">
        <v>79</v>
      </c>
      <c r="R65">
        <v>1</v>
      </c>
      <c r="S65" t="s">
        <v>107</v>
      </c>
      <c r="T65" t="s">
        <v>107</v>
      </c>
      <c r="U65" t="s">
        <v>271</v>
      </c>
      <c r="AD65">
        <v>1</v>
      </c>
      <c r="AF65" s="9">
        <v>3</v>
      </c>
      <c r="AI65">
        <v>12</v>
      </c>
    </row>
    <row r="66" spans="1:35" x14ac:dyDescent="0.35">
      <c r="A66" t="s">
        <v>68</v>
      </c>
      <c r="B66" t="s">
        <v>69</v>
      </c>
      <c r="C66" t="s">
        <v>33</v>
      </c>
      <c r="D66" t="s">
        <v>34</v>
      </c>
      <c r="E66" t="s">
        <v>309</v>
      </c>
      <c r="F66" t="s">
        <v>42</v>
      </c>
      <c r="I66" t="s">
        <v>42</v>
      </c>
      <c r="J66" t="s">
        <v>42</v>
      </c>
      <c r="K66" t="s">
        <v>334</v>
      </c>
      <c r="L66" t="s">
        <v>44</v>
      </c>
      <c r="M66" t="s">
        <v>77</v>
      </c>
      <c r="N66">
        <v>66</v>
      </c>
      <c r="O66" t="s">
        <v>119</v>
      </c>
      <c r="P66" t="s">
        <v>30</v>
      </c>
      <c r="Q66" t="s">
        <v>79</v>
      </c>
      <c r="R66">
        <v>0</v>
      </c>
      <c r="S66" t="s">
        <v>107</v>
      </c>
      <c r="T66" t="s">
        <v>107</v>
      </c>
      <c r="U66" t="s">
        <v>271</v>
      </c>
      <c r="AD66">
        <v>1</v>
      </c>
      <c r="AF66" s="9">
        <v>1</v>
      </c>
      <c r="AI66">
        <v>13</v>
      </c>
    </row>
    <row r="67" spans="1:35" x14ac:dyDescent="0.35">
      <c r="A67" t="s">
        <v>68</v>
      </c>
      <c r="B67" t="s">
        <v>69</v>
      </c>
      <c r="C67" t="s">
        <v>33</v>
      </c>
      <c r="D67" t="s">
        <v>34</v>
      </c>
      <c r="E67" t="s">
        <v>309</v>
      </c>
      <c r="F67" t="s">
        <v>42</v>
      </c>
      <c r="I67" t="s">
        <v>42</v>
      </c>
      <c r="J67" t="s">
        <v>42</v>
      </c>
      <c r="K67" t="s">
        <v>334</v>
      </c>
      <c r="L67" t="s">
        <v>44</v>
      </c>
      <c r="M67" t="s">
        <v>77</v>
      </c>
      <c r="N67">
        <v>67</v>
      </c>
      <c r="O67" t="s">
        <v>119</v>
      </c>
      <c r="P67" t="s">
        <v>30</v>
      </c>
      <c r="Q67" t="s">
        <v>79</v>
      </c>
      <c r="R67">
        <v>0</v>
      </c>
      <c r="S67" t="s">
        <v>107</v>
      </c>
      <c r="T67" t="s">
        <v>107</v>
      </c>
      <c r="U67" t="s">
        <v>271</v>
      </c>
      <c r="AD67">
        <v>1</v>
      </c>
      <c r="AF67" s="9">
        <v>1</v>
      </c>
      <c r="AI67">
        <v>14</v>
      </c>
    </row>
    <row r="68" spans="1:35" x14ac:dyDescent="0.35">
      <c r="A68" t="s">
        <v>68</v>
      </c>
      <c r="B68" t="s">
        <v>69</v>
      </c>
      <c r="C68" t="s">
        <v>33</v>
      </c>
      <c r="D68" t="s">
        <v>34</v>
      </c>
      <c r="E68" t="s">
        <v>309</v>
      </c>
      <c r="F68" t="s">
        <v>42</v>
      </c>
      <c r="I68" t="s">
        <v>42</v>
      </c>
      <c r="J68" t="s">
        <v>42</v>
      </c>
      <c r="K68" t="s">
        <v>334</v>
      </c>
      <c r="L68" t="s">
        <v>44</v>
      </c>
      <c r="M68" t="s">
        <v>77</v>
      </c>
      <c r="N68">
        <v>68</v>
      </c>
      <c r="O68" t="s">
        <v>119</v>
      </c>
      <c r="P68" t="s">
        <v>30</v>
      </c>
      <c r="Q68" t="s">
        <v>79</v>
      </c>
      <c r="R68">
        <v>0</v>
      </c>
      <c r="S68" t="s">
        <v>107</v>
      </c>
      <c r="T68" t="s">
        <v>107</v>
      </c>
      <c r="U68" t="s">
        <v>271</v>
      </c>
      <c r="AD68">
        <v>1</v>
      </c>
      <c r="AF68" s="9">
        <v>1</v>
      </c>
      <c r="AI68">
        <v>15</v>
      </c>
    </row>
    <row r="69" spans="1:35" x14ac:dyDescent="0.35">
      <c r="A69" t="s">
        <v>68</v>
      </c>
      <c r="B69" t="s">
        <v>69</v>
      </c>
      <c r="C69" t="s">
        <v>33</v>
      </c>
      <c r="D69" t="s">
        <v>34</v>
      </c>
      <c r="E69" t="s">
        <v>309</v>
      </c>
      <c r="F69" t="s">
        <v>42</v>
      </c>
      <c r="I69" t="s">
        <v>42</v>
      </c>
      <c r="J69" t="s">
        <v>42</v>
      </c>
      <c r="K69" t="s">
        <v>334</v>
      </c>
      <c r="L69" t="s">
        <v>44</v>
      </c>
      <c r="M69" t="s">
        <v>77</v>
      </c>
      <c r="N69">
        <v>69</v>
      </c>
      <c r="O69" t="s">
        <v>119</v>
      </c>
      <c r="P69" t="s">
        <v>30</v>
      </c>
      <c r="Q69" t="s">
        <v>79</v>
      </c>
      <c r="R69">
        <v>0</v>
      </c>
      <c r="S69" t="s">
        <v>107</v>
      </c>
      <c r="T69" t="s">
        <v>107</v>
      </c>
      <c r="U69" t="s">
        <v>271</v>
      </c>
      <c r="AD69">
        <v>1</v>
      </c>
      <c r="AF69" s="9">
        <v>3</v>
      </c>
      <c r="AI69">
        <v>16</v>
      </c>
    </row>
    <row r="70" spans="1:35" x14ac:dyDescent="0.35">
      <c r="A70" t="s">
        <v>68</v>
      </c>
      <c r="B70" t="s">
        <v>69</v>
      </c>
      <c r="C70" t="s">
        <v>33</v>
      </c>
      <c r="D70" t="s">
        <v>34</v>
      </c>
      <c r="E70" t="s">
        <v>309</v>
      </c>
      <c r="F70" t="s">
        <v>42</v>
      </c>
      <c r="I70" t="s">
        <v>42</v>
      </c>
      <c r="J70" t="s">
        <v>42</v>
      </c>
      <c r="K70" t="s">
        <v>334</v>
      </c>
      <c r="L70" t="s">
        <v>44</v>
      </c>
      <c r="M70" t="s">
        <v>44</v>
      </c>
      <c r="N70">
        <v>70</v>
      </c>
      <c r="O70" t="s">
        <v>119</v>
      </c>
      <c r="P70" t="s">
        <v>30</v>
      </c>
      <c r="Q70" t="s">
        <v>79</v>
      </c>
      <c r="R70">
        <v>1</v>
      </c>
      <c r="S70" t="s">
        <v>107</v>
      </c>
      <c r="T70" t="s">
        <v>107</v>
      </c>
      <c r="U70" t="s">
        <v>271</v>
      </c>
      <c r="AD70">
        <v>1</v>
      </c>
      <c r="AF70" s="9">
        <v>3</v>
      </c>
      <c r="AI70">
        <v>17</v>
      </c>
    </row>
    <row r="71" spans="1:35" x14ac:dyDescent="0.35">
      <c r="A71" t="s">
        <v>68</v>
      </c>
      <c r="B71" t="s">
        <v>69</v>
      </c>
      <c r="C71" t="s">
        <v>33</v>
      </c>
      <c r="D71" t="s">
        <v>34</v>
      </c>
      <c r="E71" t="s">
        <v>309</v>
      </c>
      <c r="F71" t="s">
        <v>42</v>
      </c>
      <c r="I71" t="s">
        <v>42</v>
      </c>
      <c r="J71" t="s">
        <v>42</v>
      </c>
      <c r="K71" t="s">
        <v>334</v>
      </c>
      <c r="L71" t="s">
        <v>44</v>
      </c>
      <c r="M71" t="s">
        <v>77</v>
      </c>
      <c r="N71">
        <v>71</v>
      </c>
      <c r="O71" t="s">
        <v>119</v>
      </c>
      <c r="P71" t="s">
        <v>30</v>
      </c>
      <c r="Q71" t="s">
        <v>79</v>
      </c>
      <c r="R71">
        <v>1</v>
      </c>
      <c r="S71" t="s">
        <v>107</v>
      </c>
      <c r="T71" t="s">
        <v>107</v>
      </c>
      <c r="U71" t="s">
        <v>271</v>
      </c>
      <c r="AD71">
        <v>1</v>
      </c>
      <c r="AF71" s="9">
        <v>3</v>
      </c>
      <c r="AI71">
        <v>18</v>
      </c>
    </row>
    <row r="72" spans="1:35" x14ac:dyDescent="0.35">
      <c r="A72" t="s">
        <v>68</v>
      </c>
      <c r="B72" t="s">
        <v>69</v>
      </c>
      <c r="C72" t="s">
        <v>33</v>
      </c>
      <c r="D72" t="s">
        <v>34</v>
      </c>
      <c r="E72" t="s">
        <v>309</v>
      </c>
      <c r="F72" t="s">
        <v>42</v>
      </c>
      <c r="I72" t="s">
        <v>42</v>
      </c>
      <c r="J72" t="s">
        <v>42</v>
      </c>
      <c r="K72" t="s">
        <v>334</v>
      </c>
      <c r="L72" t="s">
        <v>44</v>
      </c>
      <c r="M72" t="s">
        <v>77</v>
      </c>
      <c r="N72">
        <v>72</v>
      </c>
      <c r="O72" t="s">
        <v>119</v>
      </c>
      <c r="P72" t="s">
        <v>30</v>
      </c>
      <c r="Q72" t="s">
        <v>79</v>
      </c>
      <c r="R72">
        <v>0</v>
      </c>
      <c r="S72" t="s">
        <v>107</v>
      </c>
      <c r="T72" t="s">
        <v>107</v>
      </c>
      <c r="U72" t="s">
        <v>271</v>
      </c>
      <c r="AD72">
        <v>1</v>
      </c>
      <c r="AF72" s="9">
        <v>3</v>
      </c>
      <c r="AI72">
        <v>19</v>
      </c>
    </row>
    <row r="73" spans="1:35" x14ac:dyDescent="0.35">
      <c r="A73" t="s">
        <v>68</v>
      </c>
      <c r="B73" t="s">
        <v>69</v>
      </c>
      <c r="C73" t="s">
        <v>33</v>
      </c>
      <c r="D73" t="s">
        <v>34</v>
      </c>
      <c r="E73" t="s">
        <v>309</v>
      </c>
      <c r="F73" t="s">
        <v>42</v>
      </c>
      <c r="I73" t="s">
        <v>42</v>
      </c>
      <c r="J73" t="s">
        <v>42</v>
      </c>
      <c r="K73" t="s">
        <v>334</v>
      </c>
      <c r="L73" t="s">
        <v>44</v>
      </c>
      <c r="M73" t="s">
        <v>77</v>
      </c>
      <c r="N73">
        <v>73</v>
      </c>
      <c r="O73" t="s">
        <v>119</v>
      </c>
      <c r="P73" t="s">
        <v>30</v>
      </c>
      <c r="Q73" t="s">
        <v>79</v>
      </c>
      <c r="R73">
        <v>1</v>
      </c>
      <c r="S73" t="s">
        <v>107</v>
      </c>
      <c r="T73" t="s">
        <v>107</v>
      </c>
      <c r="U73" t="s">
        <v>271</v>
      </c>
      <c r="AD73">
        <v>1</v>
      </c>
      <c r="AF73" s="9">
        <v>3</v>
      </c>
      <c r="AI73">
        <v>20</v>
      </c>
    </row>
    <row r="74" spans="1:35" x14ac:dyDescent="0.35">
      <c r="A74" t="s">
        <v>68</v>
      </c>
      <c r="B74" t="s">
        <v>69</v>
      </c>
      <c r="C74" t="s">
        <v>33</v>
      </c>
      <c r="D74" t="s">
        <v>34</v>
      </c>
      <c r="E74" t="s">
        <v>309</v>
      </c>
      <c r="F74" t="s">
        <v>42</v>
      </c>
      <c r="I74" t="s">
        <v>42</v>
      </c>
      <c r="J74" t="s">
        <v>42</v>
      </c>
      <c r="K74" t="s">
        <v>334</v>
      </c>
      <c r="L74" t="s">
        <v>44</v>
      </c>
      <c r="M74" t="s">
        <v>44</v>
      </c>
      <c r="N74">
        <v>74</v>
      </c>
      <c r="O74" t="s">
        <v>119</v>
      </c>
      <c r="P74" t="s">
        <v>30</v>
      </c>
      <c r="Q74" t="s">
        <v>79</v>
      </c>
      <c r="U74" t="s">
        <v>225</v>
      </c>
      <c r="AD74">
        <v>1</v>
      </c>
      <c r="AF74" s="9">
        <v>3</v>
      </c>
      <c r="AI74">
        <v>21</v>
      </c>
    </row>
    <row r="75" spans="1:35" x14ac:dyDescent="0.35">
      <c r="A75" t="s">
        <v>68</v>
      </c>
      <c r="B75" t="s">
        <v>69</v>
      </c>
      <c r="C75" t="s">
        <v>33</v>
      </c>
      <c r="D75" t="s">
        <v>34</v>
      </c>
      <c r="E75" t="s">
        <v>309</v>
      </c>
      <c r="F75" t="s">
        <v>42</v>
      </c>
      <c r="I75" t="s">
        <v>42</v>
      </c>
      <c r="J75" t="s">
        <v>42</v>
      </c>
      <c r="K75" t="s">
        <v>334</v>
      </c>
      <c r="L75" t="s">
        <v>44</v>
      </c>
      <c r="M75" t="s">
        <v>44</v>
      </c>
      <c r="N75">
        <v>75</v>
      </c>
      <c r="O75" t="s">
        <v>119</v>
      </c>
      <c r="P75" t="s">
        <v>30</v>
      </c>
      <c r="Q75" t="s">
        <v>79</v>
      </c>
      <c r="U75" t="s">
        <v>225</v>
      </c>
      <c r="AD75">
        <v>1</v>
      </c>
      <c r="AF75" s="9">
        <v>1</v>
      </c>
      <c r="AI75">
        <v>22</v>
      </c>
    </row>
    <row r="76" spans="1:35" x14ac:dyDescent="0.35">
      <c r="A76" t="s">
        <v>68</v>
      </c>
      <c r="B76" t="s">
        <v>69</v>
      </c>
      <c r="C76" t="s">
        <v>33</v>
      </c>
      <c r="D76" t="s">
        <v>34</v>
      </c>
      <c r="E76" t="s">
        <v>309</v>
      </c>
      <c r="F76" t="s">
        <v>42</v>
      </c>
      <c r="I76" t="s">
        <v>42</v>
      </c>
      <c r="J76" t="s">
        <v>42</v>
      </c>
      <c r="K76" t="s">
        <v>334</v>
      </c>
      <c r="L76" t="s">
        <v>44</v>
      </c>
      <c r="M76" t="s">
        <v>44</v>
      </c>
      <c r="N76">
        <v>76</v>
      </c>
      <c r="O76" t="s">
        <v>119</v>
      </c>
      <c r="P76" t="s">
        <v>30</v>
      </c>
      <c r="Q76" t="s">
        <v>79</v>
      </c>
      <c r="U76" t="s">
        <v>225</v>
      </c>
      <c r="AD76">
        <v>1</v>
      </c>
      <c r="AF76" s="9">
        <v>3</v>
      </c>
      <c r="AI76">
        <v>23</v>
      </c>
    </row>
    <row r="77" spans="1:35" x14ac:dyDescent="0.35">
      <c r="A77" t="s">
        <v>68</v>
      </c>
      <c r="B77" t="s">
        <v>69</v>
      </c>
      <c r="C77" t="s">
        <v>33</v>
      </c>
      <c r="D77" t="s">
        <v>34</v>
      </c>
      <c r="E77" t="s">
        <v>309</v>
      </c>
      <c r="F77" t="s">
        <v>42</v>
      </c>
      <c r="I77" t="s">
        <v>42</v>
      </c>
      <c r="J77" t="s">
        <v>42</v>
      </c>
      <c r="K77" t="s">
        <v>334</v>
      </c>
      <c r="L77" t="s">
        <v>44</v>
      </c>
      <c r="M77" t="s">
        <v>77</v>
      </c>
      <c r="N77">
        <v>77</v>
      </c>
      <c r="O77" t="s">
        <v>119</v>
      </c>
      <c r="P77" t="s">
        <v>30</v>
      </c>
      <c r="Q77" t="s">
        <v>79</v>
      </c>
      <c r="U77" t="s">
        <v>225</v>
      </c>
      <c r="AD77">
        <v>1</v>
      </c>
      <c r="AF77" s="9">
        <v>3</v>
      </c>
      <c r="AI77">
        <v>24</v>
      </c>
    </row>
    <row r="78" spans="1:35" x14ac:dyDescent="0.35">
      <c r="A78" t="s">
        <v>68</v>
      </c>
      <c r="B78" t="s">
        <v>69</v>
      </c>
      <c r="C78" t="s">
        <v>33</v>
      </c>
      <c r="D78" t="s">
        <v>34</v>
      </c>
      <c r="E78" t="s">
        <v>309</v>
      </c>
      <c r="F78" t="s">
        <v>42</v>
      </c>
      <c r="I78" t="s">
        <v>42</v>
      </c>
      <c r="J78" t="s">
        <v>42</v>
      </c>
      <c r="K78" t="s">
        <v>334</v>
      </c>
      <c r="L78" t="s">
        <v>44</v>
      </c>
      <c r="M78" t="s">
        <v>77</v>
      </c>
      <c r="N78">
        <v>78</v>
      </c>
      <c r="O78" t="s">
        <v>119</v>
      </c>
      <c r="P78" t="s">
        <v>30</v>
      </c>
      <c r="Q78" t="s">
        <v>79</v>
      </c>
      <c r="U78" t="s">
        <v>225</v>
      </c>
      <c r="AD78">
        <v>1</v>
      </c>
      <c r="AF78" s="9">
        <v>3</v>
      </c>
      <c r="AI78">
        <v>25</v>
      </c>
    </row>
    <row r="79" spans="1:35" x14ac:dyDescent="0.35">
      <c r="A79" t="s">
        <v>68</v>
      </c>
      <c r="B79" t="s">
        <v>69</v>
      </c>
      <c r="C79" t="s">
        <v>33</v>
      </c>
      <c r="D79" t="s">
        <v>34</v>
      </c>
      <c r="E79" t="s">
        <v>309</v>
      </c>
      <c r="F79" t="s">
        <v>42</v>
      </c>
      <c r="I79" t="s">
        <v>42</v>
      </c>
      <c r="J79" t="s">
        <v>42</v>
      </c>
      <c r="K79" t="s">
        <v>334</v>
      </c>
      <c r="L79" t="s">
        <v>44</v>
      </c>
      <c r="M79" t="s">
        <v>77</v>
      </c>
      <c r="N79">
        <v>79</v>
      </c>
      <c r="O79" t="s">
        <v>119</v>
      </c>
      <c r="P79" t="s">
        <v>30</v>
      </c>
      <c r="Q79" t="s">
        <v>79</v>
      </c>
      <c r="U79" t="s">
        <v>225</v>
      </c>
      <c r="AD79">
        <v>1</v>
      </c>
      <c r="AF79" s="9">
        <v>1</v>
      </c>
      <c r="AI79">
        <v>26</v>
      </c>
    </row>
    <row r="80" spans="1:35" x14ac:dyDescent="0.35">
      <c r="A80" t="s">
        <v>68</v>
      </c>
      <c r="B80" t="s">
        <v>69</v>
      </c>
      <c r="C80" t="s">
        <v>33</v>
      </c>
      <c r="D80" t="s">
        <v>34</v>
      </c>
      <c r="E80" t="s">
        <v>309</v>
      </c>
      <c r="F80" t="s">
        <v>42</v>
      </c>
      <c r="I80" t="s">
        <v>42</v>
      </c>
      <c r="J80" t="s">
        <v>42</v>
      </c>
      <c r="K80" t="s">
        <v>334</v>
      </c>
      <c r="L80" t="s">
        <v>44</v>
      </c>
      <c r="M80" t="s">
        <v>77</v>
      </c>
      <c r="N80">
        <v>80</v>
      </c>
      <c r="O80" t="s">
        <v>119</v>
      </c>
      <c r="P80" t="s">
        <v>30</v>
      </c>
      <c r="Q80" t="s">
        <v>79</v>
      </c>
      <c r="U80" t="s">
        <v>225</v>
      </c>
      <c r="AD80">
        <v>1</v>
      </c>
      <c r="AF80" s="9">
        <v>1</v>
      </c>
      <c r="AI80">
        <v>27</v>
      </c>
    </row>
    <row r="81" spans="1:35" x14ac:dyDescent="0.35">
      <c r="A81" t="s">
        <v>68</v>
      </c>
      <c r="B81" t="s">
        <v>69</v>
      </c>
      <c r="C81" t="s">
        <v>33</v>
      </c>
      <c r="D81" t="s">
        <v>34</v>
      </c>
      <c r="E81" t="s">
        <v>309</v>
      </c>
      <c r="F81" t="s">
        <v>42</v>
      </c>
      <c r="I81" t="s">
        <v>42</v>
      </c>
      <c r="J81" t="s">
        <v>42</v>
      </c>
      <c r="K81" t="s">
        <v>334</v>
      </c>
      <c r="L81" t="s">
        <v>44</v>
      </c>
      <c r="M81" t="s">
        <v>77</v>
      </c>
      <c r="N81">
        <v>81</v>
      </c>
      <c r="O81" t="s">
        <v>119</v>
      </c>
      <c r="P81" t="s">
        <v>30</v>
      </c>
      <c r="Q81" t="s">
        <v>79</v>
      </c>
      <c r="U81" t="s">
        <v>225</v>
      </c>
      <c r="AD81">
        <v>1</v>
      </c>
      <c r="AF81" s="9">
        <v>1</v>
      </c>
      <c r="AI81">
        <v>28</v>
      </c>
    </row>
    <row r="82" spans="1:35" x14ac:dyDescent="0.35">
      <c r="A82" t="s">
        <v>68</v>
      </c>
      <c r="B82" t="s">
        <v>69</v>
      </c>
      <c r="C82" t="s">
        <v>33</v>
      </c>
      <c r="D82" t="s">
        <v>34</v>
      </c>
      <c r="E82" t="s">
        <v>309</v>
      </c>
      <c r="F82" t="s">
        <v>42</v>
      </c>
      <c r="I82" t="s">
        <v>42</v>
      </c>
      <c r="J82" t="s">
        <v>42</v>
      </c>
      <c r="K82" t="s">
        <v>334</v>
      </c>
      <c r="L82" t="s">
        <v>44</v>
      </c>
      <c r="M82" t="s">
        <v>77</v>
      </c>
      <c r="N82">
        <v>82</v>
      </c>
      <c r="O82" t="s">
        <v>119</v>
      </c>
      <c r="P82" t="s">
        <v>30</v>
      </c>
      <c r="Q82" t="s">
        <v>79</v>
      </c>
      <c r="U82" t="s">
        <v>225</v>
      </c>
      <c r="AD82">
        <v>1</v>
      </c>
      <c r="AF82" s="9">
        <v>3</v>
      </c>
      <c r="AI82">
        <v>29</v>
      </c>
    </row>
    <row r="83" spans="1:35" x14ac:dyDescent="0.35">
      <c r="A83" t="s">
        <v>68</v>
      </c>
      <c r="B83" t="s">
        <v>69</v>
      </c>
      <c r="C83" t="s">
        <v>33</v>
      </c>
      <c r="D83" t="s">
        <v>34</v>
      </c>
      <c r="E83" t="s">
        <v>309</v>
      </c>
      <c r="F83" t="s">
        <v>42</v>
      </c>
      <c r="I83" t="s">
        <v>42</v>
      </c>
      <c r="J83" t="s">
        <v>42</v>
      </c>
      <c r="K83" t="s">
        <v>334</v>
      </c>
      <c r="L83" t="s">
        <v>44</v>
      </c>
      <c r="M83" t="s">
        <v>77</v>
      </c>
      <c r="N83">
        <v>83</v>
      </c>
      <c r="O83" t="s">
        <v>119</v>
      </c>
      <c r="P83" t="s">
        <v>30</v>
      </c>
      <c r="Q83" t="s">
        <v>79</v>
      </c>
      <c r="U83" t="s">
        <v>225</v>
      </c>
      <c r="AD83">
        <v>1</v>
      </c>
      <c r="AF83" s="9">
        <v>3</v>
      </c>
      <c r="AI83">
        <v>30</v>
      </c>
    </row>
    <row r="84" spans="1:35" x14ac:dyDescent="0.35">
      <c r="A84" t="s">
        <v>68</v>
      </c>
      <c r="B84" t="s">
        <v>69</v>
      </c>
      <c r="C84" t="s">
        <v>33</v>
      </c>
      <c r="D84" t="s">
        <v>34</v>
      </c>
      <c r="E84" t="s">
        <v>309</v>
      </c>
      <c r="F84" t="s">
        <v>42</v>
      </c>
      <c r="I84" t="s">
        <v>42</v>
      </c>
      <c r="J84" t="s">
        <v>42</v>
      </c>
      <c r="K84" t="s">
        <v>334</v>
      </c>
      <c r="L84" t="s">
        <v>44</v>
      </c>
      <c r="M84" t="s">
        <v>77</v>
      </c>
      <c r="N84">
        <v>84</v>
      </c>
      <c r="O84" t="s">
        <v>119</v>
      </c>
      <c r="P84" t="s">
        <v>30</v>
      </c>
      <c r="Q84" t="s">
        <v>79</v>
      </c>
      <c r="U84" t="s">
        <v>225</v>
      </c>
      <c r="AD84">
        <v>1</v>
      </c>
      <c r="AF84" s="9">
        <v>3</v>
      </c>
      <c r="AI84">
        <v>31</v>
      </c>
    </row>
    <row r="85" spans="1:35" x14ac:dyDescent="0.35">
      <c r="A85" t="s">
        <v>68</v>
      </c>
      <c r="B85" t="s">
        <v>69</v>
      </c>
      <c r="C85" t="s">
        <v>33</v>
      </c>
      <c r="D85" t="s">
        <v>34</v>
      </c>
      <c r="E85" t="s">
        <v>309</v>
      </c>
      <c r="F85" t="s">
        <v>42</v>
      </c>
      <c r="I85" t="s">
        <v>42</v>
      </c>
      <c r="J85" t="s">
        <v>42</v>
      </c>
      <c r="K85" t="s">
        <v>334</v>
      </c>
      <c r="L85" t="s">
        <v>44</v>
      </c>
      <c r="M85" t="s">
        <v>77</v>
      </c>
      <c r="N85">
        <v>85</v>
      </c>
      <c r="O85" t="s">
        <v>119</v>
      </c>
      <c r="P85" t="s">
        <v>30</v>
      </c>
      <c r="Q85" t="s">
        <v>79</v>
      </c>
      <c r="U85" t="s">
        <v>225</v>
      </c>
      <c r="AD85">
        <v>1</v>
      </c>
      <c r="AF85" s="9">
        <v>3</v>
      </c>
      <c r="AI85">
        <v>32</v>
      </c>
    </row>
    <row r="86" spans="1:35" x14ac:dyDescent="0.35">
      <c r="A86" t="s">
        <v>68</v>
      </c>
      <c r="B86" t="s">
        <v>69</v>
      </c>
      <c r="C86" t="s">
        <v>33</v>
      </c>
      <c r="D86" t="s">
        <v>34</v>
      </c>
      <c r="E86" t="s">
        <v>309</v>
      </c>
      <c r="F86" t="s">
        <v>42</v>
      </c>
      <c r="I86" t="s">
        <v>42</v>
      </c>
      <c r="J86" t="s">
        <v>42</v>
      </c>
      <c r="K86" t="s">
        <v>334</v>
      </c>
      <c r="L86" t="s">
        <v>44</v>
      </c>
      <c r="M86" t="s">
        <v>77</v>
      </c>
      <c r="N86">
        <v>86</v>
      </c>
      <c r="O86" t="s">
        <v>119</v>
      </c>
      <c r="P86" t="s">
        <v>30</v>
      </c>
      <c r="Q86" t="s">
        <v>79</v>
      </c>
      <c r="U86" t="s">
        <v>225</v>
      </c>
      <c r="AD86">
        <v>1</v>
      </c>
      <c r="AF86" s="9">
        <v>3</v>
      </c>
      <c r="AI86">
        <v>33</v>
      </c>
    </row>
    <row r="87" spans="1:35" x14ac:dyDescent="0.35">
      <c r="A87" t="s">
        <v>68</v>
      </c>
      <c r="B87" t="s">
        <v>69</v>
      </c>
      <c r="C87" t="s">
        <v>33</v>
      </c>
      <c r="D87" t="s">
        <v>34</v>
      </c>
      <c r="E87" t="s">
        <v>309</v>
      </c>
      <c r="F87" t="s">
        <v>42</v>
      </c>
      <c r="I87" t="s">
        <v>42</v>
      </c>
      <c r="J87" t="s">
        <v>42</v>
      </c>
      <c r="K87" t="s">
        <v>334</v>
      </c>
      <c r="L87" t="s">
        <v>44</v>
      </c>
      <c r="M87" t="s">
        <v>77</v>
      </c>
      <c r="N87">
        <v>87</v>
      </c>
      <c r="O87" t="s">
        <v>119</v>
      </c>
      <c r="P87" t="s">
        <v>30</v>
      </c>
      <c r="Q87" t="s">
        <v>79</v>
      </c>
      <c r="U87" t="s">
        <v>225</v>
      </c>
      <c r="AD87">
        <v>1</v>
      </c>
      <c r="AF87" s="9">
        <v>3</v>
      </c>
      <c r="AI87">
        <v>34</v>
      </c>
    </row>
    <row r="88" spans="1:35" x14ac:dyDescent="0.35">
      <c r="A88" t="s">
        <v>68</v>
      </c>
      <c r="B88" t="s">
        <v>69</v>
      </c>
      <c r="C88" t="s">
        <v>33</v>
      </c>
      <c r="D88" t="s">
        <v>34</v>
      </c>
      <c r="E88" t="s">
        <v>309</v>
      </c>
      <c r="F88" t="s">
        <v>42</v>
      </c>
      <c r="I88" t="s">
        <v>42</v>
      </c>
      <c r="J88" t="s">
        <v>42</v>
      </c>
      <c r="K88" t="s">
        <v>334</v>
      </c>
      <c r="L88" t="s">
        <v>44</v>
      </c>
      <c r="M88" t="s">
        <v>77</v>
      </c>
      <c r="N88">
        <v>88</v>
      </c>
      <c r="O88" t="s">
        <v>119</v>
      </c>
      <c r="P88" t="s">
        <v>30</v>
      </c>
      <c r="Q88" t="s">
        <v>79</v>
      </c>
      <c r="U88" t="s">
        <v>225</v>
      </c>
      <c r="AD88">
        <v>1</v>
      </c>
      <c r="AF88" s="9">
        <v>3</v>
      </c>
      <c r="AI88">
        <v>35</v>
      </c>
    </row>
    <row r="89" spans="1:35" x14ac:dyDescent="0.35">
      <c r="A89" t="s">
        <v>68</v>
      </c>
      <c r="B89" t="s">
        <v>69</v>
      </c>
      <c r="C89" t="s">
        <v>33</v>
      </c>
      <c r="D89" t="s">
        <v>34</v>
      </c>
      <c r="E89" t="s">
        <v>309</v>
      </c>
      <c r="F89" t="s">
        <v>42</v>
      </c>
      <c r="I89" t="s">
        <v>42</v>
      </c>
      <c r="J89" t="s">
        <v>42</v>
      </c>
      <c r="K89" t="s">
        <v>334</v>
      </c>
      <c r="L89" t="s">
        <v>44</v>
      </c>
      <c r="M89" t="s">
        <v>77</v>
      </c>
      <c r="N89">
        <v>89</v>
      </c>
      <c r="O89" t="s">
        <v>119</v>
      </c>
      <c r="P89" t="s">
        <v>30</v>
      </c>
      <c r="Q89" t="s">
        <v>79</v>
      </c>
      <c r="U89" t="s">
        <v>225</v>
      </c>
      <c r="AD89">
        <v>1</v>
      </c>
      <c r="AF89" s="9">
        <v>3</v>
      </c>
      <c r="AI89">
        <v>36</v>
      </c>
    </row>
    <row r="90" spans="1:35" x14ac:dyDescent="0.35">
      <c r="A90" t="s">
        <v>68</v>
      </c>
      <c r="B90" t="s">
        <v>69</v>
      </c>
      <c r="C90" t="s">
        <v>33</v>
      </c>
      <c r="D90" t="s">
        <v>34</v>
      </c>
      <c r="E90" t="s">
        <v>309</v>
      </c>
      <c r="F90" t="s">
        <v>42</v>
      </c>
      <c r="I90" t="s">
        <v>42</v>
      </c>
      <c r="J90" t="s">
        <v>42</v>
      </c>
      <c r="K90" t="s">
        <v>334</v>
      </c>
      <c r="L90" t="s">
        <v>44</v>
      </c>
      <c r="M90" t="s">
        <v>77</v>
      </c>
      <c r="N90">
        <v>90</v>
      </c>
      <c r="O90" t="s">
        <v>119</v>
      </c>
      <c r="P90" t="s">
        <v>30</v>
      </c>
      <c r="Q90" t="s">
        <v>79</v>
      </c>
      <c r="U90" t="s">
        <v>225</v>
      </c>
      <c r="AD90">
        <v>1</v>
      </c>
      <c r="AF90" s="9">
        <v>3</v>
      </c>
      <c r="AI90">
        <v>37</v>
      </c>
    </row>
    <row r="91" spans="1:35" x14ac:dyDescent="0.35">
      <c r="A91" t="s">
        <v>68</v>
      </c>
      <c r="B91" t="s">
        <v>69</v>
      </c>
      <c r="C91" t="s">
        <v>33</v>
      </c>
      <c r="D91" t="s">
        <v>34</v>
      </c>
      <c r="E91" t="s">
        <v>309</v>
      </c>
      <c r="F91" t="s">
        <v>42</v>
      </c>
      <c r="I91" t="s">
        <v>42</v>
      </c>
      <c r="J91" t="s">
        <v>42</v>
      </c>
      <c r="K91" t="s">
        <v>334</v>
      </c>
      <c r="L91" t="s">
        <v>44</v>
      </c>
      <c r="M91" t="s">
        <v>77</v>
      </c>
      <c r="N91">
        <v>91</v>
      </c>
      <c r="O91" t="s">
        <v>119</v>
      </c>
      <c r="P91" t="s">
        <v>30</v>
      </c>
      <c r="Q91" t="s">
        <v>79</v>
      </c>
      <c r="U91" t="s">
        <v>225</v>
      </c>
      <c r="AD91">
        <v>1</v>
      </c>
      <c r="AF91" s="9">
        <v>3</v>
      </c>
      <c r="AI91">
        <v>38</v>
      </c>
    </row>
    <row r="92" spans="1:35" x14ac:dyDescent="0.35">
      <c r="A92" t="s">
        <v>68</v>
      </c>
      <c r="B92" t="s">
        <v>69</v>
      </c>
      <c r="C92" t="s">
        <v>33</v>
      </c>
      <c r="D92" t="s">
        <v>34</v>
      </c>
      <c r="E92" t="s">
        <v>309</v>
      </c>
      <c r="F92" t="s">
        <v>42</v>
      </c>
      <c r="I92" t="s">
        <v>42</v>
      </c>
      <c r="J92" t="s">
        <v>42</v>
      </c>
      <c r="K92" t="s">
        <v>334</v>
      </c>
      <c r="L92" t="s">
        <v>44</v>
      </c>
      <c r="M92" t="s">
        <v>77</v>
      </c>
      <c r="N92">
        <v>92</v>
      </c>
      <c r="O92" t="s">
        <v>119</v>
      </c>
      <c r="P92" t="s">
        <v>30</v>
      </c>
      <c r="Q92" t="s">
        <v>79</v>
      </c>
      <c r="U92" t="s">
        <v>225</v>
      </c>
      <c r="AD92">
        <v>1</v>
      </c>
      <c r="AF92" s="9">
        <v>3</v>
      </c>
      <c r="AI92">
        <v>39</v>
      </c>
    </row>
    <row r="93" spans="1:35" x14ac:dyDescent="0.35">
      <c r="A93" t="s">
        <v>68</v>
      </c>
      <c r="B93" t="s">
        <v>69</v>
      </c>
      <c r="C93" t="s">
        <v>33</v>
      </c>
      <c r="D93" t="s">
        <v>34</v>
      </c>
      <c r="E93" t="s">
        <v>309</v>
      </c>
      <c r="F93" t="s">
        <v>42</v>
      </c>
      <c r="I93" t="s">
        <v>42</v>
      </c>
      <c r="J93" t="s">
        <v>42</v>
      </c>
      <c r="K93" t="s">
        <v>334</v>
      </c>
      <c r="L93" t="s">
        <v>44</v>
      </c>
      <c r="M93" t="s">
        <v>77</v>
      </c>
      <c r="N93">
        <v>93</v>
      </c>
      <c r="O93" t="s">
        <v>119</v>
      </c>
      <c r="P93" t="s">
        <v>30</v>
      </c>
      <c r="Q93" t="s">
        <v>79</v>
      </c>
      <c r="U93" t="s">
        <v>225</v>
      </c>
      <c r="AD93">
        <v>1</v>
      </c>
      <c r="AF93" s="9">
        <v>3</v>
      </c>
      <c r="AI93">
        <v>40</v>
      </c>
    </row>
    <row r="94" spans="1:35" x14ac:dyDescent="0.35">
      <c r="A94" t="s">
        <v>68</v>
      </c>
      <c r="B94" t="s">
        <v>69</v>
      </c>
      <c r="C94" t="s">
        <v>33</v>
      </c>
      <c r="D94" t="s">
        <v>34</v>
      </c>
      <c r="E94" t="s">
        <v>309</v>
      </c>
      <c r="F94" t="s">
        <v>42</v>
      </c>
      <c r="I94" t="s">
        <v>42</v>
      </c>
      <c r="J94" t="s">
        <v>42</v>
      </c>
      <c r="K94" t="s">
        <v>334</v>
      </c>
      <c r="L94" t="s">
        <v>44</v>
      </c>
      <c r="M94" t="s">
        <v>77</v>
      </c>
      <c r="N94">
        <v>94</v>
      </c>
      <c r="O94" t="s">
        <v>119</v>
      </c>
      <c r="P94" t="s">
        <v>30</v>
      </c>
      <c r="Q94" t="s">
        <v>79</v>
      </c>
      <c r="U94" t="s">
        <v>225</v>
      </c>
      <c r="AD94">
        <v>1</v>
      </c>
      <c r="AF94" s="9">
        <v>3</v>
      </c>
      <c r="AI94">
        <v>41</v>
      </c>
    </row>
    <row r="95" spans="1:35" x14ac:dyDescent="0.35">
      <c r="A95" t="s">
        <v>68</v>
      </c>
      <c r="B95" t="s">
        <v>69</v>
      </c>
      <c r="C95" t="s">
        <v>33</v>
      </c>
      <c r="D95" t="s">
        <v>34</v>
      </c>
      <c r="E95" t="s">
        <v>309</v>
      </c>
      <c r="F95" t="s">
        <v>42</v>
      </c>
      <c r="I95" t="s">
        <v>42</v>
      </c>
      <c r="J95" t="s">
        <v>42</v>
      </c>
      <c r="K95" t="s">
        <v>334</v>
      </c>
      <c r="L95" t="s">
        <v>44</v>
      </c>
      <c r="M95" t="s">
        <v>77</v>
      </c>
      <c r="N95">
        <v>95</v>
      </c>
      <c r="O95" t="s">
        <v>119</v>
      </c>
      <c r="P95" t="s">
        <v>30</v>
      </c>
      <c r="Q95" t="s">
        <v>79</v>
      </c>
      <c r="U95" t="s">
        <v>225</v>
      </c>
      <c r="AD95">
        <v>1</v>
      </c>
      <c r="AF95" s="9">
        <v>3</v>
      </c>
      <c r="AI95">
        <v>42</v>
      </c>
    </row>
    <row r="96" spans="1:35" x14ac:dyDescent="0.35">
      <c r="A96" t="s">
        <v>68</v>
      </c>
      <c r="B96" t="s">
        <v>69</v>
      </c>
      <c r="C96" t="s">
        <v>33</v>
      </c>
      <c r="D96" t="s">
        <v>34</v>
      </c>
      <c r="E96" t="s">
        <v>309</v>
      </c>
      <c r="F96" t="s">
        <v>42</v>
      </c>
      <c r="I96" t="s">
        <v>42</v>
      </c>
      <c r="J96" t="s">
        <v>42</v>
      </c>
      <c r="K96" t="s">
        <v>334</v>
      </c>
      <c r="L96" t="s">
        <v>44</v>
      </c>
      <c r="M96" t="s">
        <v>77</v>
      </c>
      <c r="N96">
        <v>96</v>
      </c>
      <c r="O96" t="s">
        <v>119</v>
      </c>
      <c r="P96" t="s">
        <v>30</v>
      </c>
      <c r="Q96" t="s">
        <v>79</v>
      </c>
      <c r="U96" t="s">
        <v>225</v>
      </c>
      <c r="AD96">
        <v>1</v>
      </c>
      <c r="AF96" s="9">
        <v>3</v>
      </c>
      <c r="AI96">
        <v>43</v>
      </c>
    </row>
    <row r="97" spans="1:35" x14ac:dyDescent="0.35">
      <c r="A97" t="s">
        <v>68</v>
      </c>
      <c r="B97" t="s">
        <v>69</v>
      </c>
      <c r="C97" t="s">
        <v>33</v>
      </c>
      <c r="D97" t="s">
        <v>34</v>
      </c>
      <c r="E97" t="s">
        <v>309</v>
      </c>
      <c r="F97" t="s">
        <v>42</v>
      </c>
      <c r="I97" t="s">
        <v>42</v>
      </c>
      <c r="J97" t="s">
        <v>42</v>
      </c>
      <c r="K97" t="s">
        <v>334</v>
      </c>
      <c r="L97" t="s">
        <v>44</v>
      </c>
      <c r="M97" t="s">
        <v>77</v>
      </c>
      <c r="N97">
        <v>97</v>
      </c>
      <c r="O97" t="s">
        <v>119</v>
      </c>
      <c r="P97" t="s">
        <v>30</v>
      </c>
      <c r="Q97" t="s">
        <v>79</v>
      </c>
      <c r="U97" t="s">
        <v>225</v>
      </c>
      <c r="AD97">
        <v>1</v>
      </c>
      <c r="AF97" s="9">
        <v>3</v>
      </c>
      <c r="AI97">
        <v>44</v>
      </c>
    </row>
    <row r="98" spans="1:35" x14ac:dyDescent="0.35">
      <c r="A98" t="s">
        <v>68</v>
      </c>
      <c r="B98" t="s">
        <v>69</v>
      </c>
      <c r="C98" t="s">
        <v>33</v>
      </c>
      <c r="D98" t="s">
        <v>34</v>
      </c>
      <c r="E98" t="s">
        <v>309</v>
      </c>
      <c r="F98" t="s">
        <v>42</v>
      </c>
      <c r="I98" t="s">
        <v>42</v>
      </c>
      <c r="J98" t="s">
        <v>42</v>
      </c>
      <c r="K98" t="s">
        <v>334</v>
      </c>
      <c r="L98" t="s">
        <v>44</v>
      </c>
      <c r="M98" t="s">
        <v>77</v>
      </c>
      <c r="N98">
        <v>98</v>
      </c>
      <c r="O98" t="s">
        <v>119</v>
      </c>
      <c r="P98" t="s">
        <v>30</v>
      </c>
      <c r="Q98" t="s">
        <v>79</v>
      </c>
      <c r="U98" t="s">
        <v>225</v>
      </c>
      <c r="AD98">
        <v>1</v>
      </c>
      <c r="AF98" s="9">
        <v>3</v>
      </c>
      <c r="AI98">
        <v>45</v>
      </c>
    </row>
    <row r="99" spans="1:35" x14ac:dyDescent="0.35">
      <c r="A99" t="s">
        <v>68</v>
      </c>
      <c r="B99" t="s">
        <v>69</v>
      </c>
      <c r="C99" t="s">
        <v>33</v>
      </c>
      <c r="D99" t="s">
        <v>34</v>
      </c>
      <c r="E99" t="s">
        <v>309</v>
      </c>
      <c r="F99" t="s">
        <v>42</v>
      </c>
      <c r="I99" t="s">
        <v>42</v>
      </c>
      <c r="J99" t="s">
        <v>42</v>
      </c>
      <c r="K99" t="s">
        <v>334</v>
      </c>
      <c r="L99" t="s">
        <v>44</v>
      </c>
      <c r="M99" t="s">
        <v>77</v>
      </c>
      <c r="N99">
        <v>99</v>
      </c>
      <c r="O99" t="s">
        <v>119</v>
      </c>
      <c r="P99" t="s">
        <v>30</v>
      </c>
      <c r="Q99" t="s">
        <v>79</v>
      </c>
      <c r="U99" t="s">
        <v>225</v>
      </c>
      <c r="AD99">
        <v>1</v>
      </c>
      <c r="AF99" s="9">
        <v>3</v>
      </c>
      <c r="AI99">
        <v>46</v>
      </c>
    </row>
    <row r="100" spans="1:35" x14ac:dyDescent="0.35">
      <c r="A100" t="s">
        <v>68</v>
      </c>
      <c r="B100" t="s">
        <v>69</v>
      </c>
      <c r="C100" t="s">
        <v>33</v>
      </c>
      <c r="D100" t="s">
        <v>34</v>
      </c>
      <c r="E100" t="s">
        <v>309</v>
      </c>
      <c r="F100" t="s">
        <v>42</v>
      </c>
      <c r="I100" t="s">
        <v>42</v>
      </c>
      <c r="J100" t="s">
        <v>42</v>
      </c>
      <c r="K100" t="s">
        <v>334</v>
      </c>
      <c r="L100" t="s">
        <v>44</v>
      </c>
      <c r="M100" t="s">
        <v>44</v>
      </c>
      <c r="N100">
        <v>100</v>
      </c>
      <c r="O100" t="s">
        <v>119</v>
      </c>
      <c r="P100" t="s">
        <v>30</v>
      </c>
      <c r="Q100" t="s">
        <v>79</v>
      </c>
      <c r="U100" t="s">
        <v>225</v>
      </c>
      <c r="AD100">
        <v>1</v>
      </c>
      <c r="AF100" s="9">
        <v>3</v>
      </c>
      <c r="AI100">
        <v>47</v>
      </c>
    </row>
    <row r="101" spans="1:35" x14ac:dyDescent="0.35">
      <c r="A101" t="s">
        <v>68</v>
      </c>
      <c r="B101" t="s">
        <v>69</v>
      </c>
      <c r="C101" t="s">
        <v>33</v>
      </c>
      <c r="D101" t="s">
        <v>34</v>
      </c>
      <c r="E101" t="s">
        <v>309</v>
      </c>
      <c r="F101" t="s">
        <v>42</v>
      </c>
      <c r="I101" t="s">
        <v>42</v>
      </c>
      <c r="J101" t="s">
        <v>42</v>
      </c>
      <c r="K101" t="s">
        <v>334</v>
      </c>
      <c r="L101" t="s">
        <v>44</v>
      </c>
      <c r="M101" t="s">
        <v>44</v>
      </c>
      <c r="N101">
        <v>101</v>
      </c>
      <c r="O101" t="s">
        <v>119</v>
      </c>
      <c r="P101" t="s">
        <v>30</v>
      </c>
      <c r="Q101" t="s">
        <v>79</v>
      </c>
      <c r="U101" t="s">
        <v>225</v>
      </c>
      <c r="AD101">
        <v>1</v>
      </c>
      <c r="AF101" s="9">
        <v>3</v>
      </c>
      <c r="AI101">
        <v>48</v>
      </c>
    </row>
    <row r="102" spans="1:35" x14ac:dyDescent="0.35">
      <c r="A102" t="s">
        <v>68</v>
      </c>
      <c r="B102" t="s">
        <v>69</v>
      </c>
      <c r="C102" t="s">
        <v>33</v>
      </c>
      <c r="D102" t="s">
        <v>34</v>
      </c>
      <c r="E102" t="s">
        <v>309</v>
      </c>
      <c r="F102" t="s">
        <v>42</v>
      </c>
      <c r="I102" t="s">
        <v>42</v>
      </c>
      <c r="J102" t="s">
        <v>42</v>
      </c>
      <c r="K102" t="s">
        <v>334</v>
      </c>
      <c r="L102" t="s">
        <v>44</v>
      </c>
      <c r="M102" t="s">
        <v>44</v>
      </c>
      <c r="N102">
        <v>102</v>
      </c>
      <c r="O102" t="s">
        <v>119</v>
      </c>
      <c r="P102" t="s">
        <v>30</v>
      </c>
      <c r="Q102" t="s">
        <v>79</v>
      </c>
      <c r="U102" t="s">
        <v>225</v>
      </c>
      <c r="AD102">
        <v>1</v>
      </c>
      <c r="AF102" s="9">
        <v>3</v>
      </c>
      <c r="AI102">
        <v>49</v>
      </c>
    </row>
    <row r="103" spans="1:35" x14ac:dyDescent="0.35">
      <c r="A103" t="s">
        <v>68</v>
      </c>
      <c r="B103" t="s">
        <v>69</v>
      </c>
      <c r="C103" t="s">
        <v>33</v>
      </c>
      <c r="D103" t="s">
        <v>34</v>
      </c>
      <c r="E103" t="s">
        <v>309</v>
      </c>
      <c r="F103" t="s">
        <v>42</v>
      </c>
      <c r="I103" t="s">
        <v>42</v>
      </c>
      <c r="J103" t="s">
        <v>42</v>
      </c>
      <c r="K103" t="s">
        <v>334</v>
      </c>
      <c r="L103" t="s">
        <v>44</v>
      </c>
      <c r="M103" t="s">
        <v>44</v>
      </c>
      <c r="N103">
        <v>103</v>
      </c>
      <c r="O103" t="s">
        <v>119</v>
      </c>
      <c r="P103" t="s">
        <v>30</v>
      </c>
      <c r="Q103" t="s">
        <v>79</v>
      </c>
      <c r="U103" t="s">
        <v>225</v>
      </c>
      <c r="AD103">
        <v>1</v>
      </c>
      <c r="AF103" s="9">
        <v>3</v>
      </c>
      <c r="AI103">
        <v>50</v>
      </c>
    </row>
    <row r="104" spans="1:35" x14ac:dyDescent="0.35">
      <c r="A104" t="s">
        <v>68</v>
      </c>
      <c r="B104" t="s">
        <v>69</v>
      </c>
      <c r="C104" t="s">
        <v>33</v>
      </c>
      <c r="D104" t="s">
        <v>34</v>
      </c>
      <c r="E104" t="s">
        <v>309</v>
      </c>
      <c r="F104" t="s">
        <v>42</v>
      </c>
      <c r="I104" t="s">
        <v>42</v>
      </c>
      <c r="J104" t="s">
        <v>42</v>
      </c>
      <c r="K104" t="s">
        <v>334</v>
      </c>
      <c r="L104" t="s">
        <v>44</v>
      </c>
      <c r="M104" t="s">
        <v>44</v>
      </c>
      <c r="N104">
        <v>104</v>
      </c>
      <c r="O104" t="s">
        <v>119</v>
      </c>
      <c r="P104" t="s">
        <v>30</v>
      </c>
      <c r="Q104" t="s">
        <v>79</v>
      </c>
      <c r="U104" t="s">
        <v>225</v>
      </c>
      <c r="AD104">
        <v>1</v>
      </c>
      <c r="AF104" s="9">
        <v>3</v>
      </c>
      <c r="AI104">
        <v>51</v>
      </c>
    </row>
    <row r="105" spans="1:35" x14ac:dyDescent="0.35">
      <c r="A105" t="s">
        <v>68</v>
      </c>
      <c r="B105" t="s">
        <v>69</v>
      </c>
      <c r="C105" t="s">
        <v>33</v>
      </c>
      <c r="D105" t="s">
        <v>34</v>
      </c>
      <c r="E105" t="s">
        <v>309</v>
      </c>
      <c r="F105" t="s">
        <v>42</v>
      </c>
      <c r="I105" t="s">
        <v>42</v>
      </c>
      <c r="J105" t="s">
        <v>42</v>
      </c>
      <c r="K105" t="s">
        <v>334</v>
      </c>
      <c r="L105" t="s">
        <v>44</v>
      </c>
      <c r="M105" t="s">
        <v>44</v>
      </c>
      <c r="N105">
        <v>105</v>
      </c>
      <c r="O105" t="s">
        <v>119</v>
      </c>
      <c r="P105" t="s">
        <v>30</v>
      </c>
      <c r="Q105" t="s">
        <v>79</v>
      </c>
      <c r="U105" t="s">
        <v>225</v>
      </c>
      <c r="AD105">
        <v>1</v>
      </c>
      <c r="AF105" s="9">
        <v>3</v>
      </c>
      <c r="AI105">
        <v>52</v>
      </c>
    </row>
    <row r="106" spans="1:35" x14ac:dyDescent="0.35">
      <c r="A106" t="s">
        <v>68</v>
      </c>
      <c r="B106" t="s">
        <v>69</v>
      </c>
      <c r="C106" t="s">
        <v>33</v>
      </c>
      <c r="D106" t="s">
        <v>34</v>
      </c>
      <c r="E106" t="s">
        <v>309</v>
      </c>
      <c r="F106" t="s">
        <v>42</v>
      </c>
      <c r="I106" t="s">
        <v>42</v>
      </c>
      <c r="J106" t="s">
        <v>42</v>
      </c>
      <c r="K106" t="s">
        <v>334</v>
      </c>
      <c r="L106" t="s">
        <v>44</v>
      </c>
      <c r="M106" t="s">
        <v>44</v>
      </c>
      <c r="N106">
        <v>106</v>
      </c>
      <c r="O106" t="s">
        <v>119</v>
      </c>
      <c r="P106" t="s">
        <v>30</v>
      </c>
      <c r="Q106" t="s">
        <v>79</v>
      </c>
      <c r="R106">
        <v>0</v>
      </c>
      <c r="S106" t="s">
        <v>107</v>
      </c>
      <c r="T106" t="s">
        <v>107</v>
      </c>
      <c r="U106" t="s">
        <v>271</v>
      </c>
      <c r="AD106">
        <v>1</v>
      </c>
      <c r="AF106" s="9">
        <v>3</v>
      </c>
      <c r="AI106">
        <v>53</v>
      </c>
    </row>
    <row r="107" spans="1:35" x14ac:dyDescent="0.35">
      <c r="A107" t="s">
        <v>68</v>
      </c>
      <c r="B107" t="s">
        <v>69</v>
      </c>
      <c r="C107" t="s">
        <v>33</v>
      </c>
      <c r="D107" t="s">
        <v>34</v>
      </c>
      <c r="E107" t="s">
        <v>309</v>
      </c>
      <c r="F107" t="s">
        <v>42</v>
      </c>
      <c r="I107" t="s">
        <v>42</v>
      </c>
      <c r="J107" t="s">
        <v>42</v>
      </c>
      <c r="K107" t="s">
        <v>334</v>
      </c>
      <c r="L107" t="s">
        <v>44</v>
      </c>
      <c r="M107" t="s">
        <v>44</v>
      </c>
      <c r="N107">
        <v>107</v>
      </c>
      <c r="O107" t="s">
        <v>119</v>
      </c>
      <c r="P107" t="s">
        <v>30</v>
      </c>
      <c r="Q107" t="s">
        <v>79</v>
      </c>
      <c r="R107">
        <v>0</v>
      </c>
      <c r="S107" t="s">
        <v>107</v>
      </c>
      <c r="T107" t="s">
        <v>107</v>
      </c>
      <c r="U107" t="s">
        <v>271</v>
      </c>
      <c r="AD107">
        <v>1</v>
      </c>
      <c r="AF107" s="9">
        <v>3</v>
      </c>
      <c r="AI107">
        <v>54</v>
      </c>
    </row>
    <row r="108" spans="1:35" x14ac:dyDescent="0.35">
      <c r="A108" t="s">
        <v>68</v>
      </c>
      <c r="B108" t="s">
        <v>69</v>
      </c>
      <c r="C108" t="s">
        <v>33</v>
      </c>
      <c r="D108" t="s">
        <v>34</v>
      </c>
      <c r="E108" t="s">
        <v>309</v>
      </c>
      <c r="F108" t="s">
        <v>42</v>
      </c>
      <c r="I108" t="s">
        <v>42</v>
      </c>
      <c r="J108" t="s">
        <v>42</v>
      </c>
      <c r="K108" t="s">
        <v>334</v>
      </c>
      <c r="L108" t="s">
        <v>44</v>
      </c>
      <c r="M108" t="s">
        <v>44</v>
      </c>
      <c r="N108">
        <v>108</v>
      </c>
      <c r="O108" t="s">
        <v>119</v>
      </c>
      <c r="P108" t="s">
        <v>30</v>
      </c>
      <c r="Q108" t="s">
        <v>81</v>
      </c>
      <c r="R108">
        <v>1</v>
      </c>
      <c r="S108" t="s">
        <v>107</v>
      </c>
      <c r="T108" t="s">
        <v>107</v>
      </c>
      <c r="U108" t="s">
        <v>271</v>
      </c>
      <c r="AD108">
        <v>1</v>
      </c>
      <c r="AF108" s="9">
        <v>3</v>
      </c>
      <c r="AI108">
        <v>55</v>
      </c>
    </row>
    <row r="109" spans="1:35" x14ac:dyDescent="0.35">
      <c r="A109" t="s">
        <v>68</v>
      </c>
      <c r="B109" t="s">
        <v>69</v>
      </c>
      <c r="C109" t="s">
        <v>33</v>
      </c>
      <c r="D109" t="s">
        <v>34</v>
      </c>
      <c r="E109" t="s">
        <v>309</v>
      </c>
      <c r="F109" t="s">
        <v>42</v>
      </c>
      <c r="I109" t="s">
        <v>42</v>
      </c>
      <c r="J109" t="s">
        <v>42</v>
      </c>
      <c r="K109" t="s">
        <v>334</v>
      </c>
      <c r="L109" t="s">
        <v>44</v>
      </c>
      <c r="M109" t="s">
        <v>44</v>
      </c>
      <c r="N109">
        <v>109</v>
      </c>
      <c r="O109" t="s">
        <v>119</v>
      </c>
      <c r="P109" t="s">
        <v>30</v>
      </c>
      <c r="Q109" t="s">
        <v>81</v>
      </c>
      <c r="R109">
        <v>0</v>
      </c>
      <c r="S109" t="s">
        <v>107</v>
      </c>
      <c r="T109" t="s">
        <v>107</v>
      </c>
      <c r="U109" t="s">
        <v>271</v>
      </c>
      <c r="AD109">
        <v>1</v>
      </c>
      <c r="AF109" s="9">
        <v>3</v>
      </c>
      <c r="AI109">
        <v>56</v>
      </c>
    </row>
    <row r="110" spans="1:35" x14ac:dyDescent="0.35">
      <c r="A110" t="s">
        <v>68</v>
      </c>
      <c r="B110" t="s">
        <v>69</v>
      </c>
      <c r="C110" t="s">
        <v>33</v>
      </c>
      <c r="D110" t="s">
        <v>34</v>
      </c>
      <c r="E110" t="s">
        <v>309</v>
      </c>
      <c r="F110" t="s">
        <v>42</v>
      </c>
      <c r="I110" t="s">
        <v>42</v>
      </c>
      <c r="J110" t="s">
        <v>42</v>
      </c>
      <c r="K110" t="s">
        <v>334</v>
      </c>
      <c r="L110" t="s">
        <v>44</v>
      </c>
      <c r="M110" t="s">
        <v>44</v>
      </c>
      <c r="N110">
        <v>110</v>
      </c>
      <c r="O110" t="s">
        <v>119</v>
      </c>
      <c r="P110" t="s">
        <v>30</v>
      </c>
      <c r="Q110" t="s">
        <v>81</v>
      </c>
      <c r="R110">
        <v>1</v>
      </c>
      <c r="S110" t="s">
        <v>107</v>
      </c>
      <c r="T110" t="s">
        <v>107</v>
      </c>
      <c r="U110" t="s">
        <v>271</v>
      </c>
      <c r="AD110">
        <v>1</v>
      </c>
      <c r="AF110" s="9">
        <v>3</v>
      </c>
      <c r="AI110">
        <v>57</v>
      </c>
    </row>
    <row r="111" spans="1:35" x14ac:dyDescent="0.35">
      <c r="A111" t="s">
        <v>68</v>
      </c>
      <c r="B111" t="s">
        <v>69</v>
      </c>
      <c r="C111" t="s">
        <v>33</v>
      </c>
      <c r="D111" t="s">
        <v>34</v>
      </c>
      <c r="E111" t="s">
        <v>309</v>
      </c>
      <c r="F111" t="s">
        <v>42</v>
      </c>
      <c r="I111" t="s">
        <v>42</v>
      </c>
      <c r="J111" t="s">
        <v>42</v>
      </c>
      <c r="K111" t="s">
        <v>334</v>
      </c>
      <c r="L111" t="s">
        <v>44</v>
      </c>
      <c r="M111" t="s">
        <v>44</v>
      </c>
      <c r="N111">
        <v>111</v>
      </c>
      <c r="O111" t="s">
        <v>119</v>
      </c>
      <c r="P111" t="s">
        <v>30</v>
      </c>
      <c r="Q111" t="s">
        <v>81</v>
      </c>
      <c r="R111">
        <v>1</v>
      </c>
      <c r="S111" t="s">
        <v>107</v>
      </c>
      <c r="T111" t="s">
        <v>107</v>
      </c>
      <c r="U111" t="s">
        <v>271</v>
      </c>
      <c r="AD111">
        <v>1</v>
      </c>
      <c r="AF111" s="9">
        <v>1</v>
      </c>
      <c r="AI111">
        <v>58</v>
      </c>
    </row>
    <row r="112" spans="1:35" x14ac:dyDescent="0.35">
      <c r="A112" t="s">
        <v>68</v>
      </c>
      <c r="B112" t="s">
        <v>69</v>
      </c>
      <c r="C112" t="s">
        <v>33</v>
      </c>
      <c r="D112" t="s">
        <v>34</v>
      </c>
      <c r="E112" t="s">
        <v>309</v>
      </c>
      <c r="F112" t="s">
        <v>42</v>
      </c>
      <c r="I112" t="s">
        <v>42</v>
      </c>
      <c r="J112" t="s">
        <v>42</v>
      </c>
      <c r="K112" t="s">
        <v>334</v>
      </c>
      <c r="L112" t="s">
        <v>44</v>
      </c>
      <c r="M112" t="s">
        <v>44</v>
      </c>
      <c r="N112">
        <v>112</v>
      </c>
      <c r="O112" t="s">
        <v>119</v>
      </c>
      <c r="P112" t="s">
        <v>30</v>
      </c>
      <c r="Q112" t="s">
        <v>81</v>
      </c>
      <c r="S112" t="s">
        <v>107</v>
      </c>
      <c r="T112" t="s">
        <v>107</v>
      </c>
      <c r="U112" t="s">
        <v>271</v>
      </c>
      <c r="AD112">
        <v>1</v>
      </c>
      <c r="AF112" s="9">
        <v>3</v>
      </c>
      <c r="AI112">
        <v>59</v>
      </c>
    </row>
    <row r="113" spans="1:35" x14ac:dyDescent="0.35">
      <c r="A113" t="s">
        <v>68</v>
      </c>
      <c r="B113" t="s">
        <v>69</v>
      </c>
      <c r="C113" t="s">
        <v>33</v>
      </c>
      <c r="D113" t="s">
        <v>34</v>
      </c>
      <c r="E113" t="s">
        <v>309</v>
      </c>
      <c r="F113" t="s">
        <v>42</v>
      </c>
      <c r="I113" t="s">
        <v>42</v>
      </c>
      <c r="J113" t="s">
        <v>42</v>
      </c>
      <c r="K113" t="s">
        <v>334</v>
      </c>
      <c r="L113" t="s">
        <v>44</v>
      </c>
      <c r="M113" t="s">
        <v>44</v>
      </c>
      <c r="N113">
        <v>113</v>
      </c>
      <c r="O113" t="s">
        <v>119</v>
      </c>
      <c r="P113" t="s">
        <v>30</v>
      </c>
      <c r="Q113" t="s">
        <v>82</v>
      </c>
      <c r="R113">
        <v>0</v>
      </c>
      <c r="S113" t="s">
        <v>107</v>
      </c>
      <c r="T113" t="s">
        <v>107</v>
      </c>
      <c r="U113" t="s">
        <v>271</v>
      </c>
      <c r="AD113">
        <v>1</v>
      </c>
      <c r="AF113">
        <v>2</v>
      </c>
      <c r="AI113">
        <v>60</v>
      </c>
    </row>
    <row r="114" spans="1:35" x14ac:dyDescent="0.35">
      <c r="A114" t="s">
        <v>68</v>
      </c>
      <c r="B114" t="s">
        <v>69</v>
      </c>
      <c r="C114" t="s">
        <v>33</v>
      </c>
      <c r="D114" t="s">
        <v>34</v>
      </c>
      <c r="E114" t="s">
        <v>309</v>
      </c>
      <c r="F114" t="s">
        <v>42</v>
      </c>
      <c r="I114" t="s">
        <v>42</v>
      </c>
      <c r="J114" t="s">
        <v>42</v>
      </c>
      <c r="K114" t="s">
        <v>334</v>
      </c>
      <c r="L114" t="s">
        <v>44</v>
      </c>
      <c r="M114" t="s">
        <v>44</v>
      </c>
      <c r="N114">
        <v>114</v>
      </c>
      <c r="O114" t="s">
        <v>119</v>
      </c>
      <c r="P114" t="s">
        <v>30</v>
      </c>
      <c r="Q114" t="s">
        <v>82</v>
      </c>
      <c r="R114">
        <v>0</v>
      </c>
      <c r="S114" t="s">
        <v>107</v>
      </c>
      <c r="T114" t="s">
        <v>107</v>
      </c>
      <c r="U114" t="s">
        <v>271</v>
      </c>
      <c r="AD114">
        <v>1</v>
      </c>
      <c r="AF114">
        <v>2</v>
      </c>
      <c r="AI114">
        <v>61</v>
      </c>
    </row>
    <row r="115" spans="1:35" x14ac:dyDescent="0.35">
      <c r="A115" t="s">
        <v>68</v>
      </c>
      <c r="B115" t="s">
        <v>69</v>
      </c>
      <c r="C115" t="s">
        <v>33</v>
      </c>
      <c r="D115" t="s">
        <v>34</v>
      </c>
      <c r="E115" t="s">
        <v>309</v>
      </c>
      <c r="F115" t="s">
        <v>42</v>
      </c>
      <c r="I115" t="s">
        <v>42</v>
      </c>
      <c r="J115" t="s">
        <v>42</v>
      </c>
      <c r="K115" t="s">
        <v>334</v>
      </c>
      <c r="L115" t="s">
        <v>44</v>
      </c>
      <c r="M115" t="s">
        <v>44</v>
      </c>
      <c r="N115">
        <v>115</v>
      </c>
      <c r="O115" t="s">
        <v>119</v>
      </c>
      <c r="P115" t="s">
        <v>30</v>
      </c>
      <c r="Q115" t="s">
        <v>82</v>
      </c>
      <c r="U115" t="s">
        <v>225</v>
      </c>
      <c r="AD115">
        <v>1</v>
      </c>
      <c r="AF115">
        <v>2</v>
      </c>
      <c r="AI115">
        <v>62</v>
      </c>
    </row>
    <row r="116" spans="1:35" x14ac:dyDescent="0.35">
      <c r="A116" t="s">
        <v>68</v>
      </c>
      <c r="B116" t="s">
        <v>69</v>
      </c>
      <c r="C116" t="s">
        <v>33</v>
      </c>
      <c r="D116" t="s">
        <v>34</v>
      </c>
      <c r="E116" t="s">
        <v>309</v>
      </c>
      <c r="F116" t="s">
        <v>42</v>
      </c>
      <c r="I116" t="s">
        <v>42</v>
      </c>
      <c r="J116" t="s">
        <v>42</v>
      </c>
      <c r="K116" t="s">
        <v>334</v>
      </c>
      <c r="L116" t="s">
        <v>44</v>
      </c>
      <c r="M116" t="s">
        <v>44</v>
      </c>
      <c r="N116">
        <v>116</v>
      </c>
      <c r="O116" t="s">
        <v>119</v>
      </c>
      <c r="P116" t="s">
        <v>30</v>
      </c>
      <c r="Q116" t="s">
        <v>82</v>
      </c>
      <c r="U116" t="s">
        <v>225</v>
      </c>
      <c r="AD116">
        <v>1</v>
      </c>
      <c r="AF116">
        <v>2</v>
      </c>
      <c r="AI116">
        <v>63</v>
      </c>
    </row>
    <row r="117" spans="1:35" x14ac:dyDescent="0.35">
      <c r="A117" t="s">
        <v>68</v>
      </c>
      <c r="B117" t="s">
        <v>69</v>
      </c>
      <c r="C117" t="s">
        <v>33</v>
      </c>
      <c r="D117" t="s">
        <v>34</v>
      </c>
      <c r="E117" t="s">
        <v>309</v>
      </c>
      <c r="F117" t="s">
        <v>42</v>
      </c>
      <c r="I117" t="s">
        <v>42</v>
      </c>
      <c r="J117" t="s">
        <v>42</v>
      </c>
      <c r="K117" t="s">
        <v>334</v>
      </c>
      <c r="L117" t="s">
        <v>44</v>
      </c>
      <c r="M117" t="s">
        <v>44</v>
      </c>
      <c r="N117">
        <v>117</v>
      </c>
      <c r="O117" t="s">
        <v>119</v>
      </c>
      <c r="P117" t="s">
        <v>30</v>
      </c>
      <c r="Q117" t="s">
        <v>82</v>
      </c>
      <c r="U117" t="s">
        <v>225</v>
      </c>
      <c r="AD117">
        <v>1</v>
      </c>
      <c r="AF117">
        <v>2</v>
      </c>
      <c r="AI117">
        <v>64</v>
      </c>
    </row>
    <row r="118" spans="1:35" x14ac:dyDescent="0.35">
      <c r="A118" t="s">
        <v>68</v>
      </c>
      <c r="B118" t="s">
        <v>69</v>
      </c>
      <c r="C118" t="s">
        <v>33</v>
      </c>
      <c r="D118" t="s">
        <v>34</v>
      </c>
      <c r="E118" t="s">
        <v>309</v>
      </c>
      <c r="F118" t="s">
        <v>42</v>
      </c>
      <c r="I118" t="s">
        <v>42</v>
      </c>
      <c r="J118" t="s">
        <v>42</v>
      </c>
      <c r="K118" t="s">
        <v>334</v>
      </c>
      <c r="L118" t="s">
        <v>44</v>
      </c>
      <c r="M118" t="s">
        <v>44</v>
      </c>
      <c r="N118">
        <v>118</v>
      </c>
      <c r="O118" t="s">
        <v>119</v>
      </c>
      <c r="P118" t="s">
        <v>30</v>
      </c>
      <c r="Q118" t="s">
        <v>82</v>
      </c>
      <c r="U118" t="s">
        <v>225</v>
      </c>
      <c r="AD118">
        <v>1</v>
      </c>
      <c r="AF118" s="3">
        <v>2</v>
      </c>
      <c r="AI118">
        <v>65</v>
      </c>
    </row>
    <row r="119" spans="1:35" x14ac:dyDescent="0.35">
      <c r="A119" t="s">
        <v>68</v>
      </c>
      <c r="B119" t="s">
        <v>69</v>
      </c>
      <c r="C119" t="s">
        <v>33</v>
      </c>
      <c r="D119" t="s">
        <v>65</v>
      </c>
      <c r="E119" t="s">
        <v>62</v>
      </c>
      <c r="F119" t="s">
        <v>316</v>
      </c>
      <c r="G119" s="20" t="s">
        <v>314</v>
      </c>
      <c r="H119" s="20" t="s">
        <v>63</v>
      </c>
      <c r="I119" t="str">
        <f t="shared" ref="I119:I182" si="4">G119&amp;" "&amp;H119</f>
        <v xml:space="preserve">Patellapis stirlingi </v>
      </c>
      <c r="J119" t="s">
        <v>65</v>
      </c>
      <c r="K119" t="s">
        <v>333</v>
      </c>
      <c r="L119" t="s">
        <v>196</v>
      </c>
      <c r="M119" t="s">
        <v>64</v>
      </c>
      <c r="N119">
        <v>119</v>
      </c>
      <c r="O119" t="s">
        <v>119</v>
      </c>
      <c r="P119" t="s">
        <v>37</v>
      </c>
      <c r="Q119" t="s">
        <v>73</v>
      </c>
      <c r="R119">
        <v>1</v>
      </c>
      <c r="S119" t="s">
        <v>107</v>
      </c>
      <c r="T119" t="s">
        <v>107</v>
      </c>
      <c r="U119" t="s">
        <v>271</v>
      </c>
      <c r="AD119">
        <v>1</v>
      </c>
      <c r="AF119" s="3">
        <v>2</v>
      </c>
      <c r="AI119">
        <v>69</v>
      </c>
    </row>
    <row r="120" spans="1:35" x14ac:dyDescent="0.35">
      <c r="A120" t="s">
        <v>68</v>
      </c>
      <c r="B120" t="s">
        <v>69</v>
      </c>
      <c r="C120" t="s">
        <v>33</v>
      </c>
      <c r="D120" t="s">
        <v>34</v>
      </c>
      <c r="E120" t="s">
        <v>320</v>
      </c>
      <c r="F120" t="s">
        <v>321</v>
      </c>
      <c r="G120" s="20" t="s">
        <v>46</v>
      </c>
      <c r="H120" t="s">
        <v>7</v>
      </c>
      <c r="I120" t="str">
        <f t="shared" si="4"/>
        <v>Xylocopa species</v>
      </c>
      <c r="J120" t="s">
        <v>255</v>
      </c>
      <c r="K120" t="s">
        <v>331</v>
      </c>
      <c r="L120" t="s">
        <v>47</v>
      </c>
      <c r="M120" t="s">
        <v>47</v>
      </c>
      <c r="N120">
        <v>51</v>
      </c>
      <c r="O120" t="s">
        <v>119</v>
      </c>
      <c r="P120" t="s">
        <v>37</v>
      </c>
      <c r="Q120" t="s">
        <v>73</v>
      </c>
      <c r="R120">
        <v>1</v>
      </c>
      <c r="S120" t="s">
        <v>110</v>
      </c>
      <c r="T120" t="s">
        <v>107</v>
      </c>
      <c r="U120" t="s">
        <v>271</v>
      </c>
      <c r="AD120">
        <v>1</v>
      </c>
      <c r="AF120">
        <v>2</v>
      </c>
      <c r="AI120">
        <v>72</v>
      </c>
    </row>
    <row r="121" spans="1:35" x14ac:dyDescent="0.35">
      <c r="A121" t="s">
        <v>68</v>
      </c>
      <c r="B121" t="s">
        <v>69</v>
      </c>
      <c r="C121" t="s">
        <v>33</v>
      </c>
      <c r="D121" t="s">
        <v>34</v>
      </c>
      <c r="E121" t="s">
        <v>320</v>
      </c>
      <c r="F121" t="s">
        <v>321</v>
      </c>
      <c r="G121" s="20" t="s">
        <v>46</v>
      </c>
      <c r="H121" t="s">
        <v>7</v>
      </c>
      <c r="I121" t="str">
        <f t="shared" si="4"/>
        <v>Xylocopa species</v>
      </c>
      <c r="J121" t="s">
        <v>255</v>
      </c>
      <c r="K121" t="s">
        <v>331</v>
      </c>
      <c r="L121" t="s">
        <v>47</v>
      </c>
      <c r="M121" t="s">
        <v>47</v>
      </c>
      <c r="N121">
        <v>52</v>
      </c>
      <c r="O121" t="s">
        <v>119</v>
      </c>
      <c r="P121" t="s">
        <v>41</v>
      </c>
      <c r="Q121" t="s">
        <v>75</v>
      </c>
      <c r="S121" t="s">
        <v>104</v>
      </c>
      <c r="T121" t="s">
        <v>107</v>
      </c>
      <c r="U121" t="s">
        <v>271</v>
      </c>
      <c r="AD121">
        <v>1</v>
      </c>
      <c r="AF121">
        <v>2</v>
      </c>
      <c r="AI121">
        <v>73</v>
      </c>
    </row>
    <row r="122" spans="1:35" x14ac:dyDescent="0.35">
      <c r="A122" t="s">
        <v>68</v>
      </c>
      <c r="B122" t="s">
        <v>69</v>
      </c>
      <c r="C122" t="s">
        <v>33</v>
      </c>
      <c r="D122" t="s">
        <v>34</v>
      </c>
      <c r="E122" t="s">
        <v>320</v>
      </c>
      <c r="F122" t="s">
        <v>321</v>
      </c>
      <c r="G122" s="20" t="s">
        <v>46</v>
      </c>
      <c r="H122" t="s">
        <v>7</v>
      </c>
      <c r="I122" t="str">
        <f t="shared" si="4"/>
        <v>Xylocopa species</v>
      </c>
      <c r="J122" t="s">
        <v>255</v>
      </c>
      <c r="K122" t="s">
        <v>331</v>
      </c>
      <c r="L122" t="s">
        <v>47</v>
      </c>
      <c r="M122" t="s">
        <v>47</v>
      </c>
      <c r="N122">
        <v>53</v>
      </c>
      <c r="O122" t="s">
        <v>119</v>
      </c>
      <c r="P122" t="s">
        <v>48</v>
      </c>
      <c r="Q122" t="s">
        <v>76</v>
      </c>
      <c r="S122" t="s">
        <v>174</v>
      </c>
      <c r="T122" t="s">
        <v>107</v>
      </c>
      <c r="U122" t="s">
        <v>271</v>
      </c>
      <c r="AD122">
        <v>1</v>
      </c>
      <c r="AF122" s="3">
        <v>2</v>
      </c>
      <c r="AI122">
        <v>70</v>
      </c>
    </row>
    <row r="123" spans="1:35" x14ac:dyDescent="0.35">
      <c r="A123" t="s">
        <v>68</v>
      </c>
      <c r="B123" t="s">
        <v>69</v>
      </c>
      <c r="C123" t="s">
        <v>33</v>
      </c>
      <c r="D123" t="s">
        <v>34</v>
      </c>
      <c r="E123" t="s">
        <v>320</v>
      </c>
      <c r="F123" t="s">
        <v>321</v>
      </c>
      <c r="G123" s="20" t="s">
        <v>46</v>
      </c>
      <c r="H123" t="s">
        <v>7</v>
      </c>
      <c r="I123" t="str">
        <f t="shared" si="4"/>
        <v>Xylocopa species</v>
      </c>
      <c r="J123" t="s">
        <v>255</v>
      </c>
      <c r="K123" t="s">
        <v>331</v>
      </c>
      <c r="L123" t="s">
        <v>47</v>
      </c>
      <c r="M123" t="s">
        <v>47</v>
      </c>
      <c r="N123">
        <v>54</v>
      </c>
      <c r="O123" t="s">
        <v>119</v>
      </c>
      <c r="P123" t="s">
        <v>48</v>
      </c>
      <c r="Q123" t="s">
        <v>76</v>
      </c>
      <c r="S123" t="s">
        <v>173</v>
      </c>
      <c r="T123" t="s">
        <v>107</v>
      </c>
      <c r="U123" t="s">
        <v>271</v>
      </c>
      <c r="AD123">
        <v>1</v>
      </c>
      <c r="AF123">
        <v>2</v>
      </c>
      <c r="AI123">
        <v>71</v>
      </c>
    </row>
    <row r="124" spans="1:35" x14ac:dyDescent="0.35">
      <c r="A124" t="s">
        <v>68</v>
      </c>
      <c r="B124" t="s">
        <v>69</v>
      </c>
      <c r="C124" t="s">
        <v>85</v>
      </c>
      <c r="D124" t="s">
        <v>86</v>
      </c>
      <c r="E124" t="s">
        <v>87</v>
      </c>
      <c r="F124" t="s">
        <v>88</v>
      </c>
      <c r="G124" s="20" t="s">
        <v>89</v>
      </c>
      <c r="H124" t="s">
        <v>7</v>
      </c>
      <c r="I124" t="str">
        <f t="shared" si="4"/>
        <v>Acraea species</v>
      </c>
      <c r="J124" t="s">
        <v>326</v>
      </c>
      <c r="K124" t="s">
        <v>330</v>
      </c>
      <c r="L124" t="s">
        <v>90</v>
      </c>
      <c r="M124" t="s">
        <v>90</v>
      </c>
      <c r="N124">
        <v>123</v>
      </c>
      <c r="O124" t="s">
        <v>119</v>
      </c>
      <c r="P124" t="s">
        <v>48</v>
      </c>
      <c r="Q124" t="s">
        <v>76</v>
      </c>
      <c r="R124">
        <v>0</v>
      </c>
      <c r="U124" t="s">
        <v>225</v>
      </c>
      <c r="AD124">
        <v>1</v>
      </c>
      <c r="AF124">
        <v>2</v>
      </c>
      <c r="AI124">
        <v>74</v>
      </c>
    </row>
    <row r="125" spans="1:35" x14ac:dyDescent="0.35">
      <c r="A125" t="s">
        <v>193</v>
      </c>
      <c r="B125" t="s">
        <v>69</v>
      </c>
      <c r="C125" t="s">
        <v>33</v>
      </c>
      <c r="D125" t="s">
        <v>34</v>
      </c>
      <c r="E125" t="s">
        <v>309</v>
      </c>
      <c r="F125" t="s">
        <v>310</v>
      </c>
      <c r="G125" s="20" t="s">
        <v>38</v>
      </c>
      <c r="H125" s="20" t="s">
        <v>39</v>
      </c>
      <c r="I125" t="str">
        <f t="shared" si="4"/>
        <v>Apis mellifera</v>
      </c>
      <c r="J125" t="s">
        <v>70</v>
      </c>
      <c r="K125" t="s">
        <v>332</v>
      </c>
      <c r="L125" s="9" t="s">
        <v>197</v>
      </c>
      <c r="N125">
        <v>816</v>
      </c>
      <c r="O125" t="s">
        <v>155</v>
      </c>
      <c r="P125" t="s">
        <v>222</v>
      </c>
      <c r="Q125" t="s">
        <v>207</v>
      </c>
      <c r="R125" s="9">
        <v>1</v>
      </c>
      <c r="S125" s="13" t="s">
        <v>166</v>
      </c>
      <c r="T125" t="s">
        <v>72</v>
      </c>
      <c r="U125" t="s">
        <v>271</v>
      </c>
      <c r="AD125">
        <v>1</v>
      </c>
      <c r="AE125" s="8"/>
      <c r="AF125" s="17">
        <v>2</v>
      </c>
      <c r="AI125">
        <v>4</v>
      </c>
    </row>
    <row r="126" spans="1:35" x14ac:dyDescent="0.35">
      <c r="A126" t="s">
        <v>193</v>
      </c>
      <c r="B126" t="s">
        <v>69</v>
      </c>
      <c r="C126" t="s">
        <v>33</v>
      </c>
      <c r="D126" t="s">
        <v>34</v>
      </c>
      <c r="E126" t="s">
        <v>309</v>
      </c>
      <c r="F126" t="s">
        <v>310</v>
      </c>
      <c r="G126" s="20" t="s">
        <v>38</v>
      </c>
      <c r="H126" s="20" t="s">
        <v>39</v>
      </c>
      <c r="I126" t="str">
        <f t="shared" si="4"/>
        <v>Apis mellifera</v>
      </c>
      <c r="J126" t="s">
        <v>70</v>
      </c>
      <c r="K126" t="s">
        <v>332</v>
      </c>
      <c r="L126" s="9" t="s">
        <v>197</v>
      </c>
      <c r="N126">
        <v>817</v>
      </c>
      <c r="O126" t="s">
        <v>155</v>
      </c>
      <c r="P126" t="s">
        <v>222</v>
      </c>
      <c r="Q126" t="s">
        <v>207</v>
      </c>
      <c r="R126" s="9">
        <v>1</v>
      </c>
      <c r="S126" t="s">
        <v>166</v>
      </c>
      <c r="T126" t="s">
        <v>72</v>
      </c>
      <c r="U126" t="s">
        <v>271</v>
      </c>
      <c r="AD126">
        <v>1</v>
      </c>
      <c r="AE126" s="8"/>
      <c r="AF126" s="17">
        <v>2</v>
      </c>
      <c r="AI126">
        <v>6</v>
      </c>
    </row>
    <row r="127" spans="1:35" x14ac:dyDescent="0.35">
      <c r="A127" t="s">
        <v>193</v>
      </c>
      <c r="B127" t="s">
        <v>69</v>
      </c>
      <c r="C127" t="s">
        <v>33</v>
      </c>
      <c r="D127" t="s">
        <v>34</v>
      </c>
      <c r="E127" t="s">
        <v>309</v>
      </c>
      <c r="F127" t="s">
        <v>310</v>
      </c>
      <c r="G127" s="20" t="s">
        <v>38</v>
      </c>
      <c r="H127" s="20" t="s">
        <v>39</v>
      </c>
      <c r="I127" t="str">
        <f t="shared" si="4"/>
        <v>Apis mellifera</v>
      </c>
      <c r="J127" t="s">
        <v>70</v>
      </c>
      <c r="K127" t="s">
        <v>332</v>
      </c>
      <c r="L127" s="9" t="s">
        <v>197</v>
      </c>
      <c r="N127">
        <v>818</v>
      </c>
      <c r="O127" t="s">
        <v>155</v>
      </c>
      <c r="P127" t="s">
        <v>222</v>
      </c>
      <c r="Q127" t="s">
        <v>207</v>
      </c>
      <c r="R127" s="9">
        <v>1</v>
      </c>
      <c r="S127" t="s">
        <v>166</v>
      </c>
      <c r="T127" t="s">
        <v>72</v>
      </c>
      <c r="U127" t="s">
        <v>271</v>
      </c>
      <c r="AD127">
        <v>1</v>
      </c>
      <c r="AE127" s="8"/>
      <c r="AF127" s="17">
        <v>2</v>
      </c>
      <c r="AI127">
        <v>7</v>
      </c>
    </row>
    <row r="128" spans="1:35" x14ac:dyDescent="0.35">
      <c r="A128" t="s">
        <v>193</v>
      </c>
      <c r="B128" t="s">
        <v>69</v>
      </c>
      <c r="C128" t="s">
        <v>33</v>
      </c>
      <c r="D128" t="s">
        <v>34</v>
      </c>
      <c r="E128" t="s">
        <v>309</v>
      </c>
      <c r="F128" t="s">
        <v>310</v>
      </c>
      <c r="G128" s="20" t="s">
        <v>38</v>
      </c>
      <c r="H128" s="20" t="s">
        <v>39</v>
      </c>
      <c r="I128" t="str">
        <f t="shared" si="4"/>
        <v>Apis mellifera</v>
      </c>
      <c r="J128" t="s">
        <v>70</v>
      </c>
      <c r="K128" t="s">
        <v>332</v>
      </c>
      <c r="L128" s="9" t="s">
        <v>197</v>
      </c>
      <c r="N128">
        <v>819</v>
      </c>
      <c r="O128" t="s">
        <v>155</v>
      </c>
      <c r="P128" t="s">
        <v>154</v>
      </c>
      <c r="Q128" t="s">
        <v>208</v>
      </c>
      <c r="R128" s="9">
        <v>1</v>
      </c>
      <c r="S128" s="13" t="s">
        <v>166</v>
      </c>
      <c r="T128" t="s">
        <v>72</v>
      </c>
      <c r="U128" t="s">
        <v>271</v>
      </c>
      <c r="AD128">
        <v>1</v>
      </c>
      <c r="AE128" s="8"/>
      <c r="AF128" s="17">
        <v>2</v>
      </c>
      <c r="AI128">
        <v>18</v>
      </c>
    </row>
    <row r="129" spans="1:35" x14ac:dyDescent="0.35">
      <c r="A129" t="s">
        <v>193</v>
      </c>
      <c r="B129" t="s">
        <v>69</v>
      </c>
      <c r="C129" t="s">
        <v>33</v>
      </c>
      <c r="D129" t="s">
        <v>34</v>
      </c>
      <c r="E129" t="s">
        <v>309</v>
      </c>
      <c r="F129" t="s">
        <v>310</v>
      </c>
      <c r="G129" s="20" t="s">
        <v>38</v>
      </c>
      <c r="H129" s="20" t="s">
        <v>39</v>
      </c>
      <c r="I129" t="str">
        <f t="shared" si="4"/>
        <v>Apis mellifera</v>
      </c>
      <c r="J129" t="s">
        <v>70</v>
      </c>
      <c r="K129" t="s">
        <v>332</v>
      </c>
      <c r="L129" s="9" t="s">
        <v>197</v>
      </c>
      <c r="N129">
        <v>820</v>
      </c>
      <c r="O129" t="s">
        <v>155</v>
      </c>
      <c r="P129" t="s">
        <v>154</v>
      </c>
      <c r="Q129" t="s">
        <v>208</v>
      </c>
      <c r="R129" s="3">
        <v>1</v>
      </c>
      <c r="S129" s="13" t="s">
        <v>166</v>
      </c>
      <c r="T129" t="s">
        <v>72</v>
      </c>
      <c r="U129" t="s">
        <v>271</v>
      </c>
      <c r="AD129">
        <v>1</v>
      </c>
      <c r="AE129" s="8"/>
      <c r="AF129" s="17">
        <v>2</v>
      </c>
      <c r="AI129">
        <v>19</v>
      </c>
    </row>
    <row r="130" spans="1:35" x14ac:dyDescent="0.35">
      <c r="A130" t="s">
        <v>193</v>
      </c>
      <c r="B130" t="s">
        <v>69</v>
      </c>
      <c r="C130" t="s">
        <v>33</v>
      </c>
      <c r="D130" t="s">
        <v>34</v>
      </c>
      <c r="E130" t="s">
        <v>309</v>
      </c>
      <c r="F130" t="s">
        <v>310</v>
      </c>
      <c r="G130" s="20" t="s">
        <v>38</v>
      </c>
      <c r="H130" s="20" t="s">
        <v>39</v>
      </c>
      <c r="I130" t="str">
        <f t="shared" si="4"/>
        <v>Apis mellifera</v>
      </c>
      <c r="J130" t="s">
        <v>70</v>
      </c>
      <c r="K130" t="s">
        <v>332</v>
      </c>
      <c r="L130" s="3" t="s">
        <v>197</v>
      </c>
      <c r="N130">
        <v>823</v>
      </c>
      <c r="O130" t="s">
        <v>155</v>
      </c>
      <c r="P130" t="s">
        <v>154</v>
      </c>
      <c r="Q130" t="s">
        <v>209</v>
      </c>
      <c r="R130" s="3">
        <v>1</v>
      </c>
      <c r="S130" s="14" t="s">
        <v>166</v>
      </c>
      <c r="T130" t="s">
        <v>72</v>
      </c>
      <c r="U130" t="s">
        <v>271</v>
      </c>
      <c r="AD130">
        <v>1</v>
      </c>
      <c r="AE130" s="8"/>
      <c r="AF130" s="9">
        <v>3</v>
      </c>
      <c r="AI130">
        <v>24</v>
      </c>
    </row>
    <row r="131" spans="1:35" x14ac:dyDescent="0.35">
      <c r="A131" t="s">
        <v>193</v>
      </c>
      <c r="B131" t="s">
        <v>69</v>
      </c>
      <c r="C131" t="s">
        <v>33</v>
      </c>
      <c r="D131" t="s">
        <v>34</v>
      </c>
      <c r="E131" t="s">
        <v>309</v>
      </c>
      <c r="F131" t="s">
        <v>310</v>
      </c>
      <c r="G131" s="20" t="s">
        <v>38</v>
      </c>
      <c r="H131" s="20" t="s">
        <v>39</v>
      </c>
      <c r="I131" t="str">
        <f t="shared" si="4"/>
        <v>Apis mellifera</v>
      </c>
      <c r="J131" t="s">
        <v>70</v>
      </c>
      <c r="K131" t="s">
        <v>332</v>
      </c>
      <c r="L131" s="3" t="s">
        <v>197</v>
      </c>
      <c r="N131">
        <v>824</v>
      </c>
      <c r="O131" t="s">
        <v>155</v>
      </c>
      <c r="P131" t="s">
        <v>154</v>
      </c>
      <c r="Q131" t="s">
        <v>209</v>
      </c>
      <c r="R131" s="3">
        <v>1</v>
      </c>
      <c r="S131" s="14" t="s">
        <v>166</v>
      </c>
      <c r="T131" t="s">
        <v>72</v>
      </c>
      <c r="U131" t="s">
        <v>271</v>
      </c>
      <c r="AD131">
        <v>1</v>
      </c>
      <c r="AE131" s="8"/>
      <c r="AF131" s="3">
        <v>3</v>
      </c>
      <c r="AI131">
        <v>25</v>
      </c>
    </row>
    <row r="132" spans="1:35" x14ac:dyDescent="0.35">
      <c r="A132" t="s">
        <v>193</v>
      </c>
      <c r="B132" t="s">
        <v>69</v>
      </c>
      <c r="C132" t="s">
        <v>33</v>
      </c>
      <c r="D132" t="s">
        <v>34</v>
      </c>
      <c r="E132" t="s">
        <v>309</v>
      </c>
      <c r="F132" t="s">
        <v>310</v>
      </c>
      <c r="G132" s="20" t="s">
        <v>38</v>
      </c>
      <c r="H132" s="20" t="s">
        <v>39</v>
      </c>
      <c r="I132" t="str">
        <f t="shared" si="4"/>
        <v>Apis mellifera</v>
      </c>
      <c r="J132" t="s">
        <v>70</v>
      </c>
      <c r="K132" t="s">
        <v>332</v>
      </c>
      <c r="L132" s="3" t="s">
        <v>197</v>
      </c>
      <c r="N132">
        <v>825</v>
      </c>
      <c r="O132" t="s">
        <v>155</v>
      </c>
      <c r="P132" t="s">
        <v>154</v>
      </c>
      <c r="Q132" t="s">
        <v>209</v>
      </c>
      <c r="R132" s="3">
        <v>1</v>
      </c>
      <c r="S132" s="3" t="s">
        <v>166</v>
      </c>
      <c r="T132" t="s">
        <v>72</v>
      </c>
      <c r="U132" t="s">
        <v>271</v>
      </c>
      <c r="AD132">
        <v>1</v>
      </c>
      <c r="AE132" s="8"/>
      <c r="AF132" s="3">
        <v>1</v>
      </c>
      <c r="AI132">
        <v>26</v>
      </c>
    </row>
    <row r="133" spans="1:35" x14ac:dyDescent="0.35">
      <c r="A133" t="s">
        <v>193</v>
      </c>
      <c r="B133" t="s">
        <v>69</v>
      </c>
      <c r="C133" t="s">
        <v>33</v>
      </c>
      <c r="D133" t="s">
        <v>34</v>
      </c>
      <c r="E133" t="s">
        <v>309</v>
      </c>
      <c r="F133" t="s">
        <v>310</v>
      </c>
      <c r="G133" s="20" t="s">
        <v>38</v>
      </c>
      <c r="H133" s="20" t="s">
        <v>39</v>
      </c>
      <c r="I133" t="str">
        <f t="shared" si="4"/>
        <v>Apis mellifera</v>
      </c>
      <c r="J133" t="s">
        <v>70</v>
      </c>
      <c r="K133" t="s">
        <v>332</v>
      </c>
      <c r="L133" s="3" t="s">
        <v>197</v>
      </c>
      <c r="N133">
        <v>826</v>
      </c>
      <c r="O133" t="s">
        <v>155</v>
      </c>
      <c r="P133" t="s">
        <v>154</v>
      </c>
      <c r="Q133" s="3" t="s">
        <v>209</v>
      </c>
      <c r="R133" s="3">
        <v>1</v>
      </c>
      <c r="S133" s="3" t="s">
        <v>166</v>
      </c>
      <c r="T133" t="s">
        <v>72</v>
      </c>
      <c r="U133" t="s">
        <v>271</v>
      </c>
      <c r="AD133">
        <v>1</v>
      </c>
      <c r="AE133" s="8"/>
      <c r="AF133" s="3">
        <v>1</v>
      </c>
      <c r="AI133">
        <v>28</v>
      </c>
    </row>
    <row r="134" spans="1:35" x14ac:dyDescent="0.35">
      <c r="A134" t="s">
        <v>193</v>
      </c>
      <c r="B134" t="s">
        <v>69</v>
      </c>
      <c r="C134" t="s">
        <v>33</v>
      </c>
      <c r="D134" t="s">
        <v>34</v>
      </c>
      <c r="E134" t="s">
        <v>309</v>
      </c>
      <c r="F134" t="s">
        <v>310</v>
      </c>
      <c r="G134" s="20" t="s">
        <v>38</v>
      </c>
      <c r="H134" s="20" t="s">
        <v>39</v>
      </c>
      <c r="I134" t="str">
        <f t="shared" si="4"/>
        <v>Apis mellifera</v>
      </c>
      <c r="J134" t="s">
        <v>70</v>
      </c>
      <c r="K134" t="s">
        <v>332</v>
      </c>
      <c r="L134" s="3" t="s">
        <v>197</v>
      </c>
      <c r="N134">
        <v>827</v>
      </c>
      <c r="O134" t="s">
        <v>155</v>
      </c>
      <c r="P134" t="s">
        <v>154</v>
      </c>
      <c r="Q134" t="s">
        <v>209</v>
      </c>
      <c r="R134" s="3">
        <v>1</v>
      </c>
      <c r="S134" s="3" t="s">
        <v>166</v>
      </c>
      <c r="T134" t="s">
        <v>72</v>
      </c>
      <c r="U134" t="s">
        <v>271</v>
      </c>
      <c r="AD134">
        <v>1</v>
      </c>
      <c r="AE134" s="8"/>
      <c r="AF134" s="9">
        <v>1</v>
      </c>
      <c r="AI134">
        <v>29</v>
      </c>
    </row>
    <row r="135" spans="1:35" x14ac:dyDescent="0.35">
      <c r="A135" t="s">
        <v>193</v>
      </c>
      <c r="B135" t="s">
        <v>69</v>
      </c>
      <c r="C135" t="s">
        <v>33</v>
      </c>
      <c r="D135" t="s">
        <v>34</v>
      </c>
      <c r="E135" t="s">
        <v>309</v>
      </c>
      <c r="F135" t="s">
        <v>310</v>
      </c>
      <c r="G135" s="20" t="s">
        <v>38</v>
      </c>
      <c r="H135" s="20" t="s">
        <v>39</v>
      </c>
      <c r="I135" t="str">
        <f t="shared" si="4"/>
        <v>Apis mellifera</v>
      </c>
      <c r="J135" t="s">
        <v>70</v>
      </c>
      <c r="K135" t="s">
        <v>332</v>
      </c>
      <c r="L135" s="3" t="s">
        <v>197</v>
      </c>
      <c r="N135">
        <v>828</v>
      </c>
      <c r="O135" t="s">
        <v>155</v>
      </c>
      <c r="P135" t="s">
        <v>154</v>
      </c>
      <c r="Q135" t="s">
        <v>209</v>
      </c>
      <c r="R135" s="3">
        <v>1</v>
      </c>
      <c r="S135" s="3" t="s">
        <v>166</v>
      </c>
      <c r="T135" t="s">
        <v>72</v>
      </c>
      <c r="U135" t="s">
        <v>271</v>
      </c>
      <c r="AD135">
        <v>1</v>
      </c>
      <c r="AE135" s="8"/>
      <c r="AF135" s="3">
        <v>1</v>
      </c>
      <c r="AI135">
        <v>30</v>
      </c>
    </row>
    <row r="136" spans="1:35" x14ac:dyDescent="0.35">
      <c r="A136" t="s">
        <v>193</v>
      </c>
      <c r="B136" t="s">
        <v>69</v>
      </c>
      <c r="C136" t="s">
        <v>33</v>
      </c>
      <c r="D136" t="s">
        <v>34</v>
      </c>
      <c r="E136" t="s">
        <v>309</v>
      </c>
      <c r="F136" t="s">
        <v>310</v>
      </c>
      <c r="G136" s="20" t="s">
        <v>38</v>
      </c>
      <c r="H136" s="20" t="s">
        <v>39</v>
      </c>
      <c r="I136" t="str">
        <f t="shared" si="4"/>
        <v>Apis mellifera</v>
      </c>
      <c r="J136" t="s">
        <v>70</v>
      </c>
      <c r="K136" t="s">
        <v>332</v>
      </c>
      <c r="L136" s="3" t="s">
        <v>197</v>
      </c>
      <c r="N136">
        <v>829</v>
      </c>
      <c r="O136" t="s">
        <v>155</v>
      </c>
      <c r="P136" t="s">
        <v>154</v>
      </c>
      <c r="Q136" t="s">
        <v>209</v>
      </c>
      <c r="R136" s="9">
        <v>1</v>
      </c>
      <c r="S136" s="13" t="s">
        <v>166</v>
      </c>
      <c r="T136" t="s">
        <v>72</v>
      </c>
      <c r="U136" t="s">
        <v>271</v>
      </c>
      <c r="AD136">
        <v>1</v>
      </c>
      <c r="AE136" s="8"/>
      <c r="AF136" s="9">
        <v>1</v>
      </c>
      <c r="AI136">
        <v>32</v>
      </c>
    </row>
    <row r="137" spans="1:35" x14ac:dyDescent="0.35">
      <c r="A137" t="s">
        <v>193</v>
      </c>
      <c r="B137" t="s">
        <v>69</v>
      </c>
      <c r="C137" t="s">
        <v>33</v>
      </c>
      <c r="D137" t="s">
        <v>34</v>
      </c>
      <c r="E137" t="s">
        <v>309</v>
      </c>
      <c r="F137" t="s">
        <v>310</v>
      </c>
      <c r="G137" s="20" t="s">
        <v>38</v>
      </c>
      <c r="H137" s="20" t="s">
        <v>39</v>
      </c>
      <c r="I137" t="str">
        <f t="shared" si="4"/>
        <v>Apis mellifera</v>
      </c>
      <c r="J137" t="s">
        <v>70</v>
      </c>
      <c r="K137" t="s">
        <v>332</v>
      </c>
      <c r="L137" s="3" t="s">
        <v>197</v>
      </c>
      <c r="N137">
        <v>830</v>
      </c>
      <c r="O137" t="s">
        <v>155</v>
      </c>
      <c r="P137" t="s">
        <v>154</v>
      </c>
      <c r="Q137" t="s">
        <v>209</v>
      </c>
      <c r="R137" s="9">
        <v>1</v>
      </c>
      <c r="S137" s="3" t="s">
        <v>166</v>
      </c>
      <c r="T137" t="s">
        <v>72</v>
      </c>
      <c r="U137" t="s">
        <v>271</v>
      </c>
      <c r="AD137">
        <v>1</v>
      </c>
      <c r="AE137" s="8"/>
      <c r="AF137" s="9">
        <v>1</v>
      </c>
      <c r="AI137">
        <v>36</v>
      </c>
    </row>
    <row r="138" spans="1:35" x14ac:dyDescent="0.35">
      <c r="A138" t="s">
        <v>193</v>
      </c>
      <c r="B138" t="s">
        <v>69</v>
      </c>
      <c r="C138" t="s">
        <v>33</v>
      </c>
      <c r="D138" t="s">
        <v>34</v>
      </c>
      <c r="E138" t="s">
        <v>309</v>
      </c>
      <c r="F138" t="s">
        <v>310</v>
      </c>
      <c r="G138" s="20" t="s">
        <v>38</v>
      </c>
      <c r="H138" s="20" t="s">
        <v>39</v>
      </c>
      <c r="I138" t="str">
        <f t="shared" si="4"/>
        <v>Apis mellifera</v>
      </c>
      <c r="J138" t="s">
        <v>70</v>
      </c>
      <c r="K138" t="s">
        <v>332</v>
      </c>
      <c r="L138" s="3" t="s">
        <v>197</v>
      </c>
      <c r="N138">
        <v>831</v>
      </c>
      <c r="O138" t="s">
        <v>155</v>
      </c>
      <c r="P138" t="s">
        <v>222</v>
      </c>
      <c r="Q138" t="s">
        <v>210</v>
      </c>
      <c r="R138" s="9">
        <v>1</v>
      </c>
      <c r="S138" s="3" t="s">
        <v>166</v>
      </c>
      <c r="T138" t="s">
        <v>72</v>
      </c>
      <c r="U138" t="s">
        <v>271</v>
      </c>
      <c r="AD138">
        <v>1</v>
      </c>
      <c r="AE138" s="8"/>
      <c r="AF138" s="9">
        <v>1</v>
      </c>
      <c r="AI138">
        <v>37</v>
      </c>
    </row>
    <row r="139" spans="1:35" x14ac:dyDescent="0.35">
      <c r="A139" t="s">
        <v>193</v>
      </c>
      <c r="B139" t="s">
        <v>69</v>
      </c>
      <c r="C139" t="s">
        <v>33</v>
      </c>
      <c r="D139" t="s">
        <v>34</v>
      </c>
      <c r="E139" t="s">
        <v>309</v>
      </c>
      <c r="F139" t="s">
        <v>310</v>
      </c>
      <c r="G139" s="20" t="s">
        <v>38</v>
      </c>
      <c r="H139" s="20" t="s">
        <v>39</v>
      </c>
      <c r="I139" t="str">
        <f t="shared" si="4"/>
        <v>Apis mellifera</v>
      </c>
      <c r="J139" t="s">
        <v>70</v>
      </c>
      <c r="K139" t="s">
        <v>332</v>
      </c>
      <c r="L139" s="3" t="s">
        <v>197</v>
      </c>
      <c r="N139">
        <v>832</v>
      </c>
      <c r="O139" t="s">
        <v>155</v>
      </c>
      <c r="P139" t="s">
        <v>222</v>
      </c>
      <c r="Q139" t="s">
        <v>211</v>
      </c>
      <c r="R139" s="9">
        <v>1</v>
      </c>
      <c r="S139" t="s">
        <v>166</v>
      </c>
      <c r="T139" t="s">
        <v>72</v>
      </c>
      <c r="U139" t="s">
        <v>271</v>
      </c>
      <c r="AD139">
        <v>1</v>
      </c>
      <c r="AE139" s="8"/>
      <c r="AF139" s="9">
        <v>1</v>
      </c>
      <c r="AI139">
        <v>52</v>
      </c>
    </row>
    <row r="140" spans="1:35" x14ac:dyDescent="0.35">
      <c r="A140" t="s">
        <v>193</v>
      </c>
      <c r="B140" t="s">
        <v>69</v>
      </c>
      <c r="C140" t="s">
        <v>33</v>
      </c>
      <c r="D140" t="s">
        <v>34</v>
      </c>
      <c r="E140" t="s">
        <v>309</v>
      </c>
      <c r="F140" t="s">
        <v>310</v>
      </c>
      <c r="G140" s="20" t="s">
        <v>38</v>
      </c>
      <c r="H140" s="20" t="s">
        <v>39</v>
      </c>
      <c r="I140" t="str">
        <f t="shared" si="4"/>
        <v>Apis mellifera</v>
      </c>
      <c r="J140" t="s">
        <v>70</v>
      </c>
      <c r="K140" t="s">
        <v>332</v>
      </c>
      <c r="L140" t="s">
        <v>197</v>
      </c>
      <c r="N140">
        <v>833</v>
      </c>
      <c r="O140" t="s">
        <v>155</v>
      </c>
      <c r="P140" t="s">
        <v>223</v>
      </c>
      <c r="Q140" s="9" t="s">
        <v>213</v>
      </c>
      <c r="R140">
        <v>1</v>
      </c>
      <c r="S140" t="s">
        <v>166</v>
      </c>
      <c r="T140" t="s">
        <v>72</v>
      </c>
      <c r="U140" t="s">
        <v>271</v>
      </c>
      <c r="AD140">
        <v>1</v>
      </c>
      <c r="AE140" s="8"/>
      <c r="AF140" s="9">
        <v>1</v>
      </c>
      <c r="AI140">
        <v>68</v>
      </c>
    </row>
    <row r="141" spans="1:35" x14ac:dyDescent="0.35">
      <c r="A141" t="s">
        <v>193</v>
      </c>
      <c r="B141" t="s">
        <v>69</v>
      </c>
      <c r="C141" t="s">
        <v>33</v>
      </c>
      <c r="D141" t="s">
        <v>34</v>
      </c>
      <c r="E141" t="s">
        <v>309</v>
      </c>
      <c r="F141" t="s">
        <v>310</v>
      </c>
      <c r="G141" s="20" t="s">
        <v>38</v>
      </c>
      <c r="H141" s="20" t="s">
        <v>39</v>
      </c>
      <c r="I141" t="str">
        <f t="shared" si="4"/>
        <v>Apis mellifera</v>
      </c>
      <c r="J141" t="s">
        <v>70</v>
      </c>
      <c r="K141" t="s">
        <v>332</v>
      </c>
      <c r="L141" t="s">
        <v>197</v>
      </c>
      <c r="N141">
        <v>834</v>
      </c>
      <c r="O141" t="s">
        <v>155</v>
      </c>
      <c r="P141" t="s">
        <v>223</v>
      </c>
      <c r="Q141" s="9" t="s">
        <v>213</v>
      </c>
      <c r="R141">
        <v>1</v>
      </c>
      <c r="S141" t="s">
        <v>166</v>
      </c>
      <c r="T141" t="s">
        <v>72</v>
      </c>
      <c r="U141" t="s">
        <v>271</v>
      </c>
      <c r="AD141">
        <v>1</v>
      </c>
      <c r="AE141" s="8"/>
      <c r="AF141" s="9">
        <v>1</v>
      </c>
      <c r="AI141">
        <v>69</v>
      </c>
    </row>
    <row r="142" spans="1:35" x14ac:dyDescent="0.35">
      <c r="A142" t="s">
        <v>193</v>
      </c>
      <c r="B142" t="s">
        <v>69</v>
      </c>
      <c r="C142" t="s">
        <v>33</v>
      </c>
      <c r="D142" t="s">
        <v>34</v>
      </c>
      <c r="E142" t="s">
        <v>309</v>
      </c>
      <c r="F142" t="s">
        <v>310</v>
      </c>
      <c r="G142" s="20" t="s">
        <v>38</v>
      </c>
      <c r="H142" s="20" t="s">
        <v>39</v>
      </c>
      <c r="I142" t="str">
        <f t="shared" si="4"/>
        <v>Apis mellifera</v>
      </c>
      <c r="J142" t="s">
        <v>70</v>
      </c>
      <c r="K142" t="s">
        <v>332</v>
      </c>
      <c r="L142" t="s">
        <v>197</v>
      </c>
      <c r="N142">
        <v>835</v>
      </c>
      <c r="O142" t="s">
        <v>155</v>
      </c>
      <c r="P142" t="s">
        <v>223</v>
      </c>
      <c r="Q142" s="9" t="s">
        <v>213</v>
      </c>
      <c r="R142">
        <v>1</v>
      </c>
      <c r="S142" t="s">
        <v>166</v>
      </c>
      <c r="T142" t="s">
        <v>72</v>
      </c>
      <c r="U142" t="s">
        <v>271</v>
      </c>
      <c r="AD142">
        <v>1</v>
      </c>
      <c r="AE142" s="8"/>
      <c r="AF142" s="18">
        <v>3</v>
      </c>
      <c r="AI142">
        <v>75</v>
      </c>
    </row>
    <row r="143" spans="1:35" x14ac:dyDescent="0.35">
      <c r="A143" t="s">
        <v>193</v>
      </c>
      <c r="B143" t="s">
        <v>69</v>
      </c>
      <c r="C143" t="s">
        <v>33</v>
      </c>
      <c r="D143" t="s">
        <v>34</v>
      </c>
      <c r="E143" t="s">
        <v>309</v>
      </c>
      <c r="F143" t="s">
        <v>310</v>
      </c>
      <c r="G143" s="20" t="s">
        <v>38</v>
      </c>
      <c r="H143" s="20" t="s">
        <v>39</v>
      </c>
      <c r="I143" t="str">
        <f t="shared" si="4"/>
        <v>Apis mellifera</v>
      </c>
      <c r="J143" t="s">
        <v>70</v>
      </c>
      <c r="K143" t="s">
        <v>332</v>
      </c>
      <c r="L143" t="s">
        <v>197</v>
      </c>
      <c r="N143">
        <v>836</v>
      </c>
      <c r="O143" t="s">
        <v>155</v>
      </c>
      <c r="P143" t="s">
        <v>223</v>
      </c>
      <c r="Q143" s="9" t="s">
        <v>213</v>
      </c>
      <c r="R143">
        <v>1</v>
      </c>
      <c r="S143" t="s">
        <v>166</v>
      </c>
      <c r="T143" t="s">
        <v>72</v>
      </c>
      <c r="U143" t="s">
        <v>271</v>
      </c>
      <c r="AD143">
        <v>1</v>
      </c>
      <c r="AE143" s="8"/>
      <c r="AF143" s="18">
        <v>3</v>
      </c>
      <c r="AI143">
        <v>77</v>
      </c>
    </row>
    <row r="144" spans="1:35" x14ac:dyDescent="0.35">
      <c r="A144" t="s">
        <v>193</v>
      </c>
      <c r="B144" t="s">
        <v>69</v>
      </c>
      <c r="C144" t="s">
        <v>33</v>
      </c>
      <c r="D144" t="s">
        <v>34</v>
      </c>
      <c r="E144" t="s">
        <v>309</v>
      </c>
      <c r="F144" t="s">
        <v>310</v>
      </c>
      <c r="G144" s="20" t="s">
        <v>38</v>
      </c>
      <c r="H144" s="20" t="s">
        <v>39</v>
      </c>
      <c r="I144" t="str">
        <f t="shared" si="4"/>
        <v>Apis mellifera</v>
      </c>
      <c r="J144" t="s">
        <v>70</v>
      </c>
      <c r="K144" t="s">
        <v>332</v>
      </c>
      <c r="L144" t="s">
        <v>197</v>
      </c>
      <c r="N144">
        <v>837</v>
      </c>
      <c r="O144" t="s">
        <v>155</v>
      </c>
      <c r="P144" t="s">
        <v>154</v>
      </c>
      <c r="Q144" t="s">
        <v>214</v>
      </c>
      <c r="R144">
        <v>1</v>
      </c>
      <c r="S144" t="s">
        <v>166</v>
      </c>
      <c r="T144" t="s">
        <v>72</v>
      </c>
      <c r="U144" t="s">
        <v>271</v>
      </c>
      <c r="AD144">
        <v>1</v>
      </c>
      <c r="AE144" s="8"/>
      <c r="AF144" s="18">
        <v>1</v>
      </c>
      <c r="AI144">
        <v>80</v>
      </c>
    </row>
    <row r="145" spans="1:35" x14ac:dyDescent="0.35">
      <c r="A145" t="s">
        <v>193</v>
      </c>
      <c r="B145" t="s">
        <v>69</v>
      </c>
      <c r="C145" t="s">
        <v>33</v>
      </c>
      <c r="D145" t="s">
        <v>34</v>
      </c>
      <c r="E145" t="s">
        <v>309</v>
      </c>
      <c r="F145" t="s">
        <v>310</v>
      </c>
      <c r="G145" s="20" t="s">
        <v>38</v>
      </c>
      <c r="H145" s="20" t="s">
        <v>39</v>
      </c>
      <c r="I145" t="str">
        <f t="shared" si="4"/>
        <v>Apis mellifera</v>
      </c>
      <c r="J145" t="s">
        <v>70</v>
      </c>
      <c r="K145" t="s">
        <v>332</v>
      </c>
      <c r="L145" t="s">
        <v>197</v>
      </c>
      <c r="N145">
        <v>838</v>
      </c>
      <c r="O145" t="s">
        <v>155</v>
      </c>
      <c r="P145" t="s">
        <v>154</v>
      </c>
      <c r="Q145" t="s">
        <v>214</v>
      </c>
      <c r="R145">
        <v>1</v>
      </c>
      <c r="S145" t="s">
        <v>166</v>
      </c>
      <c r="T145" t="s">
        <v>72</v>
      </c>
      <c r="U145" t="s">
        <v>271</v>
      </c>
      <c r="AD145">
        <v>1</v>
      </c>
      <c r="AE145" s="8"/>
      <c r="AF145" s="18">
        <v>1</v>
      </c>
      <c r="AI145">
        <v>81</v>
      </c>
    </row>
    <row r="146" spans="1:35" x14ac:dyDescent="0.35">
      <c r="A146" t="s">
        <v>193</v>
      </c>
      <c r="B146" t="s">
        <v>69</v>
      </c>
      <c r="C146" t="s">
        <v>33</v>
      </c>
      <c r="D146" t="s">
        <v>34</v>
      </c>
      <c r="E146" t="s">
        <v>309</v>
      </c>
      <c r="F146" t="s">
        <v>310</v>
      </c>
      <c r="G146" s="20" t="s">
        <v>38</v>
      </c>
      <c r="H146" s="20" t="s">
        <v>39</v>
      </c>
      <c r="I146" t="str">
        <f t="shared" si="4"/>
        <v>Apis mellifera</v>
      </c>
      <c r="J146" t="s">
        <v>70</v>
      </c>
      <c r="K146" t="s">
        <v>332</v>
      </c>
      <c r="L146" t="s">
        <v>197</v>
      </c>
      <c r="N146">
        <v>839</v>
      </c>
      <c r="O146" t="s">
        <v>155</v>
      </c>
      <c r="P146" t="s">
        <v>154</v>
      </c>
      <c r="Q146" t="s">
        <v>214</v>
      </c>
      <c r="R146">
        <v>1</v>
      </c>
      <c r="S146" t="s">
        <v>166</v>
      </c>
      <c r="T146" t="s">
        <v>72</v>
      </c>
      <c r="U146" t="s">
        <v>271</v>
      </c>
      <c r="AD146">
        <v>1</v>
      </c>
      <c r="AE146" s="8"/>
      <c r="AF146" s="18">
        <v>1</v>
      </c>
      <c r="AI146">
        <v>85</v>
      </c>
    </row>
    <row r="147" spans="1:35" x14ac:dyDescent="0.35">
      <c r="A147" t="s">
        <v>193</v>
      </c>
      <c r="B147" t="s">
        <v>69</v>
      </c>
      <c r="C147" t="s">
        <v>33</v>
      </c>
      <c r="D147" t="s">
        <v>34</v>
      </c>
      <c r="E147" t="s">
        <v>309</v>
      </c>
      <c r="F147" t="s">
        <v>310</v>
      </c>
      <c r="G147" s="20" t="s">
        <v>38</v>
      </c>
      <c r="H147" s="20" t="s">
        <v>39</v>
      </c>
      <c r="I147" t="str">
        <f t="shared" si="4"/>
        <v>Apis mellifera</v>
      </c>
      <c r="J147" t="s">
        <v>70</v>
      </c>
      <c r="K147" t="s">
        <v>332</v>
      </c>
      <c r="L147" t="s">
        <v>197</v>
      </c>
      <c r="N147">
        <v>840</v>
      </c>
      <c r="O147" t="s">
        <v>155</v>
      </c>
      <c r="P147" t="s">
        <v>154</v>
      </c>
      <c r="Q147" t="s">
        <v>214</v>
      </c>
      <c r="R147">
        <v>1</v>
      </c>
      <c r="S147" t="s">
        <v>166</v>
      </c>
      <c r="T147" t="s">
        <v>72</v>
      </c>
      <c r="U147" t="s">
        <v>271</v>
      </c>
      <c r="AD147">
        <v>1</v>
      </c>
      <c r="AE147" s="8"/>
      <c r="AF147" s="18">
        <v>1</v>
      </c>
      <c r="AI147">
        <v>86</v>
      </c>
    </row>
    <row r="148" spans="1:35" x14ac:dyDescent="0.35">
      <c r="A148" t="s">
        <v>193</v>
      </c>
      <c r="B148" t="s">
        <v>69</v>
      </c>
      <c r="C148" t="s">
        <v>33</v>
      </c>
      <c r="D148" t="s">
        <v>34</v>
      </c>
      <c r="E148" t="s">
        <v>309</v>
      </c>
      <c r="F148" t="s">
        <v>310</v>
      </c>
      <c r="G148" s="20" t="s">
        <v>38</v>
      </c>
      <c r="H148" s="20" t="s">
        <v>39</v>
      </c>
      <c r="I148" t="str">
        <f t="shared" si="4"/>
        <v>Apis mellifera</v>
      </c>
      <c r="J148" t="s">
        <v>70</v>
      </c>
      <c r="K148" t="s">
        <v>332</v>
      </c>
      <c r="L148" t="s">
        <v>197</v>
      </c>
      <c r="N148">
        <v>841</v>
      </c>
      <c r="O148" t="s">
        <v>155</v>
      </c>
      <c r="P148" t="s">
        <v>154</v>
      </c>
      <c r="Q148" t="s">
        <v>214</v>
      </c>
      <c r="R148">
        <v>1</v>
      </c>
      <c r="S148" t="s">
        <v>166</v>
      </c>
      <c r="T148" t="s">
        <v>72</v>
      </c>
      <c r="U148" t="s">
        <v>271</v>
      </c>
      <c r="AD148">
        <v>1</v>
      </c>
      <c r="AE148" s="8"/>
      <c r="AF148" s="18">
        <v>1</v>
      </c>
      <c r="AI148">
        <v>87</v>
      </c>
    </row>
    <row r="149" spans="1:35" x14ac:dyDescent="0.35">
      <c r="A149" t="s">
        <v>193</v>
      </c>
      <c r="B149" t="s">
        <v>69</v>
      </c>
      <c r="C149" t="s">
        <v>33</v>
      </c>
      <c r="D149" t="s">
        <v>34</v>
      </c>
      <c r="E149" t="s">
        <v>309</v>
      </c>
      <c r="F149" t="s">
        <v>310</v>
      </c>
      <c r="G149" s="20" t="s">
        <v>38</v>
      </c>
      <c r="H149" s="20" t="s">
        <v>39</v>
      </c>
      <c r="I149" t="str">
        <f t="shared" si="4"/>
        <v>Apis mellifera</v>
      </c>
      <c r="J149" t="s">
        <v>70</v>
      </c>
      <c r="K149" t="s">
        <v>332</v>
      </c>
      <c r="L149" t="s">
        <v>197</v>
      </c>
      <c r="N149">
        <v>842</v>
      </c>
      <c r="O149" t="s">
        <v>155</v>
      </c>
      <c r="P149" t="s">
        <v>154</v>
      </c>
      <c r="Q149" t="s">
        <v>214</v>
      </c>
      <c r="R149">
        <v>1</v>
      </c>
      <c r="S149" t="s">
        <v>166</v>
      </c>
      <c r="T149" t="s">
        <v>72</v>
      </c>
      <c r="U149" t="s">
        <v>271</v>
      </c>
      <c r="AD149">
        <v>1</v>
      </c>
      <c r="AE149" s="8"/>
      <c r="AF149" s="18">
        <v>1</v>
      </c>
      <c r="AI149">
        <v>88</v>
      </c>
    </row>
    <row r="150" spans="1:35" x14ac:dyDescent="0.35">
      <c r="A150" t="s">
        <v>193</v>
      </c>
      <c r="B150" t="s">
        <v>69</v>
      </c>
      <c r="C150" t="s">
        <v>33</v>
      </c>
      <c r="D150" t="s">
        <v>34</v>
      </c>
      <c r="E150" t="s">
        <v>309</v>
      </c>
      <c r="F150" t="s">
        <v>310</v>
      </c>
      <c r="G150" s="20" t="s">
        <v>38</v>
      </c>
      <c r="H150" s="20" t="s">
        <v>39</v>
      </c>
      <c r="I150" t="str">
        <f t="shared" si="4"/>
        <v>Apis mellifera</v>
      </c>
      <c r="J150" t="s">
        <v>70</v>
      </c>
      <c r="K150" t="s">
        <v>332</v>
      </c>
      <c r="L150" t="s">
        <v>197</v>
      </c>
      <c r="N150">
        <v>843</v>
      </c>
      <c r="O150" t="s">
        <v>155</v>
      </c>
      <c r="P150" t="s">
        <v>154</v>
      </c>
      <c r="Q150" t="s">
        <v>214</v>
      </c>
      <c r="R150">
        <v>1</v>
      </c>
      <c r="S150" t="s">
        <v>166</v>
      </c>
      <c r="T150" t="s">
        <v>72</v>
      </c>
      <c r="U150" t="s">
        <v>271</v>
      </c>
      <c r="AD150">
        <v>1</v>
      </c>
      <c r="AE150" s="8"/>
      <c r="AF150" s="18">
        <v>1</v>
      </c>
      <c r="AI150">
        <v>91</v>
      </c>
    </row>
    <row r="151" spans="1:35" x14ac:dyDescent="0.35">
      <c r="A151" t="s">
        <v>193</v>
      </c>
      <c r="B151" t="s">
        <v>69</v>
      </c>
      <c r="C151" t="s">
        <v>33</v>
      </c>
      <c r="D151" t="s">
        <v>34</v>
      </c>
      <c r="E151" t="s">
        <v>309</v>
      </c>
      <c r="F151" t="s">
        <v>310</v>
      </c>
      <c r="G151" s="20" t="s">
        <v>38</v>
      </c>
      <c r="H151" s="20" t="s">
        <v>39</v>
      </c>
      <c r="I151" t="str">
        <f t="shared" si="4"/>
        <v>Apis mellifera</v>
      </c>
      <c r="J151" t="s">
        <v>70</v>
      </c>
      <c r="K151" t="s">
        <v>332</v>
      </c>
      <c r="L151" t="s">
        <v>197</v>
      </c>
      <c r="N151">
        <v>844</v>
      </c>
      <c r="O151" t="s">
        <v>155</v>
      </c>
      <c r="P151" t="s">
        <v>154</v>
      </c>
      <c r="Q151" t="s">
        <v>214</v>
      </c>
      <c r="R151">
        <v>1</v>
      </c>
      <c r="S151" t="s">
        <v>166</v>
      </c>
      <c r="T151" t="s">
        <v>72</v>
      </c>
      <c r="U151" t="s">
        <v>271</v>
      </c>
      <c r="AD151">
        <v>1</v>
      </c>
      <c r="AE151" s="8"/>
      <c r="AF151" s="18">
        <v>1</v>
      </c>
      <c r="AI151">
        <v>94</v>
      </c>
    </row>
    <row r="152" spans="1:35" x14ac:dyDescent="0.35">
      <c r="A152" t="s">
        <v>193</v>
      </c>
      <c r="B152" t="s">
        <v>69</v>
      </c>
      <c r="C152" t="s">
        <v>33</v>
      </c>
      <c r="D152" t="s">
        <v>34</v>
      </c>
      <c r="E152" t="s">
        <v>309</v>
      </c>
      <c r="F152" t="s">
        <v>310</v>
      </c>
      <c r="G152" s="20" t="s">
        <v>38</v>
      </c>
      <c r="H152" s="20" t="s">
        <v>39</v>
      </c>
      <c r="I152" t="str">
        <f t="shared" si="4"/>
        <v>Apis mellifera</v>
      </c>
      <c r="J152" t="s">
        <v>70</v>
      </c>
      <c r="K152" t="s">
        <v>332</v>
      </c>
      <c r="L152" t="s">
        <v>197</v>
      </c>
      <c r="N152">
        <v>845</v>
      </c>
      <c r="O152" t="s">
        <v>155</v>
      </c>
      <c r="P152" t="s">
        <v>154</v>
      </c>
      <c r="Q152" t="s">
        <v>214</v>
      </c>
      <c r="R152">
        <v>1</v>
      </c>
      <c r="S152" t="s">
        <v>166</v>
      </c>
      <c r="T152" t="s">
        <v>72</v>
      </c>
      <c r="U152" t="s">
        <v>271</v>
      </c>
      <c r="AD152">
        <v>1</v>
      </c>
      <c r="AE152" s="8"/>
      <c r="AF152" s="18">
        <v>1</v>
      </c>
      <c r="AI152">
        <v>95</v>
      </c>
    </row>
    <row r="153" spans="1:35" x14ac:dyDescent="0.35">
      <c r="A153" t="s">
        <v>193</v>
      </c>
      <c r="B153" t="s">
        <v>69</v>
      </c>
      <c r="C153" t="s">
        <v>33</v>
      </c>
      <c r="D153" t="s">
        <v>34</v>
      </c>
      <c r="E153" t="s">
        <v>309</v>
      </c>
      <c r="F153" t="s">
        <v>310</v>
      </c>
      <c r="G153" s="20" t="s">
        <v>38</v>
      </c>
      <c r="H153" s="20" t="s">
        <v>39</v>
      </c>
      <c r="I153" t="str">
        <f t="shared" si="4"/>
        <v>Apis mellifera</v>
      </c>
      <c r="J153" t="s">
        <v>70</v>
      </c>
      <c r="K153" t="s">
        <v>332</v>
      </c>
      <c r="L153" t="s">
        <v>197</v>
      </c>
      <c r="N153">
        <v>846</v>
      </c>
      <c r="O153" t="s">
        <v>155</v>
      </c>
      <c r="P153" t="s">
        <v>154</v>
      </c>
      <c r="Q153" t="s">
        <v>214</v>
      </c>
      <c r="R153">
        <v>1</v>
      </c>
      <c r="S153" t="s">
        <v>166</v>
      </c>
      <c r="T153" t="s">
        <v>72</v>
      </c>
      <c r="U153" t="s">
        <v>271</v>
      </c>
      <c r="AD153">
        <v>1</v>
      </c>
      <c r="AE153" s="8"/>
      <c r="AF153" s="18">
        <v>1</v>
      </c>
      <c r="AI153">
        <v>96</v>
      </c>
    </row>
    <row r="154" spans="1:35" x14ac:dyDescent="0.35">
      <c r="A154" t="s">
        <v>193</v>
      </c>
      <c r="B154" t="s">
        <v>69</v>
      </c>
      <c r="C154" t="s">
        <v>33</v>
      </c>
      <c r="D154" t="s">
        <v>34</v>
      </c>
      <c r="E154" t="s">
        <v>309</v>
      </c>
      <c r="F154" t="s">
        <v>310</v>
      </c>
      <c r="G154" s="20" t="s">
        <v>38</v>
      </c>
      <c r="H154" s="20" t="s">
        <v>39</v>
      </c>
      <c r="I154" t="str">
        <f t="shared" si="4"/>
        <v>Apis mellifera</v>
      </c>
      <c r="J154" t="s">
        <v>70</v>
      </c>
      <c r="K154" t="s">
        <v>332</v>
      </c>
      <c r="L154" t="s">
        <v>197</v>
      </c>
      <c r="N154">
        <v>847</v>
      </c>
      <c r="O154" t="s">
        <v>155</v>
      </c>
      <c r="P154" t="s">
        <v>154</v>
      </c>
      <c r="Q154" t="s">
        <v>214</v>
      </c>
      <c r="R154">
        <v>1</v>
      </c>
      <c r="S154" t="s">
        <v>166</v>
      </c>
      <c r="T154" t="s">
        <v>72</v>
      </c>
      <c r="U154" t="s">
        <v>271</v>
      </c>
      <c r="AD154">
        <v>1</v>
      </c>
      <c r="AE154" s="8"/>
      <c r="AF154" s="18">
        <v>1</v>
      </c>
      <c r="AI154">
        <v>98</v>
      </c>
    </row>
    <row r="155" spans="1:35" x14ac:dyDescent="0.35">
      <c r="A155" t="s">
        <v>193</v>
      </c>
      <c r="B155" t="s">
        <v>69</v>
      </c>
      <c r="C155" t="s">
        <v>33</v>
      </c>
      <c r="D155" t="s">
        <v>34</v>
      </c>
      <c r="E155" t="s">
        <v>309</v>
      </c>
      <c r="F155" t="s">
        <v>310</v>
      </c>
      <c r="G155" s="20" t="s">
        <v>38</v>
      </c>
      <c r="H155" s="20" t="s">
        <v>39</v>
      </c>
      <c r="I155" t="str">
        <f t="shared" si="4"/>
        <v>Apis mellifera</v>
      </c>
      <c r="J155" t="s">
        <v>70</v>
      </c>
      <c r="K155" t="s">
        <v>332</v>
      </c>
      <c r="L155" t="s">
        <v>197</v>
      </c>
      <c r="N155">
        <v>848</v>
      </c>
      <c r="O155" t="s">
        <v>155</v>
      </c>
      <c r="P155" t="s">
        <v>154</v>
      </c>
      <c r="Q155" t="s">
        <v>214</v>
      </c>
      <c r="R155">
        <v>1</v>
      </c>
      <c r="S155" t="s">
        <v>166</v>
      </c>
      <c r="T155" t="s">
        <v>72</v>
      </c>
      <c r="U155" t="s">
        <v>271</v>
      </c>
      <c r="AD155">
        <v>1</v>
      </c>
      <c r="AE155" s="8"/>
      <c r="AF155" s="18">
        <v>1</v>
      </c>
      <c r="AI155">
        <v>99</v>
      </c>
    </row>
    <row r="156" spans="1:35" x14ac:dyDescent="0.35">
      <c r="A156" t="s">
        <v>193</v>
      </c>
      <c r="B156" t="s">
        <v>69</v>
      </c>
      <c r="C156" t="s">
        <v>33</v>
      </c>
      <c r="D156" t="s">
        <v>34</v>
      </c>
      <c r="E156" t="s">
        <v>309</v>
      </c>
      <c r="F156" t="s">
        <v>310</v>
      </c>
      <c r="G156" s="20" t="s">
        <v>38</v>
      </c>
      <c r="H156" s="20" t="s">
        <v>39</v>
      </c>
      <c r="I156" t="str">
        <f t="shared" si="4"/>
        <v>Apis mellifera</v>
      </c>
      <c r="J156" t="s">
        <v>70</v>
      </c>
      <c r="K156" t="s">
        <v>332</v>
      </c>
      <c r="L156" t="s">
        <v>197</v>
      </c>
      <c r="N156">
        <v>849</v>
      </c>
      <c r="O156" t="s">
        <v>155</v>
      </c>
      <c r="P156" t="s">
        <v>154</v>
      </c>
      <c r="Q156" t="s">
        <v>214</v>
      </c>
      <c r="R156">
        <v>1</v>
      </c>
      <c r="S156" t="s">
        <v>166</v>
      </c>
      <c r="T156" t="s">
        <v>72</v>
      </c>
      <c r="U156" t="s">
        <v>271</v>
      </c>
      <c r="AD156">
        <v>1</v>
      </c>
      <c r="AE156" s="8"/>
      <c r="AF156" s="18">
        <v>1</v>
      </c>
      <c r="AI156">
        <v>100</v>
      </c>
    </row>
    <row r="157" spans="1:35" x14ac:dyDescent="0.35">
      <c r="A157" t="s">
        <v>193</v>
      </c>
      <c r="B157" t="s">
        <v>69</v>
      </c>
      <c r="C157" t="s">
        <v>33</v>
      </c>
      <c r="D157" t="s">
        <v>34</v>
      </c>
      <c r="E157" t="s">
        <v>309</v>
      </c>
      <c r="F157" t="s">
        <v>310</v>
      </c>
      <c r="G157" s="20" t="s">
        <v>38</v>
      </c>
      <c r="H157" s="20" t="s">
        <v>39</v>
      </c>
      <c r="I157" t="str">
        <f t="shared" si="4"/>
        <v>Apis mellifera</v>
      </c>
      <c r="J157" t="s">
        <v>70</v>
      </c>
      <c r="K157" t="s">
        <v>332</v>
      </c>
      <c r="L157" t="s">
        <v>197</v>
      </c>
      <c r="N157">
        <v>850</v>
      </c>
      <c r="O157" t="s">
        <v>155</v>
      </c>
      <c r="P157" t="s">
        <v>154</v>
      </c>
      <c r="Q157" t="s">
        <v>214</v>
      </c>
      <c r="R157">
        <v>1</v>
      </c>
      <c r="S157" t="s">
        <v>166</v>
      </c>
      <c r="T157" t="s">
        <v>72</v>
      </c>
      <c r="U157" t="s">
        <v>271</v>
      </c>
      <c r="AD157">
        <v>1</v>
      </c>
      <c r="AE157" s="8"/>
      <c r="AF157" s="18">
        <v>1</v>
      </c>
      <c r="AI157">
        <v>102</v>
      </c>
    </row>
    <row r="158" spans="1:35" x14ac:dyDescent="0.35">
      <c r="A158" t="s">
        <v>193</v>
      </c>
      <c r="B158" t="s">
        <v>69</v>
      </c>
      <c r="C158" t="s">
        <v>33</v>
      </c>
      <c r="D158" t="s">
        <v>34</v>
      </c>
      <c r="E158" t="s">
        <v>309</v>
      </c>
      <c r="F158" t="s">
        <v>310</v>
      </c>
      <c r="G158" s="20" t="s">
        <v>38</v>
      </c>
      <c r="H158" s="20" t="s">
        <v>39</v>
      </c>
      <c r="I158" t="str">
        <f t="shared" si="4"/>
        <v>Apis mellifera</v>
      </c>
      <c r="J158" t="s">
        <v>70</v>
      </c>
      <c r="K158" t="s">
        <v>332</v>
      </c>
      <c r="L158" t="s">
        <v>197</v>
      </c>
      <c r="N158">
        <v>851</v>
      </c>
      <c r="O158" t="s">
        <v>155</v>
      </c>
      <c r="P158" t="s">
        <v>154</v>
      </c>
      <c r="Q158" t="s">
        <v>214</v>
      </c>
      <c r="R158">
        <v>1</v>
      </c>
      <c r="S158" t="s">
        <v>166</v>
      </c>
      <c r="T158" t="s">
        <v>72</v>
      </c>
      <c r="U158" t="s">
        <v>271</v>
      </c>
      <c r="AD158">
        <v>1</v>
      </c>
      <c r="AE158" s="8"/>
      <c r="AF158" s="18">
        <v>1</v>
      </c>
      <c r="AI158">
        <v>103</v>
      </c>
    </row>
    <row r="159" spans="1:35" x14ac:dyDescent="0.35">
      <c r="A159" t="s">
        <v>193</v>
      </c>
      <c r="B159" t="s">
        <v>69</v>
      </c>
      <c r="C159" t="s">
        <v>33</v>
      </c>
      <c r="D159" t="s">
        <v>34</v>
      </c>
      <c r="E159" t="s">
        <v>309</v>
      </c>
      <c r="F159" t="s">
        <v>310</v>
      </c>
      <c r="G159" s="20" t="s">
        <v>38</v>
      </c>
      <c r="H159" s="20" t="s">
        <v>39</v>
      </c>
      <c r="I159" t="str">
        <f t="shared" si="4"/>
        <v>Apis mellifera</v>
      </c>
      <c r="J159" t="s">
        <v>70</v>
      </c>
      <c r="K159" t="s">
        <v>332</v>
      </c>
      <c r="L159" t="s">
        <v>197</v>
      </c>
      <c r="N159">
        <v>852</v>
      </c>
      <c r="O159" t="s">
        <v>155</v>
      </c>
      <c r="P159" t="s">
        <v>154</v>
      </c>
      <c r="Q159" t="s">
        <v>214</v>
      </c>
      <c r="R159">
        <v>1</v>
      </c>
      <c r="S159" t="s">
        <v>166</v>
      </c>
      <c r="T159" t="s">
        <v>72</v>
      </c>
      <c r="U159" t="s">
        <v>271</v>
      </c>
      <c r="AD159">
        <v>1</v>
      </c>
      <c r="AE159" s="8"/>
      <c r="AF159" s="18">
        <v>1</v>
      </c>
      <c r="AI159">
        <v>104</v>
      </c>
    </row>
    <row r="160" spans="1:35" x14ac:dyDescent="0.35">
      <c r="A160" t="s">
        <v>193</v>
      </c>
      <c r="B160" t="s">
        <v>69</v>
      </c>
      <c r="C160" t="s">
        <v>33</v>
      </c>
      <c r="D160" t="s">
        <v>34</v>
      </c>
      <c r="E160" t="s">
        <v>309</v>
      </c>
      <c r="F160" t="s">
        <v>310</v>
      </c>
      <c r="G160" s="20" t="s">
        <v>38</v>
      </c>
      <c r="H160" s="20" t="s">
        <v>39</v>
      </c>
      <c r="I160" t="str">
        <f t="shared" si="4"/>
        <v>Apis mellifera</v>
      </c>
      <c r="J160" t="s">
        <v>70</v>
      </c>
      <c r="K160" t="s">
        <v>332</v>
      </c>
      <c r="L160" t="s">
        <v>197</v>
      </c>
      <c r="N160">
        <v>853</v>
      </c>
      <c r="O160" t="s">
        <v>155</v>
      </c>
      <c r="P160" t="s">
        <v>154</v>
      </c>
      <c r="Q160" t="s">
        <v>214</v>
      </c>
      <c r="R160">
        <v>1</v>
      </c>
      <c r="S160" t="s">
        <v>166</v>
      </c>
      <c r="T160" t="s">
        <v>72</v>
      </c>
      <c r="U160" t="s">
        <v>271</v>
      </c>
      <c r="AD160">
        <v>1</v>
      </c>
      <c r="AE160" s="8"/>
      <c r="AF160" s="18">
        <v>1</v>
      </c>
      <c r="AI160">
        <v>108</v>
      </c>
    </row>
    <row r="161" spans="1:35" x14ac:dyDescent="0.35">
      <c r="A161" t="s">
        <v>193</v>
      </c>
      <c r="B161" t="s">
        <v>69</v>
      </c>
      <c r="C161" t="s">
        <v>33</v>
      </c>
      <c r="D161" t="s">
        <v>34</v>
      </c>
      <c r="E161" t="s">
        <v>309</v>
      </c>
      <c r="F161" t="s">
        <v>310</v>
      </c>
      <c r="G161" s="20" t="s">
        <v>38</v>
      </c>
      <c r="H161" s="20" t="s">
        <v>39</v>
      </c>
      <c r="I161" t="str">
        <f t="shared" si="4"/>
        <v>Apis mellifera</v>
      </c>
      <c r="J161" t="s">
        <v>70</v>
      </c>
      <c r="K161" t="s">
        <v>332</v>
      </c>
      <c r="L161" t="s">
        <v>197</v>
      </c>
      <c r="N161">
        <v>854</v>
      </c>
      <c r="O161" t="s">
        <v>155</v>
      </c>
      <c r="P161" t="s">
        <v>154</v>
      </c>
      <c r="Q161" t="s">
        <v>214</v>
      </c>
      <c r="R161">
        <v>0</v>
      </c>
      <c r="S161" t="s">
        <v>166</v>
      </c>
      <c r="T161" t="s">
        <v>72</v>
      </c>
      <c r="U161" t="s">
        <v>271</v>
      </c>
      <c r="AF161" s="18">
        <v>1</v>
      </c>
      <c r="AI161">
        <v>110</v>
      </c>
    </row>
    <row r="162" spans="1:35" x14ac:dyDescent="0.35">
      <c r="A162" t="s">
        <v>193</v>
      </c>
      <c r="B162" t="s">
        <v>69</v>
      </c>
      <c r="C162" t="s">
        <v>33</v>
      </c>
      <c r="D162" t="s">
        <v>34</v>
      </c>
      <c r="E162" t="s">
        <v>309</v>
      </c>
      <c r="F162" t="s">
        <v>310</v>
      </c>
      <c r="G162" s="20" t="s">
        <v>38</v>
      </c>
      <c r="H162" s="20" t="s">
        <v>39</v>
      </c>
      <c r="I162" t="str">
        <f t="shared" si="4"/>
        <v>Apis mellifera</v>
      </c>
      <c r="J162" t="s">
        <v>70</v>
      </c>
      <c r="K162" t="s">
        <v>332</v>
      </c>
      <c r="L162" t="s">
        <v>197</v>
      </c>
      <c r="N162">
        <v>855</v>
      </c>
      <c r="O162" t="s">
        <v>155</v>
      </c>
      <c r="P162" t="s">
        <v>154</v>
      </c>
      <c r="Q162" t="s">
        <v>214</v>
      </c>
      <c r="R162">
        <v>1</v>
      </c>
      <c r="S162" t="s">
        <v>166</v>
      </c>
      <c r="T162" t="s">
        <v>72</v>
      </c>
      <c r="U162" t="s">
        <v>271</v>
      </c>
      <c r="AD162">
        <v>1</v>
      </c>
      <c r="AI162">
        <v>112</v>
      </c>
    </row>
    <row r="163" spans="1:35" x14ac:dyDescent="0.35">
      <c r="A163" t="s">
        <v>193</v>
      </c>
      <c r="B163" t="s">
        <v>69</v>
      </c>
      <c r="C163" t="s">
        <v>33</v>
      </c>
      <c r="D163" t="s">
        <v>34</v>
      </c>
      <c r="E163" t="s">
        <v>309</v>
      </c>
      <c r="F163" t="s">
        <v>310</v>
      </c>
      <c r="G163" s="20" t="s">
        <v>38</v>
      </c>
      <c r="H163" s="20" t="s">
        <v>39</v>
      </c>
      <c r="I163" t="str">
        <f t="shared" si="4"/>
        <v>Apis mellifera</v>
      </c>
      <c r="J163" t="s">
        <v>70</v>
      </c>
      <c r="K163" t="s">
        <v>332</v>
      </c>
      <c r="L163" t="s">
        <v>197</v>
      </c>
      <c r="N163">
        <v>856</v>
      </c>
      <c r="O163" t="s">
        <v>155</v>
      </c>
      <c r="P163" t="s">
        <v>154</v>
      </c>
      <c r="Q163" t="s">
        <v>214</v>
      </c>
      <c r="R163">
        <v>1</v>
      </c>
      <c r="S163" t="s">
        <v>166</v>
      </c>
      <c r="T163" t="s">
        <v>72</v>
      </c>
      <c r="U163" t="s">
        <v>271</v>
      </c>
      <c r="AD163">
        <v>1</v>
      </c>
      <c r="AI163">
        <v>113</v>
      </c>
    </row>
    <row r="164" spans="1:35" x14ac:dyDescent="0.35">
      <c r="A164" t="s">
        <v>193</v>
      </c>
      <c r="B164" t="s">
        <v>69</v>
      </c>
      <c r="C164" t="s">
        <v>33</v>
      </c>
      <c r="D164" t="s">
        <v>34</v>
      </c>
      <c r="E164" t="s">
        <v>309</v>
      </c>
      <c r="F164" t="s">
        <v>310</v>
      </c>
      <c r="G164" s="20" t="s">
        <v>38</v>
      </c>
      <c r="H164" s="20" t="s">
        <v>39</v>
      </c>
      <c r="I164" t="str">
        <f t="shared" si="4"/>
        <v>Apis mellifera</v>
      </c>
      <c r="J164" t="s">
        <v>70</v>
      </c>
      <c r="K164" t="s">
        <v>332</v>
      </c>
      <c r="L164" t="s">
        <v>197</v>
      </c>
      <c r="N164">
        <v>857</v>
      </c>
      <c r="O164" t="s">
        <v>155</v>
      </c>
      <c r="P164" t="s">
        <v>154</v>
      </c>
      <c r="Q164" t="s">
        <v>214</v>
      </c>
      <c r="R164">
        <v>1</v>
      </c>
      <c r="S164" t="s">
        <v>166</v>
      </c>
      <c r="T164" t="s">
        <v>72</v>
      </c>
      <c r="U164" t="s">
        <v>271</v>
      </c>
      <c r="AD164">
        <v>1</v>
      </c>
      <c r="AI164">
        <v>114</v>
      </c>
    </row>
    <row r="165" spans="1:35" x14ac:dyDescent="0.35">
      <c r="A165" t="s">
        <v>193</v>
      </c>
      <c r="B165" t="s">
        <v>69</v>
      </c>
      <c r="C165" t="s">
        <v>33</v>
      </c>
      <c r="D165" t="s">
        <v>34</v>
      </c>
      <c r="E165" t="s">
        <v>309</v>
      </c>
      <c r="F165" t="s">
        <v>310</v>
      </c>
      <c r="G165" s="20" t="s">
        <v>38</v>
      </c>
      <c r="H165" s="20" t="s">
        <v>39</v>
      </c>
      <c r="I165" t="str">
        <f t="shared" si="4"/>
        <v>Apis mellifera</v>
      </c>
      <c r="J165" t="s">
        <v>70</v>
      </c>
      <c r="K165" t="s">
        <v>332</v>
      </c>
      <c r="L165" t="s">
        <v>197</v>
      </c>
      <c r="N165">
        <v>863</v>
      </c>
      <c r="O165" t="s">
        <v>155</v>
      </c>
      <c r="P165" t="s">
        <v>154</v>
      </c>
      <c r="Q165" t="s">
        <v>214</v>
      </c>
      <c r="R165">
        <v>1</v>
      </c>
      <c r="S165" t="s">
        <v>166</v>
      </c>
      <c r="T165" t="s">
        <v>72</v>
      </c>
      <c r="U165" t="s">
        <v>271</v>
      </c>
      <c r="AD165">
        <v>1</v>
      </c>
      <c r="AI165">
        <v>115</v>
      </c>
    </row>
    <row r="166" spans="1:35" x14ac:dyDescent="0.35">
      <c r="A166" t="s">
        <v>193</v>
      </c>
      <c r="B166" t="s">
        <v>69</v>
      </c>
      <c r="C166" t="s">
        <v>33</v>
      </c>
      <c r="D166" t="s">
        <v>34</v>
      </c>
      <c r="E166" t="s">
        <v>309</v>
      </c>
      <c r="F166" t="s">
        <v>310</v>
      </c>
      <c r="G166" s="20" t="s">
        <v>38</v>
      </c>
      <c r="H166" s="20" t="s">
        <v>39</v>
      </c>
      <c r="I166" t="str">
        <f t="shared" si="4"/>
        <v>Apis mellifera</v>
      </c>
      <c r="J166" t="s">
        <v>70</v>
      </c>
      <c r="K166" t="s">
        <v>332</v>
      </c>
      <c r="L166" t="s">
        <v>197</v>
      </c>
      <c r="N166">
        <v>864</v>
      </c>
      <c r="O166" t="s">
        <v>155</v>
      </c>
      <c r="P166" t="s">
        <v>154</v>
      </c>
      <c r="Q166" t="s">
        <v>214</v>
      </c>
      <c r="R166">
        <v>1</v>
      </c>
      <c r="S166" t="s">
        <v>166</v>
      </c>
      <c r="T166" t="s">
        <v>72</v>
      </c>
      <c r="U166" t="s">
        <v>271</v>
      </c>
      <c r="AD166">
        <v>1</v>
      </c>
      <c r="AI166">
        <v>116</v>
      </c>
    </row>
    <row r="167" spans="1:35" x14ac:dyDescent="0.35">
      <c r="A167" t="s">
        <v>193</v>
      </c>
      <c r="B167" t="s">
        <v>69</v>
      </c>
      <c r="C167" t="s">
        <v>33</v>
      </c>
      <c r="D167" t="s">
        <v>34</v>
      </c>
      <c r="E167" t="s">
        <v>309</v>
      </c>
      <c r="F167" t="s">
        <v>310</v>
      </c>
      <c r="G167" s="20" t="s">
        <v>38</v>
      </c>
      <c r="H167" s="20" t="s">
        <v>39</v>
      </c>
      <c r="I167" t="str">
        <f t="shared" si="4"/>
        <v>Apis mellifera</v>
      </c>
      <c r="J167" t="s">
        <v>70</v>
      </c>
      <c r="K167" t="s">
        <v>332</v>
      </c>
      <c r="L167" t="s">
        <v>197</v>
      </c>
      <c r="N167">
        <v>865</v>
      </c>
      <c r="O167" t="s">
        <v>155</v>
      </c>
      <c r="P167" t="s">
        <v>154</v>
      </c>
      <c r="Q167" t="s">
        <v>214</v>
      </c>
      <c r="R167">
        <v>1</v>
      </c>
      <c r="S167" t="s">
        <v>166</v>
      </c>
      <c r="T167" t="s">
        <v>72</v>
      </c>
      <c r="U167" t="s">
        <v>271</v>
      </c>
      <c r="AD167">
        <v>1</v>
      </c>
      <c r="AI167">
        <v>118</v>
      </c>
    </row>
    <row r="168" spans="1:35" x14ac:dyDescent="0.35">
      <c r="A168" t="s">
        <v>193</v>
      </c>
      <c r="B168" t="s">
        <v>69</v>
      </c>
      <c r="C168" t="s">
        <v>33</v>
      </c>
      <c r="D168" t="s">
        <v>34</v>
      </c>
      <c r="E168" t="s">
        <v>309</v>
      </c>
      <c r="F168" t="s">
        <v>310</v>
      </c>
      <c r="G168" s="20" t="s">
        <v>38</v>
      </c>
      <c r="H168" s="20" t="s">
        <v>39</v>
      </c>
      <c r="I168" t="str">
        <f t="shared" si="4"/>
        <v>Apis mellifera</v>
      </c>
      <c r="J168" t="s">
        <v>70</v>
      </c>
      <c r="K168" t="s">
        <v>332</v>
      </c>
      <c r="L168" t="s">
        <v>197</v>
      </c>
      <c r="N168">
        <v>883</v>
      </c>
      <c r="O168" t="s">
        <v>155</v>
      </c>
      <c r="P168" t="s">
        <v>223</v>
      </c>
      <c r="Q168" t="s">
        <v>215</v>
      </c>
      <c r="R168">
        <v>1</v>
      </c>
      <c r="S168" t="s">
        <v>166</v>
      </c>
      <c r="T168" t="s">
        <v>72</v>
      </c>
      <c r="U168" t="s">
        <v>271</v>
      </c>
      <c r="AD168">
        <v>1</v>
      </c>
      <c r="AI168">
        <v>124</v>
      </c>
    </row>
    <row r="169" spans="1:35" x14ac:dyDescent="0.35">
      <c r="A169" t="s">
        <v>193</v>
      </c>
      <c r="B169" t="s">
        <v>69</v>
      </c>
      <c r="C169" t="s">
        <v>33</v>
      </c>
      <c r="D169" t="s">
        <v>34</v>
      </c>
      <c r="E169" t="s">
        <v>309</v>
      </c>
      <c r="F169" t="s">
        <v>310</v>
      </c>
      <c r="G169" s="20" t="s">
        <v>38</v>
      </c>
      <c r="H169" s="20" t="s">
        <v>39</v>
      </c>
      <c r="I169" t="str">
        <f t="shared" si="4"/>
        <v>Apis mellifera</v>
      </c>
      <c r="J169" t="s">
        <v>70</v>
      </c>
      <c r="K169" t="s">
        <v>332</v>
      </c>
      <c r="L169" t="s">
        <v>197</v>
      </c>
      <c r="N169">
        <v>884</v>
      </c>
      <c r="O169" t="s">
        <v>155</v>
      </c>
      <c r="P169" t="s">
        <v>223</v>
      </c>
      <c r="Q169" t="s">
        <v>215</v>
      </c>
      <c r="R169">
        <v>1</v>
      </c>
      <c r="S169" t="s">
        <v>166</v>
      </c>
      <c r="T169" t="s">
        <v>72</v>
      </c>
      <c r="U169" t="s">
        <v>271</v>
      </c>
      <c r="AD169">
        <v>1</v>
      </c>
      <c r="AI169">
        <v>129</v>
      </c>
    </row>
    <row r="170" spans="1:35" x14ac:dyDescent="0.35">
      <c r="A170" t="s">
        <v>193</v>
      </c>
      <c r="B170" t="s">
        <v>69</v>
      </c>
      <c r="C170" t="s">
        <v>33</v>
      </c>
      <c r="D170" t="s">
        <v>34</v>
      </c>
      <c r="E170" t="s">
        <v>309</v>
      </c>
      <c r="F170" t="s">
        <v>310</v>
      </c>
      <c r="G170" s="20" t="s">
        <v>38</v>
      </c>
      <c r="H170" s="20" t="s">
        <v>39</v>
      </c>
      <c r="I170" t="str">
        <f t="shared" si="4"/>
        <v>Apis mellifera</v>
      </c>
      <c r="J170" t="s">
        <v>70</v>
      </c>
      <c r="K170" t="s">
        <v>332</v>
      </c>
      <c r="L170" t="s">
        <v>197</v>
      </c>
      <c r="N170">
        <v>885</v>
      </c>
      <c r="O170" t="s">
        <v>155</v>
      </c>
      <c r="P170" t="s">
        <v>223</v>
      </c>
      <c r="Q170" t="s">
        <v>215</v>
      </c>
      <c r="R170">
        <v>1</v>
      </c>
      <c r="S170" t="s">
        <v>166</v>
      </c>
      <c r="T170" t="s">
        <v>72</v>
      </c>
      <c r="U170" t="s">
        <v>271</v>
      </c>
      <c r="AD170">
        <v>1</v>
      </c>
      <c r="AI170">
        <v>130</v>
      </c>
    </row>
    <row r="171" spans="1:35" x14ac:dyDescent="0.35">
      <c r="A171" t="s">
        <v>193</v>
      </c>
      <c r="B171" t="s">
        <v>69</v>
      </c>
      <c r="C171" t="s">
        <v>33</v>
      </c>
      <c r="D171" t="s">
        <v>34</v>
      </c>
      <c r="E171" t="s">
        <v>309</v>
      </c>
      <c r="F171" t="s">
        <v>310</v>
      </c>
      <c r="G171" s="20" t="s">
        <v>38</v>
      </c>
      <c r="H171" s="20" t="s">
        <v>39</v>
      </c>
      <c r="I171" t="str">
        <f t="shared" si="4"/>
        <v>Apis mellifera</v>
      </c>
      <c r="J171" t="s">
        <v>70</v>
      </c>
      <c r="K171" t="s">
        <v>332</v>
      </c>
      <c r="L171" s="3" t="s">
        <v>197</v>
      </c>
      <c r="N171">
        <v>886</v>
      </c>
      <c r="O171" t="s">
        <v>155</v>
      </c>
      <c r="P171" t="s">
        <v>154</v>
      </c>
      <c r="Q171" t="s">
        <v>209</v>
      </c>
      <c r="R171" s="3">
        <v>1</v>
      </c>
      <c r="S171" s="14" t="s">
        <v>169</v>
      </c>
      <c r="T171" t="s">
        <v>78</v>
      </c>
      <c r="U171" t="s">
        <v>271</v>
      </c>
      <c r="AD171">
        <v>1</v>
      </c>
      <c r="AE171" s="8"/>
      <c r="AF171" s="9">
        <v>3</v>
      </c>
      <c r="AI171">
        <v>23</v>
      </c>
    </row>
    <row r="172" spans="1:35" x14ac:dyDescent="0.35">
      <c r="A172" t="s">
        <v>193</v>
      </c>
      <c r="B172" t="s">
        <v>69</v>
      </c>
      <c r="C172" t="s">
        <v>33</v>
      </c>
      <c r="D172" t="s">
        <v>34</v>
      </c>
      <c r="E172" t="s">
        <v>309</v>
      </c>
      <c r="F172" t="s">
        <v>310</v>
      </c>
      <c r="G172" s="20" t="s">
        <v>38</v>
      </c>
      <c r="H172" s="20" t="s">
        <v>39</v>
      </c>
      <c r="I172" t="str">
        <f t="shared" si="4"/>
        <v>Apis mellifera</v>
      </c>
      <c r="J172" t="s">
        <v>70</v>
      </c>
      <c r="K172" t="s">
        <v>332</v>
      </c>
      <c r="L172" s="3" t="s">
        <v>197</v>
      </c>
      <c r="N172">
        <v>887</v>
      </c>
      <c r="O172" t="s">
        <v>155</v>
      </c>
      <c r="P172" t="s">
        <v>154</v>
      </c>
      <c r="Q172" s="3" t="s">
        <v>209</v>
      </c>
      <c r="R172" s="3">
        <v>1</v>
      </c>
      <c r="S172" s="14" t="s">
        <v>169</v>
      </c>
      <c r="T172" t="s">
        <v>78</v>
      </c>
      <c r="U172" t="s">
        <v>271</v>
      </c>
      <c r="AD172">
        <v>1</v>
      </c>
      <c r="AE172" s="8"/>
      <c r="AF172" s="3">
        <v>1</v>
      </c>
      <c r="AI172">
        <v>27</v>
      </c>
    </row>
    <row r="173" spans="1:35" x14ac:dyDescent="0.35">
      <c r="A173" t="s">
        <v>193</v>
      </c>
      <c r="B173" t="s">
        <v>69</v>
      </c>
      <c r="C173" t="s">
        <v>33</v>
      </c>
      <c r="D173" t="s">
        <v>34</v>
      </c>
      <c r="E173" t="s">
        <v>309</v>
      </c>
      <c r="F173" t="s">
        <v>310</v>
      </c>
      <c r="G173" s="20" t="s">
        <v>38</v>
      </c>
      <c r="H173" s="20" t="s">
        <v>39</v>
      </c>
      <c r="I173" t="str">
        <f t="shared" si="4"/>
        <v>Apis mellifera</v>
      </c>
      <c r="J173" t="s">
        <v>70</v>
      </c>
      <c r="K173" t="s">
        <v>332</v>
      </c>
      <c r="L173" s="9" t="s">
        <v>197</v>
      </c>
      <c r="M173" s="9" t="s">
        <v>197</v>
      </c>
      <c r="N173">
        <v>890</v>
      </c>
      <c r="O173" t="s">
        <v>155</v>
      </c>
      <c r="P173" t="s">
        <v>154</v>
      </c>
      <c r="Q173" t="s">
        <v>208</v>
      </c>
      <c r="R173" s="3">
        <v>1</v>
      </c>
      <c r="S173" s="14" t="s">
        <v>168</v>
      </c>
      <c r="T173" t="s">
        <v>78</v>
      </c>
      <c r="U173" t="s">
        <v>271</v>
      </c>
      <c r="AD173">
        <v>1</v>
      </c>
      <c r="AE173" s="8"/>
      <c r="AF173" s="9">
        <v>3</v>
      </c>
      <c r="AI173">
        <v>20</v>
      </c>
    </row>
    <row r="174" spans="1:35" x14ac:dyDescent="0.35">
      <c r="A174" t="s">
        <v>193</v>
      </c>
      <c r="B174" t="s">
        <v>69</v>
      </c>
      <c r="C174" t="s">
        <v>33</v>
      </c>
      <c r="D174" t="s">
        <v>34</v>
      </c>
      <c r="E174" t="s">
        <v>309</v>
      </c>
      <c r="F174" t="s">
        <v>310</v>
      </c>
      <c r="G174" s="20" t="s">
        <v>38</v>
      </c>
      <c r="H174" s="20" t="s">
        <v>39</v>
      </c>
      <c r="I174" t="str">
        <f t="shared" si="4"/>
        <v>Apis mellifera</v>
      </c>
      <c r="J174" t="s">
        <v>70</v>
      </c>
      <c r="K174" t="s">
        <v>332</v>
      </c>
      <c r="L174" s="9" t="s">
        <v>197</v>
      </c>
      <c r="N174">
        <v>891</v>
      </c>
      <c r="O174" t="s">
        <v>155</v>
      </c>
      <c r="P174" t="s">
        <v>154</v>
      </c>
      <c r="Q174" t="s">
        <v>208</v>
      </c>
      <c r="R174" s="3">
        <v>1</v>
      </c>
      <c r="S174" s="14" t="s">
        <v>168</v>
      </c>
      <c r="T174" t="s">
        <v>78</v>
      </c>
      <c r="U174" t="s">
        <v>271</v>
      </c>
      <c r="AD174">
        <v>1</v>
      </c>
      <c r="AE174" s="8"/>
      <c r="AF174" s="9">
        <v>3</v>
      </c>
      <c r="AI174">
        <v>21</v>
      </c>
    </row>
    <row r="175" spans="1:35" x14ac:dyDescent="0.35">
      <c r="A175" t="s">
        <v>193</v>
      </c>
      <c r="B175" t="s">
        <v>69</v>
      </c>
      <c r="C175" t="s">
        <v>33</v>
      </c>
      <c r="D175" t="s">
        <v>34</v>
      </c>
      <c r="E175" t="s">
        <v>309</v>
      </c>
      <c r="F175" t="s">
        <v>310</v>
      </c>
      <c r="G175" s="20" t="s">
        <v>38</v>
      </c>
      <c r="H175" s="20" t="s">
        <v>39</v>
      </c>
      <c r="I175" t="str">
        <f t="shared" si="4"/>
        <v>Apis mellifera</v>
      </c>
      <c r="J175" t="s">
        <v>70</v>
      </c>
      <c r="K175" t="s">
        <v>332</v>
      </c>
      <c r="L175" s="9" t="s">
        <v>197</v>
      </c>
      <c r="N175">
        <v>893</v>
      </c>
      <c r="O175" t="s">
        <v>155</v>
      </c>
      <c r="P175" t="s">
        <v>154</v>
      </c>
      <c r="Q175" s="3" t="s">
        <v>208</v>
      </c>
      <c r="R175" s="3">
        <v>1</v>
      </c>
      <c r="S175" s="14" t="s">
        <v>168</v>
      </c>
      <c r="T175" t="s">
        <v>78</v>
      </c>
      <c r="U175" t="s">
        <v>271</v>
      </c>
      <c r="AD175">
        <v>1</v>
      </c>
      <c r="AE175" s="8"/>
      <c r="AF175" s="9">
        <v>3</v>
      </c>
      <c r="AI175">
        <v>22</v>
      </c>
    </row>
    <row r="176" spans="1:35" x14ac:dyDescent="0.35">
      <c r="A176" t="s">
        <v>193</v>
      </c>
      <c r="B176" t="s">
        <v>69</v>
      </c>
      <c r="C176" t="s">
        <v>33</v>
      </c>
      <c r="D176" t="s">
        <v>34</v>
      </c>
      <c r="E176" t="s">
        <v>309</v>
      </c>
      <c r="F176" t="s">
        <v>310</v>
      </c>
      <c r="G176" s="20" t="s">
        <v>38</v>
      </c>
      <c r="H176" s="20" t="s">
        <v>39</v>
      </c>
      <c r="I176" t="str">
        <f t="shared" si="4"/>
        <v>Apis mellifera</v>
      </c>
      <c r="J176" t="s">
        <v>70</v>
      </c>
      <c r="K176" t="s">
        <v>332</v>
      </c>
      <c r="L176" s="3" t="s">
        <v>197</v>
      </c>
      <c r="N176">
        <v>894</v>
      </c>
      <c r="O176" t="s">
        <v>155</v>
      </c>
      <c r="P176" t="s">
        <v>222</v>
      </c>
      <c r="Q176" t="s">
        <v>211</v>
      </c>
      <c r="R176" s="9">
        <v>1</v>
      </c>
      <c r="S176" t="s">
        <v>168</v>
      </c>
      <c r="T176" t="s">
        <v>78</v>
      </c>
      <c r="U176" t="s">
        <v>271</v>
      </c>
      <c r="AD176">
        <v>1</v>
      </c>
      <c r="AE176" s="8"/>
      <c r="AF176" s="9">
        <v>1</v>
      </c>
      <c r="AI176">
        <v>51</v>
      </c>
    </row>
    <row r="177" spans="1:35" x14ac:dyDescent="0.35">
      <c r="A177" t="s">
        <v>193</v>
      </c>
      <c r="B177" t="s">
        <v>69</v>
      </c>
      <c r="C177" t="s">
        <v>33</v>
      </c>
      <c r="D177" t="s">
        <v>34</v>
      </c>
      <c r="E177" t="s">
        <v>309</v>
      </c>
      <c r="F177" t="s">
        <v>310</v>
      </c>
      <c r="G177" s="20" t="s">
        <v>38</v>
      </c>
      <c r="H177" s="20" t="s">
        <v>39</v>
      </c>
      <c r="I177" t="str">
        <f t="shared" si="4"/>
        <v>Apis mellifera</v>
      </c>
      <c r="J177" t="s">
        <v>70</v>
      </c>
      <c r="K177" t="s">
        <v>332</v>
      </c>
      <c r="L177" t="s">
        <v>197</v>
      </c>
      <c r="N177">
        <v>896</v>
      </c>
      <c r="O177" t="s">
        <v>155</v>
      </c>
      <c r="P177" t="s">
        <v>154</v>
      </c>
      <c r="Q177" t="s">
        <v>214</v>
      </c>
      <c r="R177">
        <v>1</v>
      </c>
      <c r="S177" t="s">
        <v>168</v>
      </c>
      <c r="T177" t="s">
        <v>78</v>
      </c>
      <c r="U177" t="s">
        <v>271</v>
      </c>
      <c r="AD177">
        <v>1</v>
      </c>
      <c r="AE177" s="8"/>
      <c r="AF177" s="18">
        <v>1</v>
      </c>
      <c r="AI177">
        <v>83</v>
      </c>
    </row>
    <row r="178" spans="1:35" x14ac:dyDescent="0.35">
      <c r="A178" t="s">
        <v>193</v>
      </c>
      <c r="B178" t="s">
        <v>69</v>
      </c>
      <c r="C178" t="s">
        <v>33</v>
      </c>
      <c r="D178" t="s">
        <v>34</v>
      </c>
      <c r="E178" t="s">
        <v>309</v>
      </c>
      <c r="F178" t="s">
        <v>310</v>
      </c>
      <c r="G178" s="20" t="s">
        <v>38</v>
      </c>
      <c r="H178" s="20" t="s">
        <v>39</v>
      </c>
      <c r="I178" t="str">
        <f t="shared" si="4"/>
        <v>Apis mellifera</v>
      </c>
      <c r="J178" t="s">
        <v>70</v>
      </c>
      <c r="K178" t="s">
        <v>332</v>
      </c>
      <c r="L178" t="s">
        <v>197</v>
      </c>
      <c r="N178">
        <v>897</v>
      </c>
      <c r="O178" t="s">
        <v>155</v>
      </c>
      <c r="P178" t="s">
        <v>154</v>
      </c>
      <c r="Q178" t="s">
        <v>214</v>
      </c>
      <c r="R178">
        <v>1</v>
      </c>
      <c r="S178" t="s">
        <v>168</v>
      </c>
      <c r="T178" t="s">
        <v>78</v>
      </c>
      <c r="U178" t="s">
        <v>271</v>
      </c>
      <c r="AD178">
        <v>1</v>
      </c>
      <c r="AE178" s="8"/>
      <c r="AF178" s="18">
        <v>1</v>
      </c>
      <c r="AI178">
        <v>84</v>
      </c>
    </row>
    <row r="179" spans="1:35" x14ac:dyDescent="0.35">
      <c r="A179" t="s">
        <v>193</v>
      </c>
      <c r="B179" t="s">
        <v>69</v>
      </c>
      <c r="C179" t="s">
        <v>33</v>
      </c>
      <c r="D179" t="s">
        <v>34</v>
      </c>
      <c r="E179" t="s">
        <v>309</v>
      </c>
      <c r="F179" t="s">
        <v>310</v>
      </c>
      <c r="G179" s="20" t="s">
        <v>38</v>
      </c>
      <c r="H179" s="20" t="s">
        <v>39</v>
      </c>
      <c r="I179" t="str">
        <f t="shared" si="4"/>
        <v>Apis mellifera</v>
      </c>
      <c r="J179" t="s">
        <v>70</v>
      </c>
      <c r="K179" t="s">
        <v>332</v>
      </c>
      <c r="L179" t="s">
        <v>197</v>
      </c>
      <c r="N179">
        <v>898</v>
      </c>
      <c r="O179" t="s">
        <v>155</v>
      </c>
      <c r="P179" t="s">
        <v>154</v>
      </c>
      <c r="Q179" t="s">
        <v>214</v>
      </c>
      <c r="R179">
        <v>1</v>
      </c>
      <c r="S179" t="s">
        <v>168</v>
      </c>
      <c r="T179" t="s">
        <v>78</v>
      </c>
      <c r="U179" t="s">
        <v>271</v>
      </c>
      <c r="AD179">
        <v>1</v>
      </c>
      <c r="AE179" s="8"/>
      <c r="AF179" s="18">
        <v>1</v>
      </c>
      <c r="AI179">
        <v>89</v>
      </c>
    </row>
    <row r="180" spans="1:35" x14ac:dyDescent="0.35">
      <c r="A180" t="s">
        <v>193</v>
      </c>
      <c r="B180" t="s">
        <v>69</v>
      </c>
      <c r="C180" t="s">
        <v>33</v>
      </c>
      <c r="D180" t="s">
        <v>34</v>
      </c>
      <c r="E180" t="s">
        <v>309</v>
      </c>
      <c r="F180" t="s">
        <v>310</v>
      </c>
      <c r="G180" s="20" t="s">
        <v>38</v>
      </c>
      <c r="H180" s="20" t="s">
        <v>39</v>
      </c>
      <c r="I180" t="str">
        <f t="shared" si="4"/>
        <v>Apis mellifera</v>
      </c>
      <c r="J180" t="s">
        <v>70</v>
      </c>
      <c r="K180" t="s">
        <v>332</v>
      </c>
      <c r="L180" t="s">
        <v>197</v>
      </c>
      <c r="N180">
        <v>899</v>
      </c>
      <c r="O180" t="s">
        <v>155</v>
      </c>
      <c r="P180" t="s">
        <v>154</v>
      </c>
      <c r="Q180" t="s">
        <v>214</v>
      </c>
      <c r="R180">
        <v>1</v>
      </c>
      <c r="S180" t="s">
        <v>168</v>
      </c>
      <c r="T180" t="s">
        <v>78</v>
      </c>
      <c r="U180" t="s">
        <v>271</v>
      </c>
      <c r="AD180">
        <v>1</v>
      </c>
      <c r="AE180" s="8"/>
      <c r="AF180" s="18">
        <v>1</v>
      </c>
      <c r="AI180">
        <v>90</v>
      </c>
    </row>
    <row r="181" spans="1:35" x14ac:dyDescent="0.35">
      <c r="A181" t="s">
        <v>193</v>
      </c>
      <c r="B181" t="s">
        <v>69</v>
      </c>
      <c r="C181" t="s">
        <v>33</v>
      </c>
      <c r="D181" t="s">
        <v>34</v>
      </c>
      <c r="E181" t="s">
        <v>309</v>
      </c>
      <c r="F181" t="s">
        <v>310</v>
      </c>
      <c r="G181" s="20" t="s">
        <v>38</v>
      </c>
      <c r="H181" s="20" t="s">
        <v>39</v>
      </c>
      <c r="I181" t="str">
        <f t="shared" si="4"/>
        <v>Apis mellifera</v>
      </c>
      <c r="J181" t="s">
        <v>70</v>
      </c>
      <c r="K181" t="s">
        <v>332</v>
      </c>
      <c r="L181" t="s">
        <v>197</v>
      </c>
      <c r="N181">
        <v>900</v>
      </c>
      <c r="O181" t="s">
        <v>155</v>
      </c>
      <c r="P181" t="s">
        <v>154</v>
      </c>
      <c r="Q181" t="s">
        <v>214</v>
      </c>
      <c r="R181">
        <v>1</v>
      </c>
      <c r="S181" t="s">
        <v>168</v>
      </c>
      <c r="T181" t="s">
        <v>78</v>
      </c>
      <c r="U181" t="s">
        <v>271</v>
      </c>
      <c r="AD181">
        <v>1</v>
      </c>
      <c r="AE181" s="8"/>
      <c r="AF181" s="18">
        <v>1</v>
      </c>
      <c r="AI181">
        <v>101</v>
      </c>
    </row>
    <row r="182" spans="1:35" x14ac:dyDescent="0.35">
      <c r="A182" t="s">
        <v>193</v>
      </c>
      <c r="B182" t="s">
        <v>69</v>
      </c>
      <c r="C182" t="s">
        <v>33</v>
      </c>
      <c r="D182" t="s">
        <v>34</v>
      </c>
      <c r="E182" t="s">
        <v>309</v>
      </c>
      <c r="F182" t="s">
        <v>310</v>
      </c>
      <c r="G182" s="20" t="s">
        <v>38</v>
      </c>
      <c r="H182" s="20" t="s">
        <v>39</v>
      </c>
      <c r="I182" t="str">
        <f t="shared" si="4"/>
        <v>Apis mellifera</v>
      </c>
      <c r="J182" t="s">
        <v>70</v>
      </c>
      <c r="K182" t="s">
        <v>332</v>
      </c>
      <c r="L182" t="s">
        <v>197</v>
      </c>
      <c r="N182">
        <v>901</v>
      </c>
      <c r="O182" t="s">
        <v>155</v>
      </c>
      <c r="P182" t="s">
        <v>154</v>
      </c>
      <c r="Q182" t="s">
        <v>214</v>
      </c>
      <c r="R182">
        <v>1</v>
      </c>
      <c r="S182" t="s">
        <v>168</v>
      </c>
      <c r="T182" t="s">
        <v>78</v>
      </c>
      <c r="U182" t="s">
        <v>271</v>
      </c>
      <c r="AD182">
        <v>1</v>
      </c>
      <c r="AE182" s="8"/>
      <c r="AF182" s="18">
        <v>1</v>
      </c>
      <c r="AI182">
        <v>107</v>
      </c>
    </row>
    <row r="183" spans="1:35" x14ac:dyDescent="0.35">
      <c r="A183" t="s">
        <v>193</v>
      </c>
      <c r="B183" t="s">
        <v>69</v>
      </c>
      <c r="C183" t="s">
        <v>33</v>
      </c>
      <c r="D183" t="s">
        <v>34</v>
      </c>
      <c r="E183" t="s">
        <v>309</v>
      </c>
      <c r="F183" t="s">
        <v>310</v>
      </c>
      <c r="G183" s="20" t="s">
        <v>38</v>
      </c>
      <c r="H183" s="20" t="s">
        <v>39</v>
      </c>
      <c r="I183" t="str">
        <f t="shared" ref="I183:I193" si="5">G183&amp;" "&amp;H183</f>
        <v>Apis mellifera</v>
      </c>
      <c r="J183" t="s">
        <v>70</v>
      </c>
      <c r="K183" t="s">
        <v>332</v>
      </c>
      <c r="L183" t="s">
        <v>197</v>
      </c>
      <c r="N183">
        <v>902</v>
      </c>
      <c r="O183" t="s">
        <v>155</v>
      </c>
      <c r="P183" t="s">
        <v>154</v>
      </c>
      <c r="Q183" t="s">
        <v>214</v>
      </c>
      <c r="R183">
        <v>1</v>
      </c>
      <c r="S183" t="s">
        <v>168</v>
      </c>
      <c r="T183" t="s">
        <v>78</v>
      </c>
      <c r="U183" t="s">
        <v>271</v>
      </c>
      <c r="AD183">
        <v>1</v>
      </c>
      <c r="AI183">
        <v>117</v>
      </c>
    </row>
    <row r="184" spans="1:35" x14ac:dyDescent="0.35">
      <c r="A184" t="s">
        <v>193</v>
      </c>
      <c r="B184" t="s">
        <v>69</v>
      </c>
      <c r="C184" t="s">
        <v>33</v>
      </c>
      <c r="D184" t="s">
        <v>34</v>
      </c>
      <c r="E184" t="s">
        <v>309</v>
      </c>
      <c r="F184" t="s">
        <v>310</v>
      </c>
      <c r="G184" s="20" t="s">
        <v>38</v>
      </c>
      <c r="H184" s="20" t="s">
        <v>39</v>
      </c>
      <c r="I184" t="str">
        <f t="shared" si="5"/>
        <v>Apis mellifera</v>
      </c>
      <c r="J184" t="s">
        <v>70</v>
      </c>
      <c r="K184" t="s">
        <v>332</v>
      </c>
      <c r="L184" t="s">
        <v>197</v>
      </c>
      <c r="N184">
        <v>903</v>
      </c>
      <c r="O184" t="s">
        <v>155</v>
      </c>
      <c r="P184" t="s">
        <v>223</v>
      </c>
      <c r="Q184" t="s">
        <v>215</v>
      </c>
      <c r="R184">
        <v>1</v>
      </c>
      <c r="S184" t="s">
        <v>168</v>
      </c>
      <c r="T184" t="s">
        <v>78</v>
      </c>
      <c r="U184" t="s">
        <v>271</v>
      </c>
      <c r="AD184">
        <v>1</v>
      </c>
      <c r="AI184">
        <v>120</v>
      </c>
    </row>
    <row r="185" spans="1:35" x14ac:dyDescent="0.35">
      <c r="A185" t="s">
        <v>193</v>
      </c>
      <c r="B185" t="s">
        <v>69</v>
      </c>
      <c r="C185" t="s">
        <v>33</v>
      </c>
      <c r="D185" t="s">
        <v>34</v>
      </c>
      <c r="E185" t="s">
        <v>309</v>
      </c>
      <c r="F185" t="s">
        <v>310</v>
      </c>
      <c r="G185" s="20" t="s">
        <v>38</v>
      </c>
      <c r="H185" s="20" t="s">
        <v>39</v>
      </c>
      <c r="I185" t="str">
        <f t="shared" si="5"/>
        <v>Apis mellifera</v>
      </c>
      <c r="J185" t="s">
        <v>70</v>
      </c>
      <c r="K185" t="s">
        <v>332</v>
      </c>
      <c r="L185" t="s">
        <v>197</v>
      </c>
      <c r="N185">
        <v>904</v>
      </c>
      <c r="O185" t="s">
        <v>155</v>
      </c>
      <c r="P185" t="s">
        <v>223</v>
      </c>
      <c r="Q185" t="s">
        <v>215</v>
      </c>
      <c r="R185">
        <v>1</v>
      </c>
      <c r="S185" t="s">
        <v>168</v>
      </c>
      <c r="T185" t="s">
        <v>78</v>
      </c>
      <c r="U185" t="s">
        <v>271</v>
      </c>
      <c r="AD185">
        <v>1</v>
      </c>
      <c r="AI185">
        <v>121</v>
      </c>
    </row>
    <row r="186" spans="1:35" x14ac:dyDescent="0.35">
      <c r="A186" t="s">
        <v>193</v>
      </c>
      <c r="B186" t="s">
        <v>69</v>
      </c>
      <c r="C186" t="s">
        <v>33</v>
      </c>
      <c r="D186" t="s">
        <v>34</v>
      </c>
      <c r="E186" t="s">
        <v>309</v>
      </c>
      <c r="F186" t="s">
        <v>310</v>
      </c>
      <c r="G186" s="20" t="s">
        <v>38</v>
      </c>
      <c r="H186" s="20" t="s">
        <v>39</v>
      </c>
      <c r="I186" t="str">
        <f t="shared" si="5"/>
        <v>Apis mellifera</v>
      </c>
      <c r="J186" t="s">
        <v>70</v>
      </c>
      <c r="K186" t="s">
        <v>332</v>
      </c>
      <c r="L186" t="s">
        <v>197</v>
      </c>
      <c r="N186">
        <v>905</v>
      </c>
      <c r="O186" t="s">
        <v>155</v>
      </c>
      <c r="P186" t="s">
        <v>223</v>
      </c>
      <c r="Q186" t="s">
        <v>215</v>
      </c>
      <c r="R186">
        <v>1</v>
      </c>
      <c r="S186" t="s">
        <v>168</v>
      </c>
      <c r="T186" t="s">
        <v>78</v>
      </c>
      <c r="U186" t="s">
        <v>271</v>
      </c>
      <c r="AD186">
        <v>1</v>
      </c>
      <c r="AI186">
        <v>127</v>
      </c>
    </row>
    <row r="187" spans="1:35" x14ac:dyDescent="0.35">
      <c r="A187" t="s">
        <v>193</v>
      </c>
      <c r="B187" t="s">
        <v>69</v>
      </c>
      <c r="C187" t="s">
        <v>33</v>
      </c>
      <c r="D187" t="s">
        <v>34</v>
      </c>
      <c r="E187" t="s">
        <v>309</v>
      </c>
      <c r="F187" t="s">
        <v>310</v>
      </c>
      <c r="G187" s="20" t="s">
        <v>38</v>
      </c>
      <c r="H187" s="20" t="s">
        <v>39</v>
      </c>
      <c r="I187" t="str">
        <f t="shared" si="5"/>
        <v>Apis mellifera</v>
      </c>
      <c r="J187" t="s">
        <v>70</v>
      </c>
      <c r="K187" t="s">
        <v>332</v>
      </c>
      <c r="L187" t="s">
        <v>197</v>
      </c>
      <c r="N187">
        <v>906</v>
      </c>
      <c r="O187" t="s">
        <v>155</v>
      </c>
      <c r="P187" t="s">
        <v>223</v>
      </c>
      <c r="Q187" t="s">
        <v>215</v>
      </c>
      <c r="R187">
        <v>1</v>
      </c>
      <c r="S187" t="s">
        <v>168</v>
      </c>
      <c r="T187" t="s">
        <v>78</v>
      </c>
      <c r="U187" t="s">
        <v>271</v>
      </c>
      <c r="AD187">
        <v>1</v>
      </c>
      <c r="AI187">
        <v>128</v>
      </c>
    </row>
    <row r="188" spans="1:35" x14ac:dyDescent="0.35">
      <c r="A188" t="s">
        <v>193</v>
      </c>
      <c r="B188" t="s">
        <v>69</v>
      </c>
      <c r="C188" t="s">
        <v>33</v>
      </c>
      <c r="D188" t="s">
        <v>34</v>
      </c>
      <c r="E188" t="s">
        <v>309</v>
      </c>
      <c r="F188" t="s">
        <v>310</v>
      </c>
      <c r="G188" s="20" t="s">
        <v>38</v>
      </c>
      <c r="H188" s="20" t="s">
        <v>39</v>
      </c>
      <c r="I188" t="str">
        <f t="shared" si="5"/>
        <v>Apis mellifera</v>
      </c>
      <c r="J188" t="s">
        <v>70</v>
      </c>
      <c r="K188" t="s">
        <v>332</v>
      </c>
      <c r="L188" t="s">
        <v>197</v>
      </c>
      <c r="N188">
        <v>907</v>
      </c>
      <c r="O188" t="s">
        <v>155</v>
      </c>
      <c r="P188" t="s">
        <v>154</v>
      </c>
      <c r="Q188" t="s">
        <v>214</v>
      </c>
      <c r="S188" t="s">
        <v>165</v>
      </c>
      <c r="T188" t="s">
        <v>72</v>
      </c>
      <c r="U188" t="s">
        <v>271</v>
      </c>
      <c r="AD188">
        <v>1</v>
      </c>
      <c r="AE188" s="8"/>
      <c r="AF188" s="18">
        <v>1</v>
      </c>
      <c r="AI188">
        <v>106</v>
      </c>
    </row>
    <row r="189" spans="1:35" x14ac:dyDescent="0.35">
      <c r="A189" t="s">
        <v>193</v>
      </c>
      <c r="B189" t="s">
        <v>69</v>
      </c>
      <c r="C189" t="s">
        <v>33</v>
      </c>
      <c r="D189" t="s">
        <v>34</v>
      </c>
      <c r="E189" t="s">
        <v>309</v>
      </c>
      <c r="F189" t="s">
        <v>310</v>
      </c>
      <c r="G189" s="20" t="s">
        <v>38</v>
      </c>
      <c r="H189" s="20" t="s">
        <v>39</v>
      </c>
      <c r="I189" t="str">
        <f t="shared" si="5"/>
        <v>Apis mellifera</v>
      </c>
      <c r="J189" t="s">
        <v>70</v>
      </c>
      <c r="K189" t="s">
        <v>332</v>
      </c>
      <c r="L189" s="3" t="s">
        <v>197</v>
      </c>
      <c r="N189">
        <v>939</v>
      </c>
      <c r="O189" t="s">
        <v>155</v>
      </c>
      <c r="P189" t="s">
        <v>154</v>
      </c>
      <c r="Q189" t="s">
        <v>209</v>
      </c>
      <c r="R189" s="3">
        <v>0</v>
      </c>
      <c r="S189" t="s">
        <v>201</v>
      </c>
      <c r="U189" t="s">
        <v>225</v>
      </c>
      <c r="AD189">
        <v>1</v>
      </c>
      <c r="AE189" s="8"/>
      <c r="AF189" s="3">
        <v>1</v>
      </c>
      <c r="AI189">
        <v>31</v>
      </c>
    </row>
    <row r="190" spans="1:35" x14ac:dyDescent="0.35">
      <c r="A190" t="s">
        <v>193</v>
      </c>
      <c r="B190" t="s">
        <v>69</v>
      </c>
      <c r="C190" t="s">
        <v>33</v>
      </c>
      <c r="D190" t="s">
        <v>34</v>
      </c>
      <c r="E190" t="s">
        <v>309</v>
      </c>
      <c r="F190" t="s">
        <v>310</v>
      </c>
      <c r="G190" s="20" t="s">
        <v>38</v>
      </c>
      <c r="H190" s="20" t="s">
        <v>39</v>
      </c>
      <c r="I190" t="str">
        <f t="shared" si="5"/>
        <v>Apis mellifera</v>
      </c>
      <c r="J190" t="s">
        <v>70</v>
      </c>
      <c r="K190" t="s">
        <v>332</v>
      </c>
      <c r="L190" s="3" t="s">
        <v>197</v>
      </c>
      <c r="N190">
        <v>940</v>
      </c>
      <c r="O190" t="s">
        <v>155</v>
      </c>
      <c r="P190" t="s">
        <v>154</v>
      </c>
      <c r="Q190" t="s">
        <v>209</v>
      </c>
      <c r="R190" s="9">
        <v>1</v>
      </c>
      <c r="S190" t="s">
        <v>201</v>
      </c>
      <c r="U190" t="s">
        <v>225</v>
      </c>
      <c r="AD190">
        <v>1</v>
      </c>
      <c r="AE190" s="8"/>
      <c r="AF190" s="9">
        <v>1</v>
      </c>
      <c r="AI190">
        <v>33</v>
      </c>
    </row>
    <row r="191" spans="1:35" x14ac:dyDescent="0.35">
      <c r="A191" t="s">
        <v>193</v>
      </c>
      <c r="B191" t="s">
        <v>69</v>
      </c>
      <c r="C191" t="s">
        <v>33</v>
      </c>
      <c r="D191" t="s">
        <v>34</v>
      </c>
      <c r="E191" t="s">
        <v>309</v>
      </c>
      <c r="F191" t="s">
        <v>310</v>
      </c>
      <c r="G191" s="20" t="s">
        <v>38</v>
      </c>
      <c r="H191" s="20" t="s">
        <v>39</v>
      </c>
      <c r="I191" t="str">
        <f t="shared" si="5"/>
        <v>Apis mellifera</v>
      </c>
      <c r="J191" t="s">
        <v>70</v>
      </c>
      <c r="K191" t="s">
        <v>332</v>
      </c>
      <c r="L191" s="3" t="s">
        <v>197</v>
      </c>
      <c r="N191">
        <v>941</v>
      </c>
      <c r="O191" t="s">
        <v>155</v>
      </c>
      <c r="P191" t="s">
        <v>154</v>
      </c>
      <c r="Q191" t="s">
        <v>209</v>
      </c>
      <c r="R191" s="9">
        <v>1</v>
      </c>
      <c r="S191" t="s">
        <v>201</v>
      </c>
      <c r="U191" t="s">
        <v>225</v>
      </c>
      <c r="AD191">
        <v>1</v>
      </c>
      <c r="AE191" s="8"/>
      <c r="AF191" s="9">
        <v>1</v>
      </c>
      <c r="AI191">
        <v>34</v>
      </c>
    </row>
    <row r="192" spans="1:35" x14ac:dyDescent="0.35">
      <c r="A192" t="s">
        <v>193</v>
      </c>
      <c r="B192" t="s">
        <v>69</v>
      </c>
      <c r="C192" t="s">
        <v>33</v>
      </c>
      <c r="D192" t="s">
        <v>34</v>
      </c>
      <c r="E192" t="s">
        <v>309</v>
      </c>
      <c r="F192" t="s">
        <v>310</v>
      </c>
      <c r="G192" s="20" t="s">
        <v>38</v>
      </c>
      <c r="H192" s="20" t="s">
        <v>39</v>
      </c>
      <c r="I192" t="str">
        <f t="shared" si="5"/>
        <v>Apis mellifera</v>
      </c>
      <c r="J192" t="s">
        <v>70</v>
      </c>
      <c r="K192" t="s">
        <v>332</v>
      </c>
      <c r="L192" t="s">
        <v>197</v>
      </c>
      <c r="N192">
        <v>942</v>
      </c>
      <c r="O192" t="s">
        <v>155</v>
      </c>
      <c r="P192" t="s">
        <v>223</v>
      </c>
      <c r="Q192" s="9" t="s">
        <v>213</v>
      </c>
      <c r="R192">
        <v>1</v>
      </c>
      <c r="S192" t="s">
        <v>201</v>
      </c>
      <c r="U192" t="s">
        <v>225</v>
      </c>
      <c r="AD192">
        <v>1</v>
      </c>
      <c r="AE192" s="8"/>
      <c r="AF192" s="18">
        <v>3</v>
      </c>
      <c r="AI192">
        <v>70</v>
      </c>
    </row>
    <row r="193" spans="1:35" x14ac:dyDescent="0.35">
      <c r="A193" t="s">
        <v>193</v>
      </c>
      <c r="B193" t="s">
        <v>69</v>
      </c>
      <c r="C193" t="s">
        <v>33</v>
      </c>
      <c r="D193" s="8" t="s">
        <v>65</v>
      </c>
      <c r="F193" t="s">
        <v>194</v>
      </c>
      <c r="G193" t="s">
        <v>195</v>
      </c>
      <c r="H193" t="s">
        <v>7</v>
      </c>
      <c r="I193" t="str">
        <f t="shared" si="5"/>
        <v>Augochlora species</v>
      </c>
      <c r="J193" t="s">
        <v>65</v>
      </c>
      <c r="K193" t="s">
        <v>333</v>
      </c>
      <c r="L193" s="8" t="s">
        <v>196</v>
      </c>
      <c r="N193">
        <v>355</v>
      </c>
      <c r="O193" t="s">
        <v>155</v>
      </c>
      <c r="P193" t="s">
        <v>222</v>
      </c>
      <c r="Q193" t="s">
        <v>210</v>
      </c>
      <c r="R193" s="9"/>
      <c r="S193" s="3" t="s">
        <v>170</v>
      </c>
      <c r="T193" t="s">
        <v>229</v>
      </c>
      <c r="U193" t="s">
        <v>229</v>
      </c>
      <c r="V193">
        <v>0</v>
      </c>
      <c r="AD193">
        <v>1</v>
      </c>
      <c r="AE193" s="8"/>
      <c r="AF193" s="9">
        <v>1</v>
      </c>
      <c r="AI193">
        <v>43</v>
      </c>
    </row>
    <row r="194" spans="1:35" x14ac:dyDescent="0.35">
      <c r="A194" t="s">
        <v>193</v>
      </c>
      <c r="B194" t="s">
        <v>69</v>
      </c>
      <c r="C194" t="s">
        <v>33</v>
      </c>
      <c r="D194" t="s">
        <v>111</v>
      </c>
      <c r="I194" t="str">
        <f t="shared" ref="I194:I207" si="6">D194</f>
        <v>Formicidae</v>
      </c>
      <c r="J194" t="s">
        <v>326</v>
      </c>
      <c r="K194" t="s">
        <v>330</v>
      </c>
      <c r="L194" s="12" t="s">
        <v>112</v>
      </c>
      <c r="N194">
        <v>924</v>
      </c>
      <c r="O194" t="s">
        <v>155</v>
      </c>
      <c r="P194" t="s">
        <v>222</v>
      </c>
      <c r="Q194" t="s">
        <v>207</v>
      </c>
      <c r="R194" s="9">
        <v>0</v>
      </c>
      <c r="S194" s="3" t="s">
        <v>199</v>
      </c>
      <c r="U194" t="s">
        <v>225</v>
      </c>
      <c r="AD194">
        <v>1</v>
      </c>
      <c r="AE194" s="8"/>
      <c r="AF194" s="17">
        <v>2</v>
      </c>
      <c r="AI194">
        <v>10</v>
      </c>
    </row>
    <row r="195" spans="1:35" x14ac:dyDescent="0.35">
      <c r="A195" t="s">
        <v>193</v>
      </c>
      <c r="B195" t="s">
        <v>69</v>
      </c>
      <c r="C195" t="s">
        <v>33</v>
      </c>
      <c r="D195" t="s">
        <v>111</v>
      </c>
      <c r="I195" t="str">
        <f t="shared" si="6"/>
        <v>Formicidae</v>
      </c>
      <c r="J195" t="s">
        <v>326</v>
      </c>
      <c r="K195" t="s">
        <v>330</v>
      </c>
      <c r="L195" s="12" t="s">
        <v>112</v>
      </c>
      <c r="N195">
        <v>925</v>
      </c>
      <c r="O195" t="s">
        <v>155</v>
      </c>
      <c r="P195" t="s">
        <v>222</v>
      </c>
      <c r="Q195" t="s">
        <v>207</v>
      </c>
      <c r="R195" s="9">
        <v>0</v>
      </c>
      <c r="S195" s="3" t="s">
        <v>199</v>
      </c>
      <c r="U195" t="s">
        <v>225</v>
      </c>
      <c r="AD195">
        <v>1</v>
      </c>
      <c r="AE195" s="8"/>
      <c r="AF195" s="18">
        <v>2</v>
      </c>
      <c r="AI195">
        <v>11</v>
      </c>
    </row>
    <row r="196" spans="1:35" x14ac:dyDescent="0.35">
      <c r="A196" t="s">
        <v>193</v>
      </c>
      <c r="B196" t="s">
        <v>69</v>
      </c>
      <c r="C196" t="s">
        <v>33</v>
      </c>
      <c r="D196" t="s">
        <v>111</v>
      </c>
      <c r="I196" t="str">
        <f t="shared" si="6"/>
        <v>Formicidae</v>
      </c>
      <c r="J196" t="s">
        <v>326</v>
      </c>
      <c r="K196" t="s">
        <v>330</v>
      </c>
      <c r="L196" s="12" t="s">
        <v>112</v>
      </c>
      <c r="N196">
        <v>926</v>
      </c>
      <c r="O196" t="s">
        <v>155</v>
      </c>
      <c r="P196" t="s">
        <v>222</v>
      </c>
      <c r="Q196" t="s">
        <v>207</v>
      </c>
      <c r="R196" s="9">
        <v>0</v>
      </c>
      <c r="S196" s="3" t="s">
        <v>199</v>
      </c>
      <c r="U196" t="s">
        <v>225</v>
      </c>
      <c r="AD196">
        <v>1</v>
      </c>
      <c r="AE196" s="8"/>
      <c r="AF196" s="17">
        <v>2</v>
      </c>
      <c r="AI196">
        <v>12</v>
      </c>
    </row>
    <row r="197" spans="1:35" x14ac:dyDescent="0.35">
      <c r="A197" t="s">
        <v>193</v>
      </c>
      <c r="B197" t="s">
        <v>69</v>
      </c>
      <c r="C197" t="s">
        <v>33</v>
      </c>
      <c r="D197" t="s">
        <v>111</v>
      </c>
      <c r="I197" t="str">
        <f t="shared" si="6"/>
        <v>Formicidae</v>
      </c>
      <c r="J197" t="s">
        <v>326</v>
      </c>
      <c r="K197" t="s">
        <v>330</v>
      </c>
      <c r="L197" s="12" t="s">
        <v>112</v>
      </c>
      <c r="N197">
        <v>927</v>
      </c>
      <c r="O197" t="s">
        <v>155</v>
      </c>
      <c r="P197" t="s">
        <v>222</v>
      </c>
      <c r="Q197" t="s">
        <v>207</v>
      </c>
      <c r="R197" s="9">
        <v>0</v>
      </c>
      <c r="S197" s="3" t="s">
        <v>199</v>
      </c>
      <c r="U197" t="s">
        <v>225</v>
      </c>
      <c r="AD197">
        <v>1</v>
      </c>
      <c r="AE197" s="8"/>
      <c r="AF197" s="17">
        <v>2</v>
      </c>
      <c r="AI197">
        <v>13</v>
      </c>
    </row>
    <row r="198" spans="1:35" x14ac:dyDescent="0.35">
      <c r="A198" t="s">
        <v>193</v>
      </c>
      <c r="B198" t="s">
        <v>69</v>
      </c>
      <c r="C198" t="s">
        <v>33</v>
      </c>
      <c r="D198" t="s">
        <v>111</v>
      </c>
      <c r="I198" t="str">
        <f t="shared" si="6"/>
        <v>Formicidae</v>
      </c>
      <c r="J198" t="s">
        <v>326</v>
      </c>
      <c r="K198" t="s">
        <v>330</v>
      </c>
      <c r="L198" s="12" t="s">
        <v>112</v>
      </c>
      <c r="N198">
        <v>928</v>
      </c>
      <c r="O198" t="s">
        <v>155</v>
      </c>
      <c r="P198" t="s">
        <v>222</v>
      </c>
      <c r="Q198" t="s">
        <v>207</v>
      </c>
      <c r="R198" s="9">
        <v>0</v>
      </c>
      <c r="S198" s="3" t="s">
        <v>199</v>
      </c>
      <c r="U198" t="s">
        <v>225</v>
      </c>
      <c r="AD198">
        <v>1</v>
      </c>
      <c r="AE198" s="8"/>
      <c r="AF198" s="17">
        <v>2</v>
      </c>
      <c r="AI198">
        <v>14</v>
      </c>
    </row>
    <row r="199" spans="1:35" x14ac:dyDescent="0.35">
      <c r="A199" t="s">
        <v>193</v>
      </c>
      <c r="B199" t="s">
        <v>69</v>
      </c>
      <c r="C199" t="s">
        <v>33</v>
      </c>
      <c r="D199" t="s">
        <v>111</v>
      </c>
      <c r="I199" t="str">
        <f t="shared" si="6"/>
        <v>Formicidae</v>
      </c>
      <c r="J199" t="s">
        <v>326</v>
      </c>
      <c r="K199" t="s">
        <v>330</v>
      </c>
      <c r="L199" s="12" t="s">
        <v>112</v>
      </c>
      <c r="N199">
        <v>929</v>
      </c>
      <c r="O199" t="s">
        <v>155</v>
      </c>
      <c r="P199" t="s">
        <v>222</v>
      </c>
      <c r="Q199" t="s">
        <v>207</v>
      </c>
      <c r="R199" s="9">
        <v>0</v>
      </c>
      <c r="S199" s="3" t="s">
        <v>199</v>
      </c>
      <c r="U199" t="s">
        <v>225</v>
      </c>
      <c r="AD199">
        <v>1</v>
      </c>
      <c r="AE199" s="8"/>
      <c r="AF199" s="17">
        <v>2</v>
      </c>
      <c r="AI199">
        <v>15</v>
      </c>
    </row>
    <row r="200" spans="1:35" x14ac:dyDescent="0.35">
      <c r="A200" t="s">
        <v>193</v>
      </c>
      <c r="B200" t="s">
        <v>69</v>
      </c>
      <c r="C200" t="s">
        <v>33</v>
      </c>
      <c r="D200" t="s">
        <v>111</v>
      </c>
      <c r="I200" t="str">
        <f t="shared" si="6"/>
        <v>Formicidae</v>
      </c>
      <c r="J200" t="s">
        <v>326</v>
      </c>
      <c r="K200" t="s">
        <v>330</v>
      </c>
      <c r="L200" s="12" t="s">
        <v>112</v>
      </c>
      <c r="N200">
        <v>930</v>
      </c>
      <c r="O200" t="s">
        <v>155</v>
      </c>
      <c r="P200" t="s">
        <v>222</v>
      </c>
      <c r="Q200" t="s">
        <v>207</v>
      </c>
      <c r="R200" s="9">
        <v>0</v>
      </c>
      <c r="S200" s="3" t="s">
        <v>199</v>
      </c>
      <c r="U200" t="s">
        <v>225</v>
      </c>
      <c r="AD200">
        <v>1</v>
      </c>
      <c r="AE200" s="8"/>
      <c r="AF200" s="17">
        <v>2</v>
      </c>
      <c r="AI200">
        <v>16</v>
      </c>
    </row>
    <row r="201" spans="1:35" x14ac:dyDescent="0.35">
      <c r="A201" t="s">
        <v>193</v>
      </c>
      <c r="B201" t="s">
        <v>69</v>
      </c>
      <c r="C201" s="3" t="s">
        <v>33</v>
      </c>
      <c r="D201" s="10" t="s">
        <v>111</v>
      </c>
      <c r="I201" t="str">
        <f t="shared" si="6"/>
        <v>Formicidae</v>
      </c>
      <c r="J201" t="s">
        <v>326</v>
      </c>
      <c r="K201" t="s">
        <v>330</v>
      </c>
      <c r="L201" s="9" t="s">
        <v>112</v>
      </c>
      <c r="N201">
        <v>931</v>
      </c>
      <c r="O201" t="s">
        <v>155</v>
      </c>
      <c r="P201" t="s">
        <v>154</v>
      </c>
      <c r="Q201" t="s">
        <v>209</v>
      </c>
      <c r="R201" s="9">
        <v>0</v>
      </c>
      <c r="S201" s="3" t="s">
        <v>199</v>
      </c>
      <c r="U201" t="s">
        <v>225</v>
      </c>
      <c r="AD201">
        <v>1</v>
      </c>
      <c r="AE201" s="8"/>
      <c r="AF201" s="9">
        <v>1</v>
      </c>
      <c r="AI201">
        <v>35</v>
      </c>
    </row>
    <row r="202" spans="1:35" x14ac:dyDescent="0.35">
      <c r="A202" t="s">
        <v>193</v>
      </c>
      <c r="B202" t="s">
        <v>69</v>
      </c>
      <c r="C202" s="3" t="s">
        <v>33</v>
      </c>
      <c r="D202" s="10" t="s">
        <v>111</v>
      </c>
      <c r="I202" t="str">
        <f t="shared" si="6"/>
        <v>Formicidae</v>
      </c>
      <c r="J202" t="s">
        <v>326</v>
      </c>
      <c r="K202" t="s">
        <v>330</v>
      </c>
      <c r="L202" s="9" t="s">
        <v>112</v>
      </c>
      <c r="N202">
        <v>932</v>
      </c>
      <c r="O202" t="s">
        <v>155</v>
      </c>
      <c r="P202" t="s">
        <v>222</v>
      </c>
      <c r="Q202" t="s">
        <v>210</v>
      </c>
      <c r="R202" s="9">
        <v>0</v>
      </c>
      <c r="S202" s="3" t="s">
        <v>199</v>
      </c>
      <c r="U202" t="s">
        <v>225</v>
      </c>
      <c r="AD202">
        <v>1</v>
      </c>
      <c r="AE202" s="8"/>
      <c r="AF202" s="9">
        <v>1</v>
      </c>
      <c r="AI202">
        <v>38</v>
      </c>
    </row>
    <row r="203" spans="1:35" x14ac:dyDescent="0.35">
      <c r="A203" t="s">
        <v>193</v>
      </c>
      <c r="B203" t="s">
        <v>69</v>
      </c>
      <c r="C203" s="3" t="s">
        <v>33</v>
      </c>
      <c r="D203" s="10" t="s">
        <v>111</v>
      </c>
      <c r="I203" t="str">
        <f t="shared" si="6"/>
        <v>Formicidae</v>
      </c>
      <c r="J203" t="s">
        <v>326</v>
      </c>
      <c r="K203" t="s">
        <v>330</v>
      </c>
      <c r="L203" s="9" t="s">
        <v>112</v>
      </c>
      <c r="N203">
        <v>934</v>
      </c>
      <c r="O203" t="s">
        <v>155</v>
      </c>
      <c r="P203" t="s">
        <v>222</v>
      </c>
      <c r="Q203" t="s">
        <v>210</v>
      </c>
      <c r="R203" s="9">
        <v>0</v>
      </c>
      <c r="S203" s="3" t="s">
        <v>199</v>
      </c>
      <c r="U203" t="s">
        <v>225</v>
      </c>
      <c r="AD203">
        <v>1</v>
      </c>
      <c r="AE203" s="8"/>
      <c r="AF203" s="9">
        <v>1</v>
      </c>
      <c r="AI203">
        <v>40</v>
      </c>
    </row>
    <row r="204" spans="1:35" x14ac:dyDescent="0.35">
      <c r="A204" t="s">
        <v>193</v>
      </c>
      <c r="B204" t="s">
        <v>69</v>
      </c>
      <c r="C204" s="3" t="s">
        <v>33</v>
      </c>
      <c r="D204" s="10" t="s">
        <v>111</v>
      </c>
      <c r="I204" t="str">
        <f t="shared" si="6"/>
        <v>Formicidae</v>
      </c>
      <c r="J204" t="s">
        <v>326</v>
      </c>
      <c r="K204" t="s">
        <v>330</v>
      </c>
      <c r="L204" s="9" t="s">
        <v>112</v>
      </c>
      <c r="N204">
        <v>935</v>
      </c>
      <c r="O204" t="s">
        <v>155</v>
      </c>
      <c r="P204" t="s">
        <v>222</v>
      </c>
      <c r="Q204" t="s">
        <v>210</v>
      </c>
      <c r="R204" s="9">
        <v>0</v>
      </c>
      <c r="S204" s="3" t="s">
        <v>199</v>
      </c>
      <c r="U204" t="s">
        <v>225</v>
      </c>
      <c r="AD204">
        <v>1</v>
      </c>
      <c r="AE204" s="8"/>
      <c r="AF204" s="9">
        <v>1</v>
      </c>
      <c r="AI204">
        <v>41</v>
      </c>
    </row>
    <row r="205" spans="1:35" x14ac:dyDescent="0.35">
      <c r="A205" t="s">
        <v>193</v>
      </c>
      <c r="B205" t="s">
        <v>69</v>
      </c>
      <c r="C205" s="3" t="s">
        <v>33</v>
      </c>
      <c r="D205" s="10" t="s">
        <v>111</v>
      </c>
      <c r="I205" t="str">
        <f t="shared" si="6"/>
        <v>Formicidae</v>
      </c>
      <c r="J205" t="s">
        <v>326</v>
      </c>
      <c r="K205" t="s">
        <v>330</v>
      </c>
      <c r="L205" s="9" t="s">
        <v>112</v>
      </c>
      <c r="N205">
        <v>936</v>
      </c>
      <c r="O205" t="s">
        <v>155</v>
      </c>
      <c r="P205" t="s">
        <v>222</v>
      </c>
      <c r="Q205" t="s">
        <v>210</v>
      </c>
      <c r="R205" s="9">
        <v>0</v>
      </c>
      <c r="S205" s="3" t="s">
        <v>199</v>
      </c>
      <c r="U205" t="s">
        <v>225</v>
      </c>
      <c r="AD205">
        <v>1</v>
      </c>
      <c r="AE205" s="8"/>
      <c r="AF205" s="9">
        <v>1</v>
      </c>
      <c r="AI205">
        <v>42</v>
      </c>
    </row>
    <row r="206" spans="1:35" x14ac:dyDescent="0.35">
      <c r="A206" t="s">
        <v>193</v>
      </c>
      <c r="B206" t="s">
        <v>69</v>
      </c>
      <c r="C206" s="3" t="s">
        <v>33</v>
      </c>
      <c r="D206" s="10" t="s">
        <v>111</v>
      </c>
      <c r="I206" t="str">
        <f t="shared" si="6"/>
        <v>Formicidae</v>
      </c>
      <c r="J206" t="s">
        <v>326</v>
      </c>
      <c r="K206" t="s">
        <v>330</v>
      </c>
      <c r="L206" s="9" t="s">
        <v>112</v>
      </c>
      <c r="N206">
        <v>937</v>
      </c>
      <c r="O206" t="s">
        <v>155</v>
      </c>
      <c r="P206" t="s">
        <v>222</v>
      </c>
      <c r="Q206" t="s">
        <v>210</v>
      </c>
      <c r="R206" s="9"/>
      <c r="S206" s="3" t="s">
        <v>199</v>
      </c>
      <c r="U206" t="s">
        <v>225</v>
      </c>
      <c r="AD206">
        <v>1</v>
      </c>
      <c r="AE206" s="8"/>
      <c r="AF206" s="9">
        <v>1</v>
      </c>
      <c r="AI206">
        <v>44</v>
      </c>
    </row>
    <row r="207" spans="1:35" x14ac:dyDescent="0.35">
      <c r="A207" t="s">
        <v>193</v>
      </c>
      <c r="B207" t="s">
        <v>69</v>
      </c>
      <c r="C207" s="3" t="s">
        <v>33</v>
      </c>
      <c r="D207" s="10" t="s">
        <v>111</v>
      </c>
      <c r="I207" s="11" t="str">
        <f t="shared" si="6"/>
        <v>Formicidae</v>
      </c>
      <c r="J207" t="s">
        <v>326</v>
      </c>
      <c r="K207" t="s">
        <v>330</v>
      </c>
      <c r="L207" s="9" t="s">
        <v>112</v>
      </c>
      <c r="N207">
        <v>938</v>
      </c>
      <c r="O207" t="s">
        <v>155</v>
      </c>
      <c r="P207" t="s">
        <v>222</v>
      </c>
      <c r="Q207" t="s">
        <v>211</v>
      </c>
      <c r="R207" s="9"/>
      <c r="S207" s="3" t="s">
        <v>199</v>
      </c>
      <c r="U207" t="s">
        <v>225</v>
      </c>
      <c r="AD207">
        <v>1</v>
      </c>
      <c r="AE207" s="8"/>
      <c r="AF207" s="9">
        <v>1</v>
      </c>
      <c r="AI207">
        <v>50</v>
      </c>
    </row>
    <row r="208" spans="1:35" x14ac:dyDescent="0.35">
      <c r="A208" t="s">
        <v>193</v>
      </c>
      <c r="B208" t="s">
        <v>69</v>
      </c>
      <c r="C208" t="s">
        <v>33</v>
      </c>
      <c r="D208" s="8" t="s">
        <v>65</v>
      </c>
      <c r="H208" s="22" t="s">
        <v>322</v>
      </c>
      <c r="I208" t="s">
        <v>258</v>
      </c>
      <c r="J208" t="s">
        <v>65</v>
      </c>
      <c r="K208" t="s">
        <v>333</v>
      </c>
      <c r="L208" s="8" t="s">
        <v>196</v>
      </c>
      <c r="N208">
        <v>888</v>
      </c>
      <c r="O208" t="s">
        <v>155</v>
      </c>
      <c r="P208" t="s">
        <v>222</v>
      </c>
      <c r="Q208" t="s">
        <v>207</v>
      </c>
      <c r="R208">
        <v>1</v>
      </c>
      <c r="S208" t="s">
        <v>168</v>
      </c>
      <c r="T208" t="s">
        <v>78</v>
      </c>
      <c r="U208" t="s">
        <v>271</v>
      </c>
      <c r="AD208">
        <v>1</v>
      </c>
      <c r="AE208" s="8"/>
      <c r="AF208" s="17">
        <v>2</v>
      </c>
      <c r="AI208">
        <v>1</v>
      </c>
    </row>
    <row r="209" spans="1:35" x14ac:dyDescent="0.35">
      <c r="A209" t="s">
        <v>193</v>
      </c>
      <c r="B209" t="s">
        <v>69</v>
      </c>
      <c r="C209" t="s">
        <v>33</v>
      </c>
      <c r="D209" s="8" t="s">
        <v>65</v>
      </c>
      <c r="H209" s="22" t="s">
        <v>322</v>
      </c>
      <c r="I209" t="s">
        <v>258</v>
      </c>
      <c r="J209" t="s">
        <v>65</v>
      </c>
      <c r="K209" t="s">
        <v>333</v>
      </c>
      <c r="L209" s="8" t="s">
        <v>196</v>
      </c>
      <c r="N209">
        <v>889</v>
      </c>
      <c r="O209" t="s">
        <v>155</v>
      </c>
      <c r="P209" t="s">
        <v>222</v>
      </c>
      <c r="Q209" t="s">
        <v>207</v>
      </c>
      <c r="R209" s="9">
        <v>1</v>
      </c>
      <c r="S209" t="s">
        <v>168</v>
      </c>
      <c r="T209" t="s">
        <v>78</v>
      </c>
      <c r="U209" t="s">
        <v>271</v>
      </c>
      <c r="AD209">
        <v>1</v>
      </c>
      <c r="AE209" s="8"/>
      <c r="AF209" s="17">
        <v>2</v>
      </c>
      <c r="AI209">
        <v>5</v>
      </c>
    </row>
    <row r="210" spans="1:35" x14ac:dyDescent="0.35">
      <c r="A210" t="s">
        <v>193</v>
      </c>
      <c r="B210" t="s">
        <v>69</v>
      </c>
      <c r="C210" t="s">
        <v>33</v>
      </c>
      <c r="D210" s="8" t="s">
        <v>65</v>
      </c>
      <c r="H210" s="22" t="s">
        <v>322</v>
      </c>
      <c r="I210" t="s">
        <v>258</v>
      </c>
      <c r="J210" t="s">
        <v>65</v>
      </c>
      <c r="K210" t="s">
        <v>333</v>
      </c>
      <c r="L210" s="8" t="s">
        <v>196</v>
      </c>
      <c r="N210">
        <v>923</v>
      </c>
      <c r="O210" t="s">
        <v>155</v>
      </c>
      <c r="P210" t="s">
        <v>222</v>
      </c>
      <c r="Q210" t="s">
        <v>207</v>
      </c>
      <c r="R210" s="9">
        <v>0</v>
      </c>
      <c r="S210" s="3" t="s">
        <v>199</v>
      </c>
      <c r="U210" t="s">
        <v>225</v>
      </c>
      <c r="AD210">
        <v>1</v>
      </c>
      <c r="AE210" s="8"/>
      <c r="AF210" s="17">
        <v>2</v>
      </c>
      <c r="AI210">
        <v>3</v>
      </c>
    </row>
    <row r="211" spans="1:35" x14ac:dyDescent="0.35">
      <c r="A211" t="s">
        <v>193</v>
      </c>
      <c r="B211" t="s">
        <v>69</v>
      </c>
      <c r="C211" t="s">
        <v>33</v>
      </c>
      <c r="D211" s="8" t="s">
        <v>65</v>
      </c>
      <c r="H211" t="s">
        <v>257</v>
      </c>
      <c r="I211" t="str">
        <f>D211&amp;" "&amp;H211</f>
        <v>Halictidae species 2</v>
      </c>
      <c r="J211" t="s">
        <v>65</v>
      </c>
      <c r="K211" t="s">
        <v>333</v>
      </c>
      <c r="L211" s="8" t="s">
        <v>196</v>
      </c>
      <c r="N211">
        <v>862</v>
      </c>
      <c r="O211" t="s">
        <v>155</v>
      </c>
      <c r="P211" t="s">
        <v>222</v>
      </c>
      <c r="Q211" t="s">
        <v>211</v>
      </c>
      <c r="R211" s="9">
        <v>1</v>
      </c>
      <c r="U211" t="s">
        <v>225</v>
      </c>
      <c r="AD211">
        <v>1</v>
      </c>
      <c r="AE211" s="8"/>
      <c r="AF211" s="9">
        <v>1</v>
      </c>
      <c r="AI211">
        <v>49</v>
      </c>
    </row>
    <row r="212" spans="1:35" x14ac:dyDescent="0.35">
      <c r="A212" t="s">
        <v>193</v>
      </c>
      <c r="B212" t="s">
        <v>69</v>
      </c>
      <c r="C212" t="s">
        <v>33</v>
      </c>
      <c r="D212" t="s">
        <v>34</v>
      </c>
      <c r="E212" t="s">
        <v>309</v>
      </c>
      <c r="F212" t="s">
        <v>42</v>
      </c>
      <c r="G212" s="20" t="s">
        <v>151</v>
      </c>
      <c r="H212" s="21" t="s">
        <v>152</v>
      </c>
      <c r="I212" t="str">
        <f t="shared" ref="I212:I234" si="7">G212&amp;" "&amp;H212</f>
        <v>Trigona fulviventris</v>
      </c>
      <c r="J212" t="s">
        <v>42</v>
      </c>
      <c r="K212" t="s">
        <v>334</v>
      </c>
      <c r="L212" s="9" t="s">
        <v>198</v>
      </c>
      <c r="N212">
        <v>869</v>
      </c>
      <c r="O212" t="s">
        <v>155</v>
      </c>
      <c r="P212" t="s">
        <v>223</v>
      </c>
      <c r="Q212" s="9" t="s">
        <v>212</v>
      </c>
      <c r="R212" s="9"/>
      <c r="U212" t="s">
        <v>225</v>
      </c>
      <c r="AD212">
        <v>1</v>
      </c>
      <c r="AE212" s="8"/>
      <c r="AF212" s="9">
        <v>1</v>
      </c>
      <c r="AI212">
        <v>56</v>
      </c>
    </row>
    <row r="213" spans="1:35" x14ac:dyDescent="0.35">
      <c r="A213" t="s">
        <v>193</v>
      </c>
      <c r="B213" t="s">
        <v>69</v>
      </c>
      <c r="C213" t="s">
        <v>33</v>
      </c>
      <c r="D213" t="s">
        <v>34</v>
      </c>
      <c r="E213" t="s">
        <v>309</v>
      </c>
      <c r="F213" t="s">
        <v>42</v>
      </c>
      <c r="G213" s="20" t="s">
        <v>151</v>
      </c>
      <c r="H213" s="21" t="s">
        <v>152</v>
      </c>
      <c r="I213" t="str">
        <f t="shared" si="7"/>
        <v>Trigona fulviventris</v>
      </c>
      <c r="J213" t="s">
        <v>42</v>
      </c>
      <c r="K213" t="s">
        <v>334</v>
      </c>
      <c r="L213" s="9" t="s">
        <v>198</v>
      </c>
      <c r="N213">
        <v>870</v>
      </c>
      <c r="O213" t="s">
        <v>155</v>
      </c>
      <c r="P213" t="s">
        <v>223</v>
      </c>
      <c r="Q213" s="9" t="s">
        <v>212</v>
      </c>
      <c r="R213" s="9"/>
      <c r="U213" t="s">
        <v>225</v>
      </c>
      <c r="AD213">
        <v>1</v>
      </c>
      <c r="AE213" s="8"/>
      <c r="AF213" s="9">
        <v>1</v>
      </c>
      <c r="AI213">
        <v>57</v>
      </c>
    </row>
    <row r="214" spans="1:35" x14ac:dyDescent="0.35">
      <c r="A214" t="s">
        <v>193</v>
      </c>
      <c r="B214" t="s">
        <v>69</v>
      </c>
      <c r="C214" t="s">
        <v>33</v>
      </c>
      <c r="D214" t="s">
        <v>34</v>
      </c>
      <c r="E214" t="s">
        <v>309</v>
      </c>
      <c r="F214" t="s">
        <v>42</v>
      </c>
      <c r="G214" s="20" t="s">
        <v>151</v>
      </c>
      <c r="H214" s="21" t="s">
        <v>152</v>
      </c>
      <c r="I214" t="str">
        <f t="shared" si="7"/>
        <v>Trigona fulviventris</v>
      </c>
      <c r="J214" t="s">
        <v>42</v>
      </c>
      <c r="K214" t="s">
        <v>334</v>
      </c>
      <c r="L214" s="9" t="s">
        <v>198</v>
      </c>
      <c r="N214">
        <v>871</v>
      </c>
      <c r="O214" t="s">
        <v>155</v>
      </c>
      <c r="P214" t="s">
        <v>223</v>
      </c>
      <c r="Q214" s="9" t="s">
        <v>212</v>
      </c>
      <c r="R214" s="9"/>
      <c r="U214" t="s">
        <v>225</v>
      </c>
      <c r="AD214">
        <v>1</v>
      </c>
      <c r="AE214" s="8"/>
      <c r="AF214" s="9">
        <v>1</v>
      </c>
      <c r="AI214">
        <v>58</v>
      </c>
    </row>
    <row r="215" spans="1:35" x14ac:dyDescent="0.35">
      <c r="A215" t="s">
        <v>193</v>
      </c>
      <c r="B215" t="s">
        <v>69</v>
      </c>
      <c r="C215" t="s">
        <v>33</v>
      </c>
      <c r="D215" t="s">
        <v>34</v>
      </c>
      <c r="E215" t="s">
        <v>309</v>
      </c>
      <c r="F215" t="s">
        <v>42</v>
      </c>
      <c r="G215" s="20" t="s">
        <v>151</v>
      </c>
      <c r="H215" s="21" t="s">
        <v>152</v>
      </c>
      <c r="I215" t="str">
        <f t="shared" si="7"/>
        <v>Trigona fulviventris</v>
      </c>
      <c r="J215" t="s">
        <v>42</v>
      </c>
      <c r="K215" t="s">
        <v>334</v>
      </c>
      <c r="L215" s="9" t="s">
        <v>198</v>
      </c>
      <c r="N215">
        <v>872</v>
      </c>
      <c r="O215" t="s">
        <v>155</v>
      </c>
      <c r="P215" t="s">
        <v>223</v>
      </c>
      <c r="Q215" s="9" t="s">
        <v>212</v>
      </c>
      <c r="R215" s="9"/>
      <c r="U215" t="s">
        <v>225</v>
      </c>
      <c r="AD215">
        <v>1</v>
      </c>
      <c r="AE215" s="8"/>
      <c r="AF215" s="9">
        <v>1</v>
      </c>
      <c r="AI215">
        <v>59</v>
      </c>
    </row>
    <row r="216" spans="1:35" x14ac:dyDescent="0.35">
      <c r="A216" t="s">
        <v>193</v>
      </c>
      <c r="B216" t="s">
        <v>69</v>
      </c>
      <c r="C216" t="s">
        <v>33</v>
      </c>
      <c r="D216" t="s">
        <v>34</v>
      </c>
      <c r="E216" t="s">
        <v>309</v>
      </c>
      <c r="F216" t="s">
        <v>42</v>
      </c>
      <c r="G216" s="20" t="s">
        <v>151</v>
      </c>
      <c r="H216" s="21" t="s">
        <v>152</v>
      </c>
      <c r="I216" t="str">
        <f t="shared" si="7"/>
        <v>Trigona fulviventris</v>
      </c>
      <c r="J216" t="s">
        <v>42</v>
      </c>
      <c r="K216" t="s">
        <v>334</v>
      </c>
      <c r="L216" s="9" t="s">
        <v>198</v>
      </c>
      <c r="N216">
        <v>873</v>
      </c>
      <c r="O216" t="s">
        <v>155</v>
      </c>
      <c r="P216" t="s">
        <v>223</v>
      </c>
      <c r="Q216" s="9" t="s">
        <v>212</v>
      </c>
      <c r="R216" s="9"/>
      <c r="U216" t="s">
        <v>225</v>
      </c>
      <c r="AD216">
        <v>1</v>
      </c>
      <c r="AE216" s="8"/>
      <c r="AF216" s="9">
        <v>1</v>
      </c>
      <c r="AI216">
        <v>60</v>
      </c>
    </row>
    <row r="217" spans="1:35" x14ac:dyDescent="0.35">
      <c r="A217" t="s">
        <v>193</v>
      </c>
      <c r="B217" t="s">
        <v>69</v>
      </c>
      <c r="C217" t="s">
        <v>33</v>
      </c>
      <c r="D217" t="s">
        <v>34</v>
      </c>
      <c r="E217" t="s">
        <v>309</v>
      </c>
      <c r="F217" t="s">
        <v>42</v>
      </c>
      <c r="G217" s="20" t="s">
        <v>151</v>
      </c>
      <c r="H217" s="21" t="s">
        <v>152</v>
      </c>
      <c r="I217" t="str">
        <f t="shared" si="7"/>
        <v>Trigona fulviventris</v>
      </c>
      <c r="J217" t="s">
        <v>42</v>
      </c>
      <c r="K217" t="s">
        <v>334</v>
      </c>
      <c r="L217" s="9" t="s">
        <v>198</v>
      </c>
      <c r="N217">
        <v>881</v>
      </c>
      <c r="O217" t="s">
        <v>155</v>
      </c>
      <c r="P217" t="s">
        <v>223</v>
      </c>
      <c r="Q217" t="s">
        <v>215</v>
      </c>
      <c r="R217">
        <v>0</v>
      </c>
      <c r="S217" t="s">
        <v>166</v>
      </c>
      <c r="T217" t="s">
        <v>72</v>
      </c>
      <c r="U217" t="s">
        <v>271</v>
      </c>
      <c r="AD217">
        <v>1</v>
      </c>
      <c r="AI217">
        <v>119</v>
      </c>
    </row>
    <row r="218" spans="1:35" x14ac:dyDescent="0.35">
      <c r="A218" t="s">
        <v>193</v>
      </c>
      <c r="B218" t="s">
        <v>69</v>
      </c>
      <c r="C218" t="s">
        <v>33</v>
      </c>
      <c r="D218" t="s">
        <v>34</v>
      </c>
      <c r="E218" t="s">
        <v>309</v>
      </c>
      <c r="F218" t="s">
        <v>42</v>
      </c>
      <c r="G218" s="20" t="s">
        <v>151</v>
      </c>
      <c r="H218" s="21" t="s">
        <v>152</v>
      </c>
      <c r="I218" t="str">
        <f t="shared" si="7"/>
        <v>Trigona fulviventris</v>
      </c>
      <c r="J218" t="s">
        <v>42</v>
      </c>
      <c r="K218" t="s">
        <v>334</v>
      </c>
      <c r="L218" s="9" t="s">
        <v>198</v>
      </c>
      <c r="N218">
        <v>882</v>
      </c>
      <c r="O218" t="s">
        <v>155</v>
      </c>
      <c r="P218" t="s">
        <v>223</v>
      </c>
      <c r="Q218" t="s">
        <v>215</v>
      </c>
      <c r="R218">
        <v>0</v>
      </c>
      <c r="S218" t="s">
        <v>166</v>
      </c>
      <c r="T218" t="s">
        <v>72</v>
      </c>
      <c r="U218" t="s">
        <v>271</v>
      </c>
      <c r="AD218">
        <v>1</v>
      </c>
      <c r="AI218">
        <v>123</v>
      </c>
    </row>
    <row r="219" spans="1:35" x14ac:dyDescent="0.35">
      <c r="A219" t="s">
        <v>193</v>
      </c>
      <c r="B219" t="s">
        <v>69</v>
      </c>
      <c r="C219" t="s">
        <v>33</v>
      </c>
      <c r="D219" t="s">
        <v>34</v>
      </c>
      <c r="E219" t="s">
        <v>309</v>
      </c>
      <c r="F219" t="s">
        <v>42</v>
      </c>
      <c r="G219" s="20" t="s">
        <v>151</v>
      </c>
      <c r="H219" s="21" t="s">
        <v>152</v>
      </c>
      <c r="I219" t="str">
        <f t="shared" si="7"/>
        <v>Trigona fulviventris</v>
      </c>
      <c r="J219" t="s">
        <v>42</v>
      </c>
      <c r="K219" t="s">
        <v>334</v>
      </c>
      <c r="L219" s="9" t="s">
        <v>198</v>
      </c>
      <c r="N219">
        <v>908</v>
      </c>
      <c r="O219" t="s">
        <v>155</v>
      </c>
      <c r="P219" t="s">
        <v>223</v>
      </c>
      <c r="Q219" t="s">
        <v>215</v>
      </c>
      <c r="R219">
        <v>0</v>
      </c>
      <c r="S219" t="s">
        <v>165</v>
      </c>
      <c r="T219" t="s">
        <v>72</v>
      </c>
      <c r="U219" t="s">
        <v>271</v>
      </c>
      <c r="AD219">
        <v>1</v>
      </c>
      <c r="AI219">
        <v>125</v>
      </c>
    </row>
    <row r="220" spans="1:35" x14ac:dyDescent="0.35">
      <c r="A220" t="s">
        <v>193</v>
      </c>
      <c r="B220" t="s">
        <v>69</v>
      </c>
      <c r="C220" t="s">
        <v>33</v>
      </c>
      <c r="D220" t="s">
        <v>34</v>
      </c>
      <c r="E220" t="s">
        <v>309</v>
      </c>
      <c r="F220" t="s">
        <v>42</v>
      </c>
      <c r="G220" s="20" t="s">
        <v>151</v>
      </c>
      <c r="H220" s="21" t="s">
        <v>152</v>
      </c>
      <c r="I220" t="str">
        <f t="shared" si="7"/>
        <v>Trigona fulviventris</v>
      </c>
      <c r="J220" t="s">
        <v>42</v>
      </c>
      <c r="K220" t="s">
        <v>334</v>
      </c>
      <c r="L220" s="9" t="s">
        <v>198</v>
      </c>
      <c r="N220">
        <v>909</v>
      </c>
      <c r="O220" t="s">
        <v>155</v>
      </c>
      <c r="P220" t="s">
        <v>154</v>
      </c>
      <c r="Q220" t="s">
        <v>214</v>
      </c>
      <c r="R220">
        <v>1</v>
      </c>
      <c r="S220" t="s">
        <v>204</v>
      </c>
      <c r="T220" t="s">
        <v>230</v>
      </c>
      <c r="U220" t="s">
        <v>271</v>
      </c>
      <c r="AD220">
        <v>1</v>
      </c>
      <c r="AE220" s="8"/>
      <c r="AF220" s="18">
        <v>1</v>
      </c>
      <c r="AI220">
        <v>92</v>
      </c>
    </row>
    <row r="221" spans="1:35" x14ac:dyDescent="0.35">
      <c r="A221" t="s">
        <v>193</v>
      </c>
      <c r="B221" t="s">
        <v>69</v>
      </c>
      <c r="C221" t="s">
        <v>33</v>
      </c>
      <c r="D221" t="s">
        <v>34</v>
      </c>
      <c r="E221" t="s">
        <v>309</v>
      </c>
      <c r="F221" t="s">
        <v>42</v>
      </c>
      <c r="G221" s="20" t="s">
        <v>151</v>
      </c>
      <c r="H221" s="21" t="s">
        <v>152</v>
      </c>
      <c r="I221" t="str">
        <f t="shared" si="7"/>
        <v>Trigona fulviventris</v>
      </c>
      <c r="J221" t="s">
        <v>42</v>
      </c>
      <c r="K221" t="s">
        <v>334</v>
      </c>
      <c r="L221" s="9" t="s">
        <v>198</v>
      </c>
      <c r="N221">
        <v>910</v>
      </c>
      <c r="O221" t="s">
        <v>155</v>
      </c>
      <c r="P221" t="s">
        <v>154</v>
      </c>
      <c r="Q221" t="s">
        <v>214</v>
      </c>
      <c r="R221">
        <v>1</v>
      </c>
      <c r="S221" t="s">
        <v>204</v>
      </c>
      <c r="T221" t="s">
        <v>230</v>
      </c>
      <c r="U221" t="s">
        <v>271</v>
      </c>
      <c r="AD221">
        <v>1</v>
      </c>
      <c r="AE221" s="8"/>
      <c r="AF221" s="18">
        <v>1</v>
      </c>
      <c r="AI221">
        <v>93</v>
      </c>
    </row>
    <row r="222" spans="1:35" x14ac:dyDescent="0.35">
      <c r="A222" t="s">
        <v>193</v>
      </c>
      <c r="B222" t="s">
        <v>69</v>
      </c>
      <c r="C222" t="s">
        <v>33</v>
      </c>
      <c r="D222" t="s">
        <v>34</v>
      </c>
      <c r="E222" t="s">
        <v>309</v>
      </c>
      <c r="F222" t="s">
        <v>42</v>
      </c>
      <c r="G222" s="20" t="s">
        <v>151</v>
      </c>
      <c r="H222" s="21" t="s">
        <v>152</v>
      </c>
      <c r="I222" t="str">
        <f t="shared" si="7"/>
        <v>Trigona fulviventris</v>
      </c>
      <c r="J222" t="s">
        <v>42</v>
      </c>
      <c r="K222" t="s">
        <v>334</v>
      </c>
      <c r="L222" s="9" t="s">
        <v>198</v>
      </c>
      <c r="N222">
        <v>911</v>
      </c>
      <c r="O222" t="s">
        <v>155</v>
      </c>
      <c r="P222" t="s">
        <v>154</v>
      </c>
      <c r="Q222" t="s">
        <v>214</v>
      </c>
      <c r="R222">
        <v>0</v>
      </c>
      <c r="S222" t="s">
        <v>204</v>
      </c>
      <c r="T222" t="s">
        <v>230</v>
      </c>
      <c r="U222" t="s">
        <v>271</v>
      </c>
      <c r="AD222">
        <v>1</v>
      </c>
      <c r="AE222" s="8"/>
      <c r="AF222" s="18">
        <v>1</v>
      </c>
      <c r="AI222">
        <v>105</v>
      </c>
    </row>
    <row r="223" spans="1:35" x14ac:dyDescent="0.35">
      <c r="A223" t="s">
        <v>193</v>
      </c>
      <c r="B223" t="s">
        <v>69</v>
      </c>
      <c r="C223" t="s">
        <v>33</v>
      </c>
      <c r="D223" t="s">
        <v>34</v>
      </c>
      <c r="E223" t="s">
        <v>309</v>
      </c>
      <c r="F223" t="s">
        <v>42</v>
      </c>
      <c r="G223" s="20" t="s">
        <v>151</v>
      </c>
      <c r="H223" s="21" t="s">
        <v>152</v>
      </c>
      <c r="I223" t="str">
        <f t="shared" si="7"/>
        <v>Trigona fulviventris</v>
      </c>
      <c r="J223" t="s">
        <v>42</v>
      </c>
      <c r="K223" t="s">
        <v>334</v>
      </c>
      <c r="L223" s="9" t="s">
        <v>198</v>
      </c>
      <c r="N223">
        <v>912</v>
      </c>
      <c r="O223" t="s">
        <v>155</v>
      </c>
      <c r="P223" t="s">
        <v>154</v>
      </c>
      <c r="Q223" t="s">
        <v>214</v>
      </c>
      <c r="R223">
        <v>1</v>
      </c>
      <c r="S223" t="s">
        <v>204</v>
      </c>
      <c r="T223" t="s">
        <v>230</v>
      </c>
      <c r="U223" t="s">
        <v>271</v>
      </c>
      <c r="AD223">
        <v>1</v>
      </c>
      <c r="AE223" s="8"/>
      <c r="AF223" s="18">
        <v>1</v>
      </c>
      <c r="AI223">
        <v>109</v>
      </c>
    </row>
    <row r="224" spans="1:35" x14ac:dyDescent="0.35">
      <c r="A224" t="s">
        <v>193</v>
      </c>
      <c r="B224" t="s">
        <v>69</v>
      </c>
      <c r="C224" t="s">
        <v>33</v>
      </c>
      <c r="D224" t="s">
        <v>34</v>
      </c>
      <c r="E224" t="s">
        <v>309</v>
      </c>
      <c r="F224" t="s">
        <v>42</v>
      </c>
      <c r="G224" s="20" t="s">
        <v>151</v>
      </c>
      <c r="H224" s="21" t="s">
        <v>152</v>
      </c>
      <c r="I224" t="str">
        <f t="shared" si="7"/>
        <v>Trigona fulviventris</v>
      </c>
      <c r="J224" t="s">
        <v>42</v>
      </c>
      <c r="K224" t="s">
        <v>334</v>
      </c>
      <c r="L224" s="9" t="s">
        <v>198</v>
      </c>
      <c r="N224">
        <v>913</v>
      </c>
      <c r="O224" t="s">
        <v>155</v>
      </c>
      <c r="P224" t="s">
        <v>223</v>
      </c>
      <c r="Q224" t="s">
        <v>215</v>
      </c>
      <c r="R224">
        <v>0</v>
      </c>
      <c r="S224" t="s">
        <v>204</v>
      </c>
      <c r="T224" t="s">
        <v>230</v>
      </c>
      <c r="U224" t="s">
        <v>271</v>
      </c>
      <c r="AD224">
        <v>1</v>
      </c>
      <c r="AI224">
        <v>126</v>
      </c>
    </row>
    <row r="225" spans="1:35" x14ac:dyDescent="0.35">
      <c r="A225" t="s">
        <v>193</v>
      </c>
      <c r="B225" t="s">
        <v>69</v>
      </c>
      <c r="C225" t="s">
        <v>33</v>
      </c>
      <c r="D225" t="s">
        <v>34</v>
      </c>
      <c r="E225" t="s">
        <v>309</v>
      </c>
      <c r="F225" t="s">
        <v>42</v>
      </c>
      <c r="G225" s="20" t="s">
        <v>151</v>
      </c>
      <c r="H225" s="21" t="s">
        <v>152</v>
      </c>
      <c r="I225" t="str">
        <f t="shared" si="7"/>
        <v>Trigona fulviventris</v>
      </c>
      <c r="J225" t="s">
        <v>42</v>
      </c>
      <c r="K225" t="s">
        <v>334</v>
      </c>
      <c r="L225" s="9" t="s">
        <v>198</v>
      </c>
      <c r="N225">
        <v>914</v>
      </c>
      <c r="O225" t="s">
        <v>155</v>
      </c>
      <c r="P225" t="s">
        <v>223</v>
      </c>
      <c r="Q225" s="9" t="s">
        <v>213</v>
      </c>
      <c r="R225">
        <v>1</v>
      </c>
      <c r="S225" t="s">
        <v>202</v>
      </c>
      <c r="T225" t="s">
        <v>232</v>
      </c>
      <c r="U225" t="s">
        <v>271</v>
      </c>
      <c r="AD225">
        <v>1</v>
      </c>
      <c r="AE225" s="8"/>
      <c r="AF225" s="18">
        <v>3</v>
      </c>
      <c r="AI225">
        <v>71</v>
      </c>
    </row>
    <row r="226" spans="1:35" x14ac:dyDescent="0.35">
      <c r="A226" t="s">
        <v>193</v>
      </c>
      <c r="B226" t="s">
        <v>69</v>
      </c>
      <c r="C226" t="s">
        <v>33</v>
      </c>
      <c r="D226" t="s">
        <v>34</v>
      </c>
      <c r="E226" t="s">
        <v>309</v>
      </c>
      <c r="F226" t="s">
        <v>42</v>
      </c>
      <c r="G226" s="20" t="s">
        <v>151</v>
      </c>
      <c r="H226" s="21" t="s">
        <v>152</v>
      </c>
      <c r="I226" t="str">
        <f t="shared" si="7"/>
        <v>Trigona fulviventris</v>
      </c>
      <c r="J226" t="s">
        <v>42</v>
      </c>
      <c r="K226" t="s">
        <v>334</v>
      </c>
      <c r="L226" s="9" t="s">
        <v>198</v>
      </c>
      <c r="N226">
        <v>915</v>
      </c>
      <c r="O226" t="s">
        <v>155</v>
      </c>
      <c r="P226" t="s">
        <v>223</v>
      </c>
      <c r="Q226" s="9" t="s">
        <v>213</v>
      </c>
      <c r="R226">
        <v>0</v>
      </c>
      <c r="S226" t="s">
        <v>202</v>
      </c>
      <c r="T226" t="s">
        <v>232</v>
      </c>
      <c r="U226" t="s">
        <v>271</v>
      </c>
      <c r="AD226">
        <v>1</v>
      </c>
      <c r="AE226" s="8"/>
      <c r="AF226" s="18">
        <v>3</v>
      </c>
      <c r="AI226">
        <v>72</v>
      </c>
    </row>
    <row r="227" spans="1:35" x14ac:dyDescent="0.35">
      <c r="A227" t="s">
        <v>193</v>
      </c>
      <c r="B227" t="s">
        <v>69</v>
      </c>
      <c r="C227" t="s">
        <v>33</v>
      </c>
      <c r="D227" t="s">
        <v>34</v>
      </c>
      <c r="E227" t="s">
        <v>309</v>
      </c>
      <c r="F227" t="s">
        <v>42</v>
      </c>
      <c r="G227" s="20" t="s">
        <v>151</v>
      </c>
      <c r="H227" s="21" t="s">
        <v>152</v>
      </c>
      <c r="I227" t="str">
        <f t="shared" si="7"/>
        <v>Trigona fulviventris</v>
      </c>
      <c r="J227" t="s">
        <v>42</v>
      </c>
      <c r="K227" t="s">
        <v>334</v>
      </c>
      <c r="L227" s="9" t="s">
        <v>198</v>
      </c>
      <c r="N227">
        <v>916</v>
      </c>
      <c r="O227" t="s">
        <v>155</v>
      </c>
      <c r="P227" t="s">
        <v>223</v>
      </c>
      <c r="Q227" s="9" t="s">
        <v>213</v>
      </c>
      <c r="R227">
        <v>0</v>
      </c>
      <c r="S227" t="s">
        <v>202</v>
      </c>
      <c r="T227" t="s">
        <v>232</v>
      </c>
      <c r="U227" t="s">
        <v>271</v>
      </c>
      <c r="AD227">
        <v>1</v>
      </c>
      <c r="AE227" s="8"/>
      <c r="AF227" s="18">
        <v>3</v>
      </c>
      <c r="AI227">
        <v>73</v>
      </c>
    </row>
    <row r="228" spans="1:35" x14ac:dyDescent="0.35">
      <c r="A228" t="s">
        <v>193</v>
      </c>
      <c r="B228" t="s">
        <v>69</v>
      </c>
      <c r="C228" t="s">
        <v>33</v>
      </c>
      <c r="D228" t="s">
        <v>34</v>
      </c>
      <c r="E228" t="s">
        <v>309</v>
      </c>
      <c r="F228" t="s">
        <v>42</v>
      </c>
      <c r="G228" s="20" t="s">
        <v>151</v>
      </c>
      <c r="H228" s="21" t="s">
        <v>152</v>
      </c>
      <c r="I228" t="str">
        <f t="shared" si="7"/>
        <v>Trigona fulviventris</v>
      </c>
      <c r="J228" t="s">
        <v>42</v>
      </c>
      <c r="K228" t="s">
        <v>334</v>
      </c>
      <c r="L228" s="9" t="s">
        <v>198</v>
      </c>
      <c r="N228">
        <v>917</v>
      </c>
      <c r="O228" t="s">
        <v>155</v>
      </c>
      <c r="P228" t="s">
        <v>223</v>
      </c>
      <c r="Q228" s="9" t="s">
        <v>213</v>
      </c>
      <c r="R228">
        <v>0</v>
      </c>
      <c r="S228" t="s">
        <v>202</v>
      </c>
      <c r="T228" t="s">
        <v>232</v>
      </c>
      <c r="U228" t="s">
        <v>271</v>
      </c>
      <c r="AD228">
        <v>1</v>
      </c>
      <c r="AE228" s="8"/>
      <c r="AF228" s="18">
        <v>3</v>
      </c>
      <c r="AI228">
        <v>74</v>
      </c>
    </row>
    <row r="229" spans="1:35" x14ac:dyDescent="0.35">
      <c r="A229" t="s">
        <v>193</v>
      </c>
      <c r="B229" t="s">
        <v>69</v>
      </c>
      <c r="C229" t="s">
        <v>33</v>
      </c>
      <c r="D229" t="s">
        <v>34</v>
      </c>
      <c r="E229" t="s">
        <v>309</v>
      </c>
      <c r="F229" t="s">
        <v>42</v>
      </c>
      <c r="G229" s="20" t="s">
        <v>151</v>
      </c>
      <c r="H229" s="21" t="s">
        <v>152</v>
      </c>
      <c r="I229" t="str">
        <f t="shared" si="7"/>
        <v>Trigona fulviventris</v>
      </c>
      <c r="J229" t="s">
        <v>42</v>
      </c>
      <c r="K229" t="s">
        <v>334</v>
      </c>
      <c r="L229" s="9" t="s">
        <v>198</v>
      </c>
      <c r="N229">
        <v>918</v>
      </c>
      <c r="O229" t="s">
        <v>155</v>
      </c>
      <c r="P229" t="s">
        <v>223</v>
      </c>
      <c r="Q229" s="9" t="s">
        <v>213</v>
      </c>
      <c r="S229" t="s">
        <v>202</v>
      </c>
      <c r="T229" t="s">
        <v>232</v>
      </c>
      <c r="U229" t="s">
        <v>271</v>
      </c>
      <c r="AD229">
        <v>1</v>
      </c>
      <c r="AE229" s="8"/>
      <c r="AF229" s="18">
        <v>1</v>
      </c>
      <c r="AI229">
        <v>78</v>
      </c>
    </row>
    <row r="230" spans="1:35" x14ac:dyDescent="0.35">
      <c r="A230" t="s">
        <v>193</v>
      </c>
      <c r="B230" t="s">
        <v>69</v>
      </c>
      <c r="C230" t="s">
        <v>33</v>
      </c>
      <c r="D230" t="s">
        <v>34</v>
      </c>
      <c r="E230" t="s">
        <v>309</v>
      </c>
      <c r="F230" t="s">
        <v>42</v>
      </c>
      <c r="G230" s="20" t="s">
        <v>151</v>
      </c>
      <c r="H230" s="21" t="s">
        <v>152</v>
      </c>
      <c r="I230" t="str">
        <f t="shared" si="7"/>
        <v>Trigona fulviventris</v>
      </c>
      <c r="J230" t="s">
        <v>42</v>
      </c>
      <c r="K230" t="s">
        <v>334</v>
      </c>
      <c r="L230" s="9" t="s">
        <v>198</v>
      </c>
      <c r="N230">
        <v>919</v>
      </c>
      <c r="O230" t="s">
        <v>155</v>
      </c>
      <c r="P230" t="s">
        <v>154</v>
      </c>
      <c r="Q230" t="s">
        <v>214</v>
      </c>
      <c r="R230">
        <v>1</v>
      </c>
      <c r="S230" t="s">
        <v>205</v>
      </c>
      <c r="T230" t="s">
        <v>233</v>
      </c>
      <c r="U230" t="s">
        <v>271</v>
      </c>
      <c r="AD230">
        <v>1</v>
      </c>
      <c r="AE230" s="8"/>
      <c r="AF230" s="18">
        <v>1</v>
      </c>
      <c r="AI230">
        <v>97</v>
      </c>
    </row>
    <row r="231" spans="1:35" x14ac:dyDescent="0.35">
      <c r="A231" t="s">
        <v>193</v>
      </c>
      <c r="B231" t="s">
        <v>69</v>
      </c>
      <c r="C231" t="s">
        <v>33</v>
      </c>
      <c r="D231" t="s">
        <v>34</v>
      </c>
      <c r="E231" t="s">
        <v>309</v>
      </c>
      <c r="F231" t="s">
        <v>42</v>
      </c>
      <c r="G231" s="20" t="s">
        <v>151</v>
      </c>
      <c r="H231" s="21" t="s">
        <v>152</v>
      </c>
      <c r="I231" t="str">
        <f t="shared" si="7"/>
        <v>Trigona fulviventris</v>
      </c>
      <c r="J231" t="s">
        <v>42</v>
      </c>
      <c r="K231" t="s">
        <v>334</v>
      </c>
      <c r="L231" s="9" t="s">
        <v>198</v>
      </c>
      <c r="N231">
        <v>920</v>
      </c>
      <c r="O231" t="s">
        <v>155</v>
      </c>
      <c r="P231" t="s">
        <v>223</v>
      </c>
      <c r="Q231" s="9" t="s">
        <v>213</v>
      </c>
      <c r="R231">
        <v>1</v>
      </c>
      <c r="S231" t="s">
        <v>203</v>
      </c>
      <c r="T231" t="s">
        <v>234</v>
      </c>
      <c r="U231" t="s">
        <v>271</v>
      </c>
      <c r="AD231">
        <v>1</v>
      </c>
      <c r="AE231" s="8"/>
      <c r="AF231" s="18">
        <v>3</v>
      </c>
      <c r="AI231">
        <v>76</v>
      </c>
    </row>
    <row r="232" spans="1:35" x14ac:dyDescent="0.35">
      <c r="A232" t="s">
        <v>193</v>
      </c>
      <c r="B232" t="s">
        <v>69</v>
      </c>
      <c r="C232" t="s">
        <v>33</v>
      </c>
      <c r="D232" t="s">
        <v>34</v>
      </c>
      <c r="E232" t="s">
        <v>309</v>
      </c>
      <c r="F232" t="s">
        <v>42</v>
      </c>
      <c r="G232" s="20" t="s">
        <v>151</v>
      </c>
      <c r="H232" s="21" t="s">
        <v>152</v>
      </c>
      <c r="I232" t="str">
        <f t="shared" si="7"/>
        <v>Trigona fulviventris</v>
      </c>
      <c r="J232" t="s">
        <v>42</v>
      </c>
      <c r="K232" t="s">
        <v>334</v>
      </c>
      <c r="L232" s="9" t="s">
        <v>198</v>
      </c>
      <c r="N232">
        <v>921</v>
      </c>
      <c r="O232" t="s">
        <v>155</v>
      </c>
      <c r="P232" t="s">
        <v>154</v>
      </c>
      <c r="Q232" t="s">
        <v>214</v>
      </c>
      <c r="R232">
        <v>1</v>
      </c>
      <c r="S232" t="s">
        <v>206</v>
      </c>
      <c r="T232" t="s">
        <v>233</v>
      </c>
      <c r="U232" t="s">
        <v>271</v>
      </c>
      <c r="AD232">
        <v>1</v>
      </c>
      <c r="AF232" s="18">
        <v>1</v>
      </c>
      <c r="AI232">
        <v>111</v>
      </c>
    </row>
    <row r="233" spans="1:35" x14ac:dyDescent="0.35">
      <c r="A233" t="s">
        <v>193</v>
      </c>
      <c r="B233" t="s">
        <v>69</v>
      </c>
      <c r="C233" t="s">
        <v>33</v>
      </c>
      <c r="D233" t="s">
        <v>34</v>
      </c>
      <c r="E233" t="s">
        <v>309</v>
      </c>
      <c r="F233" t="s">
        <v>42</v>
      </c>
      <c r="G233" s="20" t="s">
        <v>151</v>
      </c>
      <c r="H233" s="21" t="s">
        <v>152</v>
      </c>
      <c r="I233" t="str">
        <f t="shared" si="7"/>
        <v>Trigona fulviventris</v>
      </c>
      <c r="J233" t="s">
        <v>42</v>
      </c>
      <c r="K233" t="s">
        <v>334</v>
      </c>
      <c r="L233" s="9" t="s">
        <v>198</v>
      </c>
      <c r="N233">
        <v>922</v>
      </c>
      <c r="O233" t="s">
        <v>155</v>
      </c>
      <c r="P233" t="s">
        <v>154</v>
      </c>
      <c r="Q233" t="s">
        <v>208</v>
      </c>
      <c r="R233" s="9">
        <v>1</v>
      </c>
      <c r="S233" s="9" t="s">
        <v>200</v>
      </c>
      <c r="T233" t="s">
        <v>230</v>
      </c>
      <c r="U233" t="s">
        <v>271</v>
      </c>
      <c r="AD233">
        <v>1</v>
      </c>
      <c r="AE233" s="8"/>
      <c r="AF233" s="17">
        <v>2</v>
      </c>
      <c r="AI233">
        <v>17</v>
      </c>
    </row>
    <row r="234" spans="1:35" x14ac:dyDescent="0.35">
      <c r="A234" t="s">
        <v>193</v>
      </c>
      <c r="B234" t="s">
        <v>69</v>
      </c>
      <c r="C234" t="s">
        <v>33</v>
      </c>
      <c r="D234" t="s">
        <v>34</v>
      </c>
      <c r="E234" t="s">
        <v>309</v>
      </c>
      <c r="F234" t="s">
        <v>42</v>
      </c>
      <c r="G234" s="20" t="s">
        <v>151</v>
      </c>
      <c r="H234" s="21" t="s">
        <v>152</v>
      </c>
      <c r="I234" t="str">
        <f t="shared" si="7"/>
        <v>Trigona fulviventris</v>
      </c>
      <c r="J234" t="s">
        <v>42</v>
      </c>
      <c r="K234" t="s">
        <v>334</v>
      </c>
      <c r="L234" s="9" t="s">
        <v>198</v>
      </c>
      <c r="N234">
        <v>943</v>
      </c>
      <c r="O234" t="s">
        <v>155</v>
      </c>
      <c r="P234" t="s">
        <v>223</v>
      </c>
      <c r="Q234" t="s">
        <v>215</v>
      </c>
      <c r="R234">
        <v>0</v>
      </c>
      <c r="S234" t="s">
        <v>201</v>
      </c>
      <c r="U234" t="s">
        <v>225</v>
      </c>
      <c r="AD234">
        <v>1</v>
      </c>
      <c r="AI234">
        <v>122</v>
      </c>
    </row>
    <row r="235" spans="1:35" x14ac:dyDescent="0.35">
      <c r="A235" t="s">
        <v>91</v>
      </c>
      <c r="B235" t="s">
        <v>24</v>
      </c>
      <c r="C235" t="s">
        <v>92</v>
      </c>
      <c r="I235" t="s">
        <v>92</v>
      </c>
      <c r="J235" t="s">
        <v>326</v>
      </c>
      <c r="K235" t="s">
        <v>330</v>
      </c>
      <c r="L235" t="s">
        <v>93</v>
      </c>
      <c r="M235" t="s">
        <v>93</v>
      </c>
      <c r="N235">
        <v>124</v>
      </c>
      <c r="O235" t="s">
        <v>119</v>
      </c>
      <c r="P235" t="s">
        <v>30</v>
      </c>
      <c r="Q235" s="4">
        <v>44714</v>
      </c>
      <c r="R235">
        <v>1</v>
      </c>
      <c r="S235" t="s">
        <v>107</v>
      </c>
      <c r="T235" t="s">
        <v>107</v>
      </c>
      <c r="U235" t="s">
        <v>271</v>
      </c>
      <c r="V235">
        <v>0</v>
      </c>
      <c r="AD235">
        <v>1</v>
      </c>
      <c r="AF235" s="18">
        <v>1</v>
      </c>
      <c r="AI235">
        <v>1</v>
      </c>
    </row>
    <row r="236" spans="1:35" x14ac:dyDescent="0.35">
      <c r="A236" t="s">
        <v>91</v>
      </c>
      <c r="B236" t="s">
        <v>24</v>
      </c>
      <c r="C236" t="s">
        <v>25</v>
      </c>
      <c r="D236" t="s">
        <v>94</v>
      </c>
      <c r="I236" t="s">
        <v>94</v>
      </c>
      <c r="J236" t="s">
        <v>326</v>
      </c>
      <c r="K236" t="s">
        <v>330</v>
      </c>
      <c r="L236" t="s">
        <v>95</v>
      </c>
      <c r="M236" t="s">
        <v>95</v>
      </c>
      <c r="N236">
        <v>125</v>
      </c>
      <c r="O236" t="s">
        <v>119</v>
      </c>
      <c r="P236" t="s">
        <v>37</v>
      </c>
      <c r="Q236" s="4">
        <v>44728</v>
      </c>
      <c r="R236">
        <v>0</v>
      </c>
      <c r="U236" t="s">
        <v>225</v>
      </c>
      <c r="V236">
        <v>0</v>
      </c>
      <c r="AD236">
        <v>1</v>
      </c>
      <c r="AF236" s="18">
        <v>1</v>
      </c>
      <c r="AI236">
        <v>2</v>
      </c>
    </row>
    <row r="237" spans="1:35" x14ac:dyDescent="0.35">
      <c r="A237" t="s">
        <v>91</v>
      </c>
      <c r="B237" t="s">
        <v>24</v>
      </c>
      <c r="C237" t="s">
        <v>25</v>
      </c>
      <c r="D237" t="s">
        <v>26</v>
      </c>
      <c r="E237" t="s">
        <v>312</v>
      </c>
      <c r="F237" t="s">
        <v>313</v>
      </c>
      <c r="G237" t="s">
        <v>96</v>
      </c>
      <c r="H237" t="s">
        <v>28</v>
      </c>
      <c r="I237" t="s">
        <v>97</v>
      </c>
      <c r="J237" t="s">
        <v>326</v>
      </c>
      <c r="K237" t="s">
        <v>330</v>
      </c>
      <c r="L237" t="s">
        <v>29</v>
      </c>
      <c r="M237" t="s">
        <v>29</v>
      </c>
      <c r="N237">
        <v>126</v>
      </c>
      <c r="O237" t="s">
        <v>119</v>
      </c>
      <c r="P237" t="s">
        <v>30</v>
      </c>
      <c r="Q237" s="4">
        <v>44714</v>
      </c>
      <c r="R237">
        <v>0</v>
      </c>
      <c r="S237" t="s">
        <v>107</v>
      </c>
      <c r="T237" t="s">
        <v>107</v>
      </c>
      <c r="U237" t="s">
        <v>271</v>
      </c>
      <c r="V237">
        <v>0</v>
      </c>
      <c r="AD237">
        <v>1</v>
      </c>
      <c r="AF237" s="18">
        <v>1</v>
      </c>
      <c r="AI237">
        <v>3</v>
      </c>
    </row>
    <row r="238" spans="1:35" x14ac:dyDescent="0.35">
      <c r="A238" t="s">
        <v>91</v>
      </c>
      <c r="B238" t="s">
        <v>24</v>
      </c>
      <c r="C238" t="s">
        <v>99</v>
      </c>
      <c r="D238" t="s">
        <v>100</v>
      </c>
      <c r="I238" t="s">
        <v>100</v>
      </c>
      <c r="J238" t="s">
        <v>326</v>
      </c>
      <c r="K238" t="s">
        <v>330</v>
      </c>
      <c r="L238" t="s">
        <v>101</v>
      </c>
      <c r="M238" t="s">
        <v>101</v>
      </c>
      <c r="N238">
        <v>127</v>
      </c>
      <c r="O238" t="s">
        <v>119</v>
      </c>
      <c r="P238" t="s">
        <v>30</v>
      </c>
      <c r="Q238" s="4">
        <v>44714</v>
      </c>
      <c r="R238">
        <v>0</v>
      </c>
      <c r="S238" t="s">
        <v>107</v>
      </c>
      <c r="T238" t="s">
        <v>107</v>
      </c>
      <c r="U238" t="s">
        <v>271</v>
      </c>
      <c r="V238">
        <v>0</v>
      </c>
      <c r="AD238">
        <v>1</v>
      </c>
      <c r="AF238" s="18">
        <v>1</v>
      </c>
      <c r="AI238">
        <v>4</v>
      </c>
    </row>
    <row r="239" spans="1:35" x14ac:dyDescent="0.35">
      <c r="A239" t="s">
        <v>91</v>
      </c>
      <c r="B239" t="s">
        <v>24</v>
      </c>
      <c r="C239" t="s">
        <v>33</v>
      </c>
      <c r="D239" t="s">
        <v>34</v>
      </c>
      <c r="E239" t="s">
        <v>309</v>
      </c>
      <c r="F239" t="s">
        <v>308</v>
      </c>
      <c r="G239" s="20" t="s">
        <v>35</v>
      </c>
      <c r="H239" t="s">
        <v>7</v>
      </c>
      <c r="I239" t="str">
        <f>G239&amp;" "&amp;H239</f>
        <v>Amegilla species</v>
      </c>
      <c r="J239" t="s">
        <v>237</v>
      </c>
      <c r="K239" t="s">
        <v>331</v>
      </c>
      <c r="L239" t="s">
        <v>36</v>
      </c>
      <c r="M239" t="s">
        <v>36</v>
      </c>
      <c r="N239">
        <v>129</v>
      </c>
      <c r="O239" t="s">
        <v>119</v>
      </c>
      <c r="P239" t="s">
        <v>37</v>
      </c>
      <c r="Q239" s="4">
        <v>44727</v>
      </c>
      <c r="R239">
        <v>0</v>
      </c>
      <c r="U239" t="s">
        <v>225</v>
      </c>
      <c r="V239">
        <v>0</v>
      </c>
      <c r="AD239">
        <v>1</v>
      </c>
      <c r="AF239" s="18">
        <v>1</v>
      </c>
      <c r="AI239">
        <v>6</v>
      </c>
    </row>
    <row r="240" spans="1:35" x14ac:dyDescent="0.35">
      <c r="A240" t="s">
        <v>91</v>
      </c>
      <c r="B240" t="s">
        <v>24</v>
      </c>
      <c r="C240" t="s">
        <v>33</v>
      </c>
      <c r="D240" t="s">
        <v>34</v>
      </c>
      <c r="E240" t="s">
        <v>309</v>
      </c>
      <c r="F240" t="s">
        <v>308</v>
      </c>
      <c r="G240" s="20" t="s">
        <v>35</v>
      </c>
      <c r="H240" t="s">
        <v>7</v>
      </c>
      <c r="I240" t="str">
        <f>G240&amp;" "&amp;H240</f>
        <v>Amegilla species</v>
      </c>
      <c r="J240" t="s">
        <v>237</v>
      </c>
      <c r="K240" t="s">
        <v>331</v>
      </c>
      <c r="L240" t="s">
        <v>36</v>
      </c>
      <c r="M240" t="s">
        <v>36</v>
      </c>
      <c r="N240">
        <v>130</v>
      </c>
      <c r="O240" t="s">
        <v>119</v>
      </c>
      <c r="P240" t="s">
        <v>37</v>
      </c>
      <c r="Q240" s="4">
        <v>44728</v>
      </c>
      <c r="R240">
        <v>0</v>
      </c>
      <c r="U240" t="s">
        <v>225</v>
      </c>
      <c r="V240">
        <v>0</v>
      </c>
      <c r="AD240">
        <v>1</v>
      </c>
      <c r="AF240" s="18">
        <v>1</v>
      </c>
      <c r="AI240">
        <v>7</v>
      </c>
    </row>
    <row r="241" spans="1:35" x14ac:dyDescent="0.35">
      <c r="A241" t="s">
        <v>91</v>
      </c>
      <c r="B241" t="s">
        <v>24</v>
      </c>
      <c r="C241" t="s">
        <v>33</v>
      </c>
      <c r="D241" t="s">
        <v>34</v>
      </c>
      <c r="E241" t="s">
        <v>309</v>
      </c>
      <c r="F241" t="s">
        <v>308</v>
      </c>
      <c r="G241" s="20" t="s">
        <v>35</v>
      </c>
      <c r="H241" t="s">
        <v>7</v>
      </c>
      <c r="I241" t="str">
        <f>G241&amp;" "&amp;H241</f>
        <v>Amegilla species</v>
      </c>
      <c r="J241" t="s">
        <v>237</v>
      </c>
      <c r="K241" t="s">
        <v>331</v>
      </c>
      <c r="L241" t="s">
        <v>36</v>
      </c>
      <c r="M241" t="s">
        <v>36</v>
      </c>
      <c r="N241">
        <v>131</v>
      </c>
      <c r="O241" t="s">
        <v>119</v>
      </c>
      <c r="P241" t="s">
        <v>37</v>
      </c>
      <c r="Q241" s="4">
        <v>44728</v>
      </c>
      <c r="R241">
        <v>1</v>
      </c>
      <c r="S241" t="s">
        <v>107</v>
      </c>
      <c r="T241" t="s">
        <v>107</v>
      </c>
      <c r="U241" t="s">
        <v>271</v>
      </c>
      <c r="V241">
        <v>0</v>
      </c>
      <c r="AD241">
        <v>1</v>
      </c>
      <c r="AF241" s="18">
        <v>1</v>
      </c>
      <c r="AI241">
        <v>8</v>
      </c>
    </row>
    <row r="242" spans="1:35" x14ac:dyDescent="0.35">
      <c r="A242" t="s">
        <v>91</v>
      </c>
      <c r="B242" t="s">
        <v>24</v>
      </c>
      <c r="C242" t="s">
        <v>33</v>
      </c>
      <c r="D242" t="s">
        <v>34</v>
      </c>
      <c r="E242" t="s">
        <v>309</v>
      </c>
      <c r="F242" t="s">
        <v>308</v>
      </c>
      <c r="G242" s="20" t="s">
        <v>35</v>
      </c>
      <c r="H242" t="s">
        <v>7</v>
      </c>
      <c r="I242" t="str">
        <f>G242&amp;" "&amp;H242</f>
        <v>Amegilla species</v>
      </c>
      <c r="J242" t="s">
        <v>237</v>
      </c>
      <c r="K242" t="s">
        <v>331</v>
      </c>
      <c r="L242" t="s">
        <v>36</v>
      </c>
      <c r="M242" t="s">
        <v>36</v>
      </c>
      <c r="N242">
        <v>132</v>
      </c>
      <c r="O242" t="s">
        <v>119</v>
      </c>
      <c r="P242" t="s">
        <v>37</v>
      </c>
      <c r="Q242" s="4">
        <v>44728</v>
      </c>
      <c r="R242">
        <v>1</v>
      </c>
      <c r="S242" t="s">
        <v>107</v>
      </c>
      <c r="T242" t="s">
        <v>107</v>
      </c>
      <c r="U242" t="s">
        <v>271</v>
      </c>
      <c r="V242">
        <v>0</v>
      </c>
      <c r="AD242">
        <v>1</v>
      </c>
      <c r="AF242" s="18">
        <v>1</v>
      </c>
      <c r="AI242">
        <v>9</v>
      </c>
    </row>
    <row r="243" spans="1:35" x14ac:dyDescent="0.35">
      <c r="A243" t="s">
        <v>91</v>
      </c>
      <c r="B243" t="s">
        <v>24</v>
      </c>
      <c r="C243" t="s">
        <v>33</v>
      </c>
      <c r="D243" t="s">
        <v>34</v>
      </c>
      <c r="E243" t="s">
        <v>309</v>
      </c>
      <c r="F243" t="s">
        <v>310</v>
      </c>
      <c r="G243" s="20" t="s">
        <v>38</v>
      </c>
      <c r="H243" s="20" t="s">
        <v>39</v>
      </c>
      <c r="I243" t="s">
        <v>70</v>
      </c>
      <c r="J243" t="s">
        <v>70</v>
      </c>
      <c r="K243" t="s">
        <v>332</v>
      </c>
      <c r="L243" t="s">
        <v>40</v>
      </c>
      <c r="M243" t="s">
        <v>40</v>
      </c>
      <c r="N243">
        <v>133</v>
      </c>
      <c r="O243" t="s">
        <v>119</v>
      </c>
      <c r="P243" t="s">
        <v>41</v>
      </c>
      <c r="Q243" s="4">
        <v>44707</v>
      </c>
      <c r="U243" t="s">
        <v>225</v>
      </c>
      <c r="V243">
        <v>0</v>
      </c>
      <c r="AD243">
        <v>1</v>
      </c>
      <c r="AF243" s="18">
        <v>1</v>
      </c>
      <c r="AI243">
        <v>10</v>
      </c>
    </row>
    <row r="244" spans="1:35" x14ac:dyDescent="0.35">
      <c r="A244" t="s">
        <v>91</v>
      </c>
      <c r="B244" t="s">
        <v>24</v>
      </c>
      <c r="C244" t="s">
        <v>33</v>
      </c>
      <c r="D244" t="s">
        <v>34</v>
      </c>
      <c r="E244" t="s">
        <v>309</v>
      </c>
      <c r="F244" t="s">
        <v>310</v>
      </c>
      <c r="G244" s="20" t="s">
        <v>38</v>
      </c>
      <c r="H244" s="20" t="s">
        <v>39</v>
      </c>
      <c r="I244" t="s">
        <v>70</v>
      </c>
      <c r="J244" t="s">
        <v>70</v>
      </c>
      <c r="K244" t="s">
        <v>332</v>
      </c>
      <c r="L244" t="s">
        <v>40</v>
      </c>
      <c r="M244" t="s">
        <v>40</v>
      </c>
      <c r="N244">
        <v>134</v>
      </c>
      <c r="O244" t="s">
        <v>119</v>
      </c>
      <c r="P244" t="s">
        <v>41</v>
      </c>
      <c r="Q244" s="4">
        <v>44707</v>
      </c>
      <c r="U244" t="s">
        <v>225</v>
      </c>
      <c r="V244">
        <v>0</v>
      </c>
      <c r="AD244">
        <v>1</v>
      </c>
      <c r="AF244" s="18">
        <v>1</v>
      </c>
      <c r="AI244">
        <v>11</v>
      </c>
    </row>
    <row r="245" spans="1:35" x14ac:dyDescent="0.35">
      <c r="A245" t="s">
        <v>91</v>
      </c>
      <c r="B245" t="s">
        <v>24</v>
      </c>
      <c r="C245" t="s">
        <v>33</v>
      </c>
      <c r="D245" t="s">
        <v>34</v>
      </c>
      <c r="E245" t="s">
        <v>309</v>
      </c>
      <c r="F245" t="s">
        <v>310</v>
      </c>
      <c r="G245" s="20" t="s">
        <v>38</v>
      </c>
      <c r="H245" s="20" t="s">
        <v>39</v>
      </c>
      <c r="I245" t="s">
        <v>70</v>
      </c>
      <c r="J245" t="s">
        <v>70</v>
      </c>
      <c r="K245" t="s">
        <v>332</v>
      </c>
      <c r="L245" t="s">
        <v>40</v>
      </c>
      <c r="M245" t="s">
        <v>40</v>
      </c>
      <c r="N245">
        <v>135</v>
      </c>
      <c r="O245" t="s">
        <v>119</v>
      </c>
      <c r="P245" t="s">
        <v>41</v>
      </c>
      <c r="Q245" s="4">
        <v>44707</v>
      </c>
      <c r="U245" t="s">
        <v>225</v>
      </c>
      <c r="V245">
        <v>0</v>
      </c>
      <c r="AD245">
        <v>1</v>
      </c>
      <c r="AF245" s="18">
        <v>1</v>
      </c>
      <c r="AI245">
        <v>12</v>
      </c>
    </row>
    <row r="246" spans="1:35" x14ac:dyDescent="0.35">
      <c r="A246" t="s">
        <v>91</v>
      </c>
      <c r="B246" t="s">
        <v>24</v>
      </c>
      <c r="C246" t="s">
        <v>33</v>
      </c>
      <c r="D246" t="s">
        <v>34</v>
      </c>
      <c r="E246" t="s">
        <v>309</v>
      </c>
      <c r="F246" t="s">
        <v>310</v>
      </c>
      <c r="G246" s="20" t="s">
        <v>38</v>
      </c>
      <c r="H246" s="20" t="s">
        <v>39</v>
      </c>
      <c r="I246" t="s">
        <v>70</v>
      </c>
      <c r="J246" t="s">
        <v>70</v>
      </c>
      <c r="K246" t="s">
        <v>332</v>
      </c>
      <c r="L246" t="s">
        <v>40</v>
      </c>
      <c r="M246" t="s">
        <v>40</v>
      </c>
      <c r="N246">
        <v>136</v>
      </c>
      <c r="O246" t="s">
        <v>119</v>
      </c>
      <c r="P246" t="s">
        <v>41</v>
      </c>
      <c r="Q246" s="4">
        <v>44707</v>
      </c>
      <c r="U246" t="s">
        <v>225</v>
      </c>
      <c r="V246">
        <v>0</v>
      </c>
      <c r="AD246">
        <v>1</v>
      </c>
      <c r="AF246" s="18">
        <v>1</v>
      </c>
      <c r="AI246">
        <v>13</v>
      </c>
    </row>
    <row r="247" spans="1:35" x14ac:dyDescent="0.35">
      <c r="A247" t="s">
        <v>91</v>
      </c>
      <c r="B247" t="s">
        <v>24</v>
      </c>
      <c r="C247" t="s">
        <v>33</v>
      </c>
      <c r="D247" t="s">
        <v>34</v>
      </c>
      <c r="E247" t="s">
        <v>309</v>
      </c>
      <c r="F247" t="s">
        <v>310</v>
      </c>
      <c r="G247" s="20" t="s">
        <v>38</v>
      </c>
      <c r="H247" s="20" t="s">
        <v>39</v>
      </c>
      <c r="I247" t="s">
        <v>70</v>
      </c>
      <c r="J247" t="s">
        <v>70</v>
      </c>
      <c r="K247" t="s">
        <v>332</v>
      </c>
      <c r="L247" t="s">
        <v>40</v>
      </c>
      <c r="M247" t="s">
        <v>40</v>
      </c>
      <c r="N247">
        <v>137</v>
      </c>
      <c r="O247" t="s">
        <v>119</v>
      </c>
      <c r="P247" t="s">
        <v>41</v>
      </c>
      <c r="Q247" s="4">
        <v>44707</v>
      </c>
      <c r="U247" t="s">
        <v>225</v>
      </c>
      <c r="V247">
        <v>0</v>
      </c>
      <c r="AD247">
        <v>1</v>
      </c>
      <c r="AF247" s="18">
        <v>1</v>
      </c>
      <c r="AI247">
        <v>14</v>
      </c>
    </row>
    <row r="248" spans="1:35" x14ac:dyDescent="0.35">
      <c r="A248" t="s">
        <v>91</v>
      </c>
      <c r="B248" t="s">
        <v>24</v>
      </c>
      <c r="C248" t="s">
        <v>33</v>
      </c>
      <c r="D248" t="s">
        <v>34</v>
      </c>
      <c r="E248" t="s">
        <v>309</v>
      </c>
      <c r="F248" t="s">
        <v>310</v>
      </c>
      <c r="G248" s="20" t="s">
        <v>38</v>
      </c>
      <c r="H248" s="20" t="s">
        <v>39</v>
      </c>
      <c r="I248" t="s">
        <v>70</v>
      </c>
      <c r="J248" t="s">
        <v>70</v>
      </c>
      <c r="K248" t="s">
        <v>332</v>
      </c>
      <c r="L248" t="s">
        <v>40</v>
      </c>
      <c r="M248" t="s">
        <v>40</v>
      </c>
      <c r="N248">
        <v>138</v>
      </c>
      <c r="O248" t="s">
        <v>119</v>
      </c>
      <c r="P248" t="s">
        <v>41</v>
      </c>
      <c r="Q248" s="4">
        <v>44707</v>
      </c>
      <c r="U248" t="s">
        <v>225</v>
      </c>
      <c r="V248">
        <v>0</v>
      </c>
      <c r="AD248">
        <v>1</v>
      </c>
      <c r="AF248" s="18">
        <v>1</v>
      </c>
      <c r="AI248">
        <v>15</v>
      </c>
    </row>
    <row r="249" spans="1:35" x14ac:dyDescent="0.35">
      <c r="A249" t="s">
        <v>91</v>
      </c>
      <c r="B249" t="s">
        <v>24</v>
      </c>
      <c r="C249" t="s">
        <v>33</v>
      </c>
      <c r="D249" t="s">
        <v>34</v>
      </c>
      <c r="E249" t="s">
        <v>309</v>
      </c>
      <c r="F249" t="s">
        <v>310</v>
      </c>
      <c r="G249" s="20" t="s">
        <v>38</v>
      </c>
      <c r="H249" s="20" t="s">
        <v>39</v>
      </c>
      <c r="I249" t="s">
        <v>70</v>
      </c>
      <c r="J249" t="s">
        <v>70</v>
      </c>
      <c r="K249" t="s">
        <v>332</v>
      </c>
      <c r="L249" t="s">
        <v>40</v>
      </c>
      <c r="M249" t="s">
        <v>40</v>
      </c>
      <c r="N249">
        <v>139</v>
      </c>
      <c r="O249" t="s">
        <v>119</v>
      </c>
      <c r="P249" t="s">
        <v>41</v>
      </c>
      <c r="Q249" s="4">
        <v>44707</v>
      </c>
      <c r="U249" t="s">
        <v>225</v>
      </c>
      <c r="V249">
        <v>0</v>
      </c>
      <c r="AD249">
        <v>1</v>
      </c>
      <c r="AF249" s="18">
        <v>1</v>
      </c>
      <c r="AI249">
        <v>16</v>
      </c>
    </row>
    <row r="250" spans="1:35" x14ac:dyDescent="0.35">
      <c r="A250" t="s">
        <v>91</v>
      </c>
      <c r="B250" t="s">
        <v>24</v>
      </c>
      <c r="C250" t="s">
        <v>33</v>
      </c>
      <c r="D250" t="s">
        <v>34</v>
      </c>
      <c r="E250" t="s">
        <v>309</v>
      </c>
      <c r="F250" t="s">
        <v>310</v>
      </c>
      <c r="G250" s="20" t="s">
        <v>38</v>
      </c>
      <c r="H250" s="20" t="s">
        <v>39</v>
      </c>
      <c r="I250" t="s">
        <v>70</v>
      </c>
      <c r="J250" t="s">
        <v>70</v>
      </c>
      <c r="K250" t="s">
        <v>332</v>
      </c>
      <c r="L250" t="s">
        <v>40</v>
      </c>
      <c r="M250" t="s">
        <v>40</v>
      </c>
      <c r="N250">
        <v>140</v>
      </c>
      <c r="O250" t="s">
        <v>119</v>
      </c>
      <c r="P250" t="s">
        <v>41</v>
      </c>
      <c r="Q250" s="4">
        <v>44707</v>
      </c>
      <c r="U250" t="s">
        <v>225</v>
      </c>
      <c r="V250">
        <v>0</v>
      </c>
      <c r="AD250">
        <v>1</v>
      </c>
      <c r="AF250" s="18">
        <v>1</v>
      </c>
      <c r="AI250">
        <v>17</v>
      </c>
    </row>
    <row r="251" spans="1:35" x14ac:dyDescent="0.35">
      <c r="A251" t="s">
        <v>91</v>
      </c>
      <c r="B251" t="s">
        <v>24</v>
      </c>
      <c r="C251" t="s">
        <v>33</v>
      </c>
      <c r="D251" t="s">
        <v>34</v>
      </c>
      <c r="E251" t="s">
        <v>309</v>
      </c>
      <c r="F251" t="s">
        <v>310</v>
      </c>
      <c r="G251" s="20" t="s">
        <v>38</v>
      </c>
      <c r="H251" s="20" t="s">
        <v>39</v>
      </c>
      <c r="I251" t="s">
        <v>70</v>
      </c>
      <c r="J251" t="s">
        <v>70</v>
      </c>
      <c r="K251" t="s">
        <v>332</v>
      </c>
      <c r="L251" t="s">
        <v>40</v>
      </c>
      <c r="M251" t="s">
        <v>40</v>
      </c>
      <c r="N251">
        <v>141</v>
      </c>
      <c r="O251" t="s">
        <v>119</v>
      </c>
      <c r="P251" t="s">
        <v>41</v>
      </c>
      <c r="Q251" s="4">
        <v>44707</v>
      </c>
      <c r="U251" t="s">
        <v>225</v>
      </c>
      <c r="V251">
        <v>0</v>
      </c>
      <c r="AD251">
        <v>1</v>
      </c>
      <c r="AF251" s="18">
        <v>1</v>
      </c>
      <c r="AI251">
        <v>18</v>
      </c>
    </row>
    <row r="252" spans="1:35" x14ac:dyDescent="0.35">
      <c r="A252" t="s">
        <v>91</v>
      </c>
      <c r="B252" t="s">
        <v>24</v>
      </c>
      <c r="C252" t="s">
        <v>33</v>
      </c>
      <c r="D252" t="s">
        <v>34</v>
      </c>
      <c r="E252" t="s">
        <v>309</v>
      </c>
      <c r="F252" t="s">
        <v>310</v>
      </c>
      <c r="G252" s="20" t="s">
        <v>38</v>
      </c>
      <c r="H252" s="20" t="s">
        <v>39</v>
      </c>
      <c r="I252" t="s">
        <v>70</v>
      </c>
      <c r="J252" t="s">
        <v>70</v>
      </c>
      <c r="K252" t="s">
        <v>332</v>
      </c>
      <c r="L252" t="s">
        <v>40</v>
      </c>
      <c r="M252" t="s">
        <v>40</v>
      </c>
      <c r="N252">
        <v>142</v>
      </c>
      <c r="O252" t="s">
        <v>119</v>
      </c>
      <c r="P252" t="s">
        <v>41</v>
      </c>
      <c r="Q252" s="4">
        <v>44707</v>
      </c>
      <c r="U252" t="s">
        <v>225</v>
      </c>
      <c r="V252">
        <v>0</v>
      </c>
      <c r="AD252">
        <v>1</v>
      </c>
      <c r="AF252" s="18">
        <v>1</v>
      </c>
      <c r="AI252">
        <v>19</v>
      </c>
    </row>
    <row r="253" spans="1:35" x14ac:dyDescent="0.35">
      <c r="A253" t="s">
        <v>91</v>
      </c>
      <c r="B253" t="s">
        <v>24</v>
      </c>
      <c r="C253" t="s">
        <v>33</v>
      </c>
      <c r="D253" t="s">
        <v>34</v>
      </c>
      <c r="E253" t="s">
        <v>309</v>
      </c>
      <c r="F253" t="s">
        <v>310</v>
      </c>
      <c r="G253" s="20" t="s">
        <v>38</v>
      </c>
      <c r="H253" s="20" t="s">
        <v>39</v>
      </c>
      <c r="I253" t="s">
        <v>70</v>
      </c>
      <c r="J253" t="s">
        <v>70</v>
      </c>
      <c r="K253" t="s">
        <v>332</v>
      </c>
      <c r="L253" t="s">
        <v>40</v>
      </c>
      <c r="M253" t="s">
        <v>40</v>
      </c>
      <c r="N253">
        <v>143</v>
      </c>
      <c r="O253" t="s">
        <v>119</v>
      </c>
      <c r="P253" t="s">
        <v>41</v>
      </c>
      <c r="Q253" s="4">
        <v>44707</v>
      </c>
      <c r="U253" t="s">
        <v>225</v>
      </c>
      <c r="V253">
        <v>0</v>
      </c>
      <c r="AD253">
        <v>1</v>
      </c>
      <c r="AF253" s="18">
        <v>1</v>
      </c>
      <c r="AI253">
        <v>20</v>
      </c>
    </row>
    <row r="254" spans="1:35" x14ac:dyDescent="0.35">
      <c r="A254" t="s">
        <v>91</v>
      </c>
      <c r="B254" t="s">
        <v>24</v>
      </c>
      <c r="C254" t="s">
        <v>33</v>
      </c>
      <c r="D254" t="s">
        <v>34</v>
      </c>
      <c r="E254" t="s">
        <v>309</v>
      </c>
      <c r="F254" t="s">
        <v>310</v>
      </c>
      <c r="G254" s="20" t="s">
        <v>38</v>
      </c>
      <c r="H254" s="20" t="s">
        <v>39</v>
      </c>
      <c r="I254" t="s">
        <v>70</v>
      </c>
      <c r="J254" t="s">
        <v>70</v>
      </c>
      <c r="K254" t="s">
        <v>332</v>
      </c>
      <c r="L254" t="s">
        <v>40</v>
      </c>
      <c r="M254" t="s">
        <v>40</v>
      </c>
      <c r="N254">
        <v>144</v>
      </c>
      <c r="O254" t="s">
        <v>119</v>
      </c>
      <c r="P254" t="s">
        <v>41</v>
      </c>
      <c r="Q254" s="4">
        <v>44707</v>
      </c>
      <c r="U254" t="s">
        <v>225</v>
      </c>
      <c r="V254">
        <v>0</v>
      </c>
      <c r="AD254">
        <v>1</v>
      </c>
      <c r="AF254" s="18">
        <v>1</v>
      </c>
      <c r="AI254">
        <v>21</v>
      </c>
    </row>
    <row r="255" spans="1:35" x14ac:dyDescent="0.35">
      <c r="A255" t="s">
        <v>91</v>
      </c>
      <c r="B255" t="s">
        <v>24</v>
      </c>
      <c r="C255" t="s">
        <v>33</v>
      </c>
      <c r="D255" t="s">
        <v>34</v>
      </c>
      <c r="E255" t="s">
        <v>309</v>
      </c>
      <c r="F255" t="s">
        <v>310</v>
      </c>
      <c r="G255" s="20" t="s">
        <v>38</v>
      </c>
      <c r="H255" s="20" t="s">
        <v>39</v>
      </c>
      <c r="I255" t="s">
        <v>70</v>
      </c>
      <c r="J255" t="s">
        <v>70</v>
      </c>
      <c r="K255" t="s">
        <v>332</v>
      </c>
      <c r="L255" t="s">
        <v>40</v>
      </c>
      <c r="M255" t="s">
        <v>40</v>
      </c>
      <c r="N255">
        <v>145</v>
      </c>
      <c r="O255" t="s">
        <v>119</v>
      </c>
      <c r="P255" t="s">
        <v>41</v>
      </c>
      <c r="Q255" s="4">
        <v>44707</v>
      </c>
      <c r="U255" t="s">
        <v>225</v>
      </c>
      <c r="V255">
        <v>0</v>
      </c>
      <c r="AD255">
        <v>1</v>
      </c>
      <c r="AF255" s="18">
        <v>1</v>
      </c>
      <c r="AI255">
        <v>22</v>
      </c>
    </row>
    <row r="256" spans="1:35" x14ac:dyDescent="0.35">
      <c r="A256" t="s">
        <v>91</v>
      </c>
      <c r="B256" t="s">
        <v>24</v>
      </c>
      <c r="C256" t="s">
        <v>33</v>
      </c>
      <c r="D256" t="s">
        <v>34</v>
      </c>
      <c r="E256" t="s">
        <v>309</v>
      </c>
      <c r="F256" t="s">
        <v>310</v>
      </c>
      <c r="G256" s="20" t="s">
        <v>38</v>
      </c>
      <c r="H256" s="20" t="s">
        <v>39</v>
      </c>
      <c r="I256" t="s">
        <v>70</v>
      </c>
      <c r="J256" t="s">
        <v>70</v>
      </c>
      <c r="K256" t="s">
        <v>332</v>
      </c>
      <c r="L256" t="s">
        <v>40</v>
      </c>
      <c r="M256" t="s">
        <v>40</v>
      </c>
      <c r="N256">
        <v>146</v>
      </c>
      <c r="O256" t="s">
        <v>119</v>
      </c>
      <c r="P256" t="s">
        <v>41</v>
      </c>
      <c r="Q256" s="4">
        <v>44707</v>
      </c>
      <c r="U256" t="s">
        <v>225</v>
      </c>
      <c r="V256">
        <v>0</v>
      </c>
      <c r="AD256">
        <v>1</v>
      </c>
      <c r="AF256" s="18">
        <v>1</v>
      </c>
      <c r="AI256">
        <v>23</v>
      </c>
    </row>
    <row r="257" spans="1:35" x14ac:dyDescent="0.35">
      <c r="A257" t="s">
        <v>91</v>
      </c>
      <c r="B257" t="s">
        <v>24</v>
      </c>
      <c r="C257" t="s">
        <v>33</v>
      </c>
      <c r="D257" t="s">
        <v>34</v>
      </c>
      <c r="E257" t="s">
        <v>309</v>
      </c>
      <c r="F257" t="s">
        <v>310</v>
      </c>
      <c r="G257" s="20" t="s">
        <v>38</v>
      </c>
      <c r="H257" s="20" t="s">
        <v>39</v>
      </c>
      <c r="I257" t="s">
        <v>70</v>
      </c>
      <c r="J257" t="s">
        <v>70</v>
      </c>
      <c r="K257" t="s">
        <v>332</v>
      </c>
      <c r="L257" t="s">
        <v>40</v>
      </c>
      <c r="M257" t="s">
        <v>40</v>
      </c>
      <c r="N257">
        <v>147</v>
      </c>
      <c r="O257" t="s">
        <v>119</v>
      </c>
      <c r="P257" t="s">
        <v>41</v>
      </c>
      <c r="Q257" s="4">
        <v>44707</v>
      </c>
      <c r="U257" t="s">
        <v>225</v>
      </c>
      <c r="V257">
        <v>0</v>
      </c>
      <c r="AD257">
        <v>1</v>
      </c>
      <c r="AF257" s="18">
        <v>1</v>
      </c>
      <c r="AI257">
        <v>24</v>
      </c>
    </row>
    <row r="258" spans="1:35" x14ac:dyDescent="0.35">
      <c r="A258" t="s">
        <v>91</v>
      </c>
      <c r="B258" t="s">
        <v>24</v>
      </c>
      <c r="C258" t="s">
        <v>33</v>
      </c>
      <c r="D258" t="s">
        <v>34</v>
      </c>
      <c r="E258" t="s">
        <v>309</v>
      </c>
      <c r="F258" t="s">
        <v>310</v>
      </c>
      <c r="G258" s="20" t="s">
        <v>38</v>
      </c>
      <c r="H258" s="20" t="s">
        <v>39</v>
      </c>
      <c r="I258" t="s">
        <v>70</v>
      </c>
      <c r="J258" t="s">
        <v>70</v>
      </c>
      <c r="K258" t="s">
        <v>332</v>
      </c>
      <c r="L258" t="s">
        <v>40</v>
      </c>
      <c r="M258" t="s">
        <v>40</v>
      </c>
      <c r="N258">
        <v>148</v>
      </c>
      <c r="O258" t="s">
        <v>119</v>
      </c>
      <c r="P258" t="s">
        <v>41</v>
      </c>
      <c r="Q258" s="4">
        <v>44707</v>
      </c>
      <c r="U258" t="s">
        <v>225</v>
      </c>
      <c r="V258">
        <v>0</v>
      </c>
      <c r="AD258">
        <v>1</v>
      </c>
      <c r="AF258" s="18">
        <v>1</v>
      </c>
      <c r="AI258">
        <v>25</v>
      </c>
    </row>
    <row r="259" spans="1:35" x14ac:dyDescent="0.35">
      <c r="A259" t="s">
        <v>91</v>
      </c>
      <c r="B259" t="s">
        <v>24</v>
      </c>
      <c r="C259" t="s">
        <v>33</v>
      </c>
      <c r="D259" t="s">
        <v>34</v>
      </c>
      <c r="E259" t="s">
        <v>309</v>
      </c>
      <c r="F259" t="s">
        <v>310</v>
      </c>
      <c r="G259" s="20" t="s">
        <v>38</v>
      </c>
      <c r="H259" s="20" t="s">
        <v>39</v>
      </c>
      <c r="I259" t="s">
        <v>70</v>
      </c>
      <c r="J259" t="s">
        <v>70</v>
      </c>
      <c r="K259" t="s">
        <v>332</v>
      </c>
      <c r="L259" t="s">
        <v>40</v>
      </c>
      <c r="M259" t="s">
        <v>40</v>
      </c>
      <c r="N259">
        <v>149</v>
      </c>
      <c r="O259" t="s">
        <v>119</v>
      </c>
      <c r="P259" t="s">
        <v>41</v>
      </c>
      <c r="Q259" s="4">
        <v>44707</v>
      </c>
      <c r="U259" t="s">
        <v>225</v>
      </c>
      <c r="V259">
        <v>0</v>
      </c>
      <c r="AD259">
        <v>1</v>
      </c>
      <c r="AF259" s="18">
        <v>1</v>
      </c>
      <c r="AI259">
        <v>26</v>
      </c>
    </row>
    <row r="260" spans="1:35" x14ac:dyDescent="0.35">
      <c r="A260" t="s">
        <v>91</v>
      </c>
      <c r="B260" t="s">
        <v>24</v>
      </c>
      <c r="C260" t="s">
        <v>33</v>
      </c>
      <c r="D260" t="s">
        <v>34</v>
      </c>
      <c r="E260" t="s">
        <v>309</v>
      </c>
      <c r="F260" t="s">
        <v>310</v>
      </c>
      <c r="G260" s="20" t="s">
        <v>38</v>
      </c>
      <c r="H260" s="20" t="s">
        <v>39</v>
      </c>
      <c r="I260" t="s">
        <v>70</v>
      </c>
      <c r="J260" t="s">
        <v>70</v>
      </c>
      <c r="K260" t="s">
        <v>332</v>
      </c>
      <c r="L260" t="s">
        <v>40</v>
      </c>
      <c r="M260" t="s">
        <v>40</v>
      </c>
      <c r="N260">
        <v>150</v>
      </c>
      <c r="O260" t="s">
        <v>119</v>
      </c>
      <c r="P260" t="s">
        <v>41</v>
      </c>
      <c r="Q260" s="4">
        <v>44707</v>
      </c>
      <c r="U260" t="s">
        <v>225</v>
      </c>
      <c r="V260">
        <v>0</v>
      </c>
      <c r="AD260">
        <v>1</v>
      </c>
      <c r="AF260" s="18">
        <v>1</v>
      </c>
      <c r="AI260">
        <v>27</v>
      </c>
    </row>
    <row r="261" spans="1:35" x14ac:dyDescent="0.35">
      <c r="A261" t="s">
        <v>91</v>
      </c>
      <c r="B261" t="s">
        <v>24</v>
      </c>
      <c r="C261" t="s">
        <v>33</v>
      </c>
      <c r="D261" t="s">
        <v>34</v>
      </c>
      <c r="E261" t="s">
        <v>309</v>
      </c>
      <c r="F261" t="s">
        <v>310</v>
      </c>
      <c r="G261" s="20" t="s">
        <v>38</v>
      </c>
      <c r="H261" s="20" t="s">
        <v>39</v>
      </c>
      <c r="I261" t="s">
        <v>70</v>
      </c>
      <c r="J261" t="s">
        <v>70</v>
      </c>
      <c r="K261" t="s">
        <v>332</v>
      </c>
      <c r="L261" t="s">
        <v>40</v>
      </c>
      <c r="M261" t="s">
        <v>40</v>
      </c>
      <c r="N261">
        <v>151</v>
      </c>
      <c r="O261" t="s">
        <v>119</v>
      </c>
      <c r="P261" t="s">
        <v>41</v>
      </c>
      <c r="Q261" s="4">
        <v>44707</v>
      </c>
      <c r="U261" t="s">
        <v>225</v>
      </c>
      <c r="V261">
        <v>0</v>
      </c>
      <c r="AD261">
        <v>1</v>
      </c>
      <c r="AF261" s="18">
        <v>1</v>
      </c>
      <c r="AI261">
        <v>28</v>
      </c>
    </row>
    <row r="262" spans="1:35" x14ac:dyDescent="0.35">
      <c r="A262" t="s">
        <v>91</v>
      </c>
      <c r="B262" t="s">
        <v>24</v>
      </c>
      <c r="C262" t="s">
        <v>33</v>
      </c>
      <c r="D262" t="s">
        <v>34</v>
      </c>
      <c r="E262" t="s">
        <v>309</v>
      </c>
      <c r="F262" t="s">
        <v>310</v>
      </c>
      <c r="G262" s="20" t="s">
        <v>38</v>
      </c>
      <c r="H262" s="20" t="s">
        <v>39</v>
      </c>
      <c r="I262" t="s">
        <v>70</v>
      </c>
      <c r="J262" t="s">
        <v>70</v>
      </c>
      <c r="K262" t="s">
        <v>332</v>
      </c>
      <c r="L262" t="s">
        <v>40</v>
      </c>
      <c r="M262" t="s">
        <v>40</v>
      </c>
      <c r="N262">
        <v>152</v>
      </c>
      <c r="O262" t="s">
        <v>119</v>
      </c>
      <c r="P262" t="s">
        <v>41</v>
      </c>
      <c r="Q262" s="4">
        <v>44707</v>
      </c>
      <c r="U262" t="s">
        <v>225</v>
      </c>
      <c r="V262">
        <v>0</v>
      </c>
      <c r="AD262">
        <v>1</v>
      </c>
      <c r="AF262" s="18">
        <v>1</v>
      </c>
      <c r="AI262">
        <v>29</v>
      </c>
    </row>
    <row r="263" spans="1:35" x14ac:dyDescent="0.35">
      <c r="A263" t="s">
        <v>91</v>
      </c>
      <c r="B263" t="s">
        <v>24</v>
      </c>
      <c r="C263" t="s">
        <v>33</v>
      </c>
      <c r="D263" t="s">
        <v>34</v>
      </c>
      <c r="E263" t="s">
        <v>309</v>
      </c>
      <c r="F263" t="s">
        <v>310</v>
      </c>
      <c r="G263" s="20" t="s">
        <v>38</v>
      </c>
      <c r="H263" s="20" t="s">
        <v>39</v>
      </c>
      <c r="I263" t="s">
        <v>70</v>
      </c>
      <c r="J263" t="s">
        <v>70</v>
      </c>
      <c r="K263" t="s">
        <v>332</v>
      </c>
      <c r="L263" t="s">
        <v>40</v>
      </c>
      <c r="M263" t="s">
        <v>40</v>
      </c>
      <c r="N263">
        <v>153</v>
      </c>
      <c r="O263" t="s">
        <v>119</v>
      </c>
      <c r="P263" t="s">
        <v>41</v>
      </c>
      <c r="Q263" s="4">
        <v>44707</v>
      </c>
      <c r="U263" t="s">
        <v>225</v>
      </c>
      <c r="V263">
        <v>0</v>
      </c>
      <c r="AD263">
        <v>1</v>
      </c>
      <c r="AF263" s="18">
        <v>1</v>
      </c>
      <c r="AI263">
        <v>30</v>
      </c>
    </row>
    <row r="264" spans="1:35" x14ac:dyDescent="0.35">
      <c r="A264" t="s">
        <v>91</v>
      </c>
      <c r="B264" t="s">
        <v>24</v>
      </c>
      <c r="C264" t="s">
        <v>33</v>
      </c>
      <c r="D264" t="s">
        <v>34</v>
      </c>
      <c r="E264" t="s">
        <v>309</v>
      </c>
      <c r="F264" t="s">
        <v>42</v>
      </c>
      <c r="G264" s="20" t="s">
        <v>105</v>
      </c>
      <c r="H264" t="s">
        <v>7</v>
      </c>
      <c r="I264" t="str">
        <f>G264&amp;" "&amp;H264</f>
        <v>Austroplebeia species</v>
      </c>
      <c r="J264" t="s">
        <v>42</v>
      </c>
      <c r="K264" t="s">
        <v>334</v>
      </c>
      <c r="L264" t="s">
        <v>44</v>
      </c>
      <c r="M264" t="s">
        <v>106</v>
      </c>
      <c r="N264">
        <v>154</v>
      </c>
      <c r="O264" t="s">
        <v>119</v>
      </c>
      <c r="P264" t="s">
        <v>41</v>
      </c>
      <c r="Q264" s="4">
        <v>44707</v>
      </c>
      <c r="U264" t="s">
        <v>225</v>
      </c>
      <c r="V264">
        <v>0</v>
      </c>
      <c r="AD264">
        <v>1</v>
      </c>
      <c r="AF264" s="18">
        <v>1</v>
      </c>
      <c r="AI264">
        <v>31</v>
      </c>
    </row>
    <row r="265" spans="1:35" x14ac:dyDescent="0.35">
      <c r="A265" t="s">
        <v>91</v>
      </c>
      <c r="B265" t="s">
        <v>24</v>
      </c>
      <c r="C265" t="s">
        <v>33</v>
      </c>
      <c r="D265" t="s">
        <v>34</v>
      </c>
      <c r="E265" t="s">
        <v>309</v>
      </c>
      <c r="F265" t="s">
        <v>42</v>
      </c>
      <c r="G265" s="20" t="s">
        <v>105</v>
      </c>
      <c r="H265" t="s">
        <v>7</v>
      </c>
      <c r="I265" t="str">
        <f>G265&amp;" "&amp;H265</f>
        <v>Austroplebeia species</v>
      </c>
      <c r="J265" t="s">
        <v>42</v>
      </c>
      <c r="K265" t="s">
        <v>334</v>
      </c>
      <c r="L265" t="s">
        <v>44</v>
      </c>
      <c r="M265" t="s">
        <v>106</v>
      </c>
      <c r="N265">
        <v>155</v>
      </c>
      <c r="O265" t="s">
        <v>119</v>
      </c>
      <c r="P265" t="s">
        <v>41</v>
      </c>
      <c r="Q265" s="4">
        <v>44707</v>
      </c>
      <c r="U265" t="s">
        <v>225</v>
      </c>
      <c r="V265">
        <v>0</v>
      </c>
      <c r="AD265">
        <v>1</v>
      </c>
      <c r="AF265" s="18">
        <v>1</v>
      </c>
      <c r="AI265">
        <v>32</v>
      </c>
    </row>
    <row r="266" spans="1:35" x14ac:dyDescent="0.35">
      <c r="A266" t="s">
        <v>91</v>
      </c>
      <c r="B266" t="s">
        <v>24</v>
      </c>
      <c r="C266" t="s">
        <v>33</v>
      </c>
      <c r="D266" t="s">
        <v>34</v>
      </c>
      <c r="E266" t="s">
        <v>309</v>
      </c>
      <c r="F266" t="s">
        <v>42</v>
      </c>
      <c r="G266" s="20" t="s">
        <v>105</v>
      </c>
      <c r="H266" t="s">
        <v>7</v>
      </c>
      <c r="I266" t="str">
        <f>G266&amp;" "&amp;H266</f>
        <v>Austroplebeia species</v>
      </c>
      <c r="J266" t="s">
        <v>42</v>
      </c>
      <c r="K266" t="s">
        <v>334</v>
      </c>
      <c r="L266" t="s">
        <v>44</v>
      </c>
      <c r="M266" t="s">
        <v>106</v>
      </c>
      <c r="N266">
        <v>156</v>
      </c>
      <c r="O266" t="s">
        <v>119</v>
      </c>
      <c r="P266" t="s">
        <v>41</v>
      </c>
      <c r="Q266" s="4">
        <v>44707</v>
      </c>
      <c r="U266" t="s">
        <v>225</v>
      </c>
      <c r="V266">
        <v>0</v>
      </c>
      <c r="AD266">
        <v>1</v>
      </c>
      <c r="AF266" s="18">
        <v>1</v>
      </c>
      <c r="AI266">
        <v>33</v>
      </c>
    </row>
    <row r="267" spans="1:35" x14ac:dyDescent="0.35">
      <c r="A267" t="s">
        <v>91</v>
      </c>
      <c r="B267" t="s">
        <v>24</v>
      </c>
      <c r="C267" t="s">
        <v>33</v>
      </c>
      <c r="D267" t="s">
        <v>111</v>
      </c>
      <c r="I267" t="s">
        <v>111</v>
      </c>
      <c r="J267" t="s">
        <v>326</v>
      </c>
      <c r="K267" t="s">
        <v>330</v>
      </c>
      <c r="L267" t="s">
        <v>112</v>
      </c>
      <c r="M267" t="s">
        <v>112</v>
      </c>
      <c r="N267">
        <v>349</v>
      </c>
      <c r="O267" t="s">
        <v>119</v>
      </c>
      <c r="P267" t="s">
        <v>37</v>
      </c>
      <c r="Q267" s="4">
        <v>44728</v>
      </c>
      <c r="R267">
        <v>0</v>
      </c>
      <c r="U267" t="s">
        <v>225</v>
      </c>
      <c r="V267">
        <v>0</v>
      </c>
      <c r="AD267">
        <v>1</v>
      </c>
      <c r="AF267" s="18">
        <v>1</v>
      </c>
      <c r="AI267">
        <v>34</v>
      </c>
    </row>
    <row r="268" spans="1:35" x14ac:dyDescent="0.35">
      <c r="A268" t="s">
        <v>91</v>
      </c>
      <c r="B268" t="s">
        <v>24</v>
      </c>
      <c r="C268" t="s">
        <v>33</v>
      </c>
      <c r="D268" t="s">
        <v>57</v>
      </c>
      <c r="H268" s="22" t="s">
        <v>322</v>
      </c>
      <c r="I268" t="s">
        <v>258</v>
      </c>
      <c r="J268" t="s">
        <v>65</v>
      </c>
      <c r="K268" t="s">
        <v>333</v>
      </c>
      <c r="L268" t="s">
        <v>196</v>
      </c>
      <c r="M268" t="s">
        <v>113</v>
      </c>
      <c r="N268">
        <v>368</v>
      </c>
      <c r="O268" t="s">
        <v>119</v>
      </c>
      <c r="P268" t="s">
        <v>37</v>
      </c>
      <c r="Q268" s="4">
        <v>44727</v>
      </c>
      <c r="R268">
        <v>0</v>
      </c>
      <c r="U268" t="s">
        <v>225</v>
      </c>
      <c r="V268">
        <v>0</v>
      </c>
      <c r="AD268">
        <v>1</v>
      </c>
      <c r="AF268" s="18">
        <v>1</v>
      </c>
      <c r="AI268">
        <v>35</v>
      </c>
    </row>
    <row r="269" spans="1:35" x14ac:dyDescent="0.35">
      <c r="A269" t="s">
        <v>91</v>
      </c>
      <c r="B269" t="s">
        <v>24</v>
      </c>
      <c r="C269" t="s">
        <v>33</v>
      </c>
      <c r="D269" t="s">
        <v>57</v>
      </c>
      <c r="H269" s="22" t="s">
        <v>322</v>
      </c>
      <c r="I269" t="s">
        <v>258</v>
      </c>
      <c r="J269" t="s">
        <v>65</v>
      </c>
      <c r="K269" t="s">
        <v>333</v>
      </c>
      <c r="L269" t="s">
        <v>196</v>
      </c>
      <c r="M269" t="s">
        <v>113</v>
      </c>
      <c r="N269">
        <v>369</v>
      </c>
      <c r="O269" t="s">
        <v>119</v>
      </c>
      <c r="P269" t="s">
        <v>37</v>
      </c>
      <c r="Q269" s="4">
        <v>44728</v>
      </c>
      <c r="R269">
        <v>0</v>
      </c>
      <c r="U269" t="s">
        <v>225</v>
      </c>
      <c r="V269">
        <v>0</v>
      </c>
      <c r="AD269">
        <v>1</v>
      </c>
      <c r="AF269" s="18">
        <v>1</v>
      </c>
      <c r="AI269">
        <v>36</v>
      </c>
    </row>
    <row r="270" spans="1:35" x14ac:dyDescent="0.35">
      <c r="A270" t="s">
        <v>91</v>
      </c>
      <c r="B270" t="s">
        <v>24</v>
      </c>
      <c r="C270" t="s">
        <v>33</v>
      </c>
      <c r="D270" t="s">
        <v>57</v>
      </c>
      <c r="H270" s="22" t="s">
        <v>322</v>
      </c>
      <c r="I270" t="s">
        <v>258</v>
      </c>
      <c r="J270" t="s">
        <v>65</v>
      </c>
      <c r="K270" t="s">
        <v>333</v>
      </c>
      <c r="L270" t="s">
        <v>196</v>
      </c>
      <c r="M270" t="s">
        <v>113</v>
      </c>
      <c r="N270">
        <v>526</v>
      </c>
      <c r="O270" t="s">
        <v>119</v>
      </c>
      <c r="P270" t="s">
        <v>37</v>
      </c>
      <c r="Q270" s="4">
        <v>44728</v>
      </c>
      <c r="R270">
        <v>0</v>
      </c>
      <c r="S270" t="s">
        <v>171</v>
      </c>
      <c r="T270" t="s">
        <v>72</v>
      </c>
      <c r="U270" t="s">
        <v>271</v>
      </c>
      <c r="V270">
        <v>0</v>
      </c>
      <c r="AD270">
        <v>1</v>
      </c>
      <c r="AF270" s="18">
        <v>1</v>
      </c>
      <c r="AI270">
        <v>37</v>
      </c>
    </row>
    <row r="271" spans="1:35" x14ac:dyDescent="0.35">
      <c r="A271" t="s">
        <v>91</v>
      </c>
      <c r="B271" t="s">
        <v>24</v>
      </c>
      <c r="C271" t="s">
        <v>33</v>
      </c>
      <c r="D271" t="s">
        <v>65</v>
      </c>
      <c r="E271" t="s">
        <v>58</v>
      </c>
      <c r="G271" s="20" t="s">
        <v>307</v>
      </c>
      <c r="H271" t="s">
        <v>7</v>
      </c>
      <c r="I271" t="str">
        <f t="shared" ref="I271:I292" si="8">G271&amp;" "&amp;H271</f>
        <v>Lipotriches species</v>
      </c>
      <c r="J271" t="s">
        <v>65</v>
      </c>
      <c r="K271" t="s">
        <v>333</v>
      </c>
      <c r="L271" t="s">
        <v>196</v>
      </c>
      <c r="M271" t="s">
        <v>59</v>
      </c>
      <c r="N271">
        <v>350</v>
      </c>
      <c r="O271" t="s">
        <v>119</v>
      </c>
      <c r="P271" t="s">
        <v>37</v>
      </c>
      <c r="Q271" s="4">
        <v>44728</v>
      </c>
      <c r="R271">
        <v>1</v>
      </c>
      <c r="U271" t="s">
        <v>225</v>
      </c>
      <c r="V271">
        <v>0</v>
      </c>
      <c r="AD271">
        <v>1</v>
      </c>
      <c r="AF271" s="18">
        <v>1</v>
      </c>
      <c r="AI271">
        <v>38</v>
      </c>
    </row>
    <row r="272" spans="1:35" x14ac:dyDescent="0.35">
      <c r="A272" t="s">
        <v>91</v>
      </c>
      <c r="B272" t="s">
        <v>24</v>
      </c>
      <c r="C272" t="s">
        <v>33</v>
      </c>
      <c r="D272" t="s">
        <v>65</v>
      </c>
      <c r="E272" t="s">
        <v>58</v>
      </c>
      <c r="G272" s="20" t="s">
        <v>307</v>
      </c>
      <c r="H272" t="s">
        <v>7</v>
      </c>
      <c r="I272" t="str">
        <f t="shared" si="8"/>
        <v>Lipotriches species</v>
      </c>
      <c r="J272" t="s">
        <v>65</v>
      </c>
      <c r="K272" t="s">
        <v>333</v>
      </c>
      <c r="L272" t="s">
        <v>196</v>
      </c>
      <c r="M272" t="s">
        <v>59</v>
      </c>
      <c r="N272">
        <v>351</v>
      </c>
      <c r="O272" t="s">
        <v>119</v>
      </c>
      <c r="P272" t="s">
        <v>37</v>
      </c>
      <c r="Q272" s="4">
        <v>44728</v>
      </c>
      <c r="R272">
        <v>1</v>
      </c>
      <c r="S272" t="s">
        <v>74</v>
      </c>
      <c r="T272" t="s">
        <v>229</v>
      </c>
      <c r="U272" t="s">
        <v>229</v>
      </c>
      <c r="V272">
        <v>0</v>
      </c>
      <c r="AD272">
        <v>1</v>
      </c>
      <c r="AF272">
        <v>7</v>
      </c>
      <c r="AI272">
        <v>39</v>
      </c>
    </row>
    <row r="273" spans="1:35" x14ac:dyDescent="0.35">
      <c r="A273" t="s">
        <v>91</v>
      </c>
      <c r="B273" t="s">
        <v>24</v>
      </c>
      <c r="C273" t="s">
        <v>33</v>
      </c>
      <c r="D273" t="s">
        <v>65</v>
      </c>
      <c r="E273" t="s">
        <v>58</v>
      </c>
      <c r="G273" s="20" t="s">
        <v>307</v>
      </c>
      <c r="H273" t="s">
        <v>7</v>
      </c>
      <c r="I273" t="str">
        <f t="shared" si="8"/>
        <v>Lipotriches species</v>
      </c>
      <c r="J273" t="s">
        <v>65</v>
      </c>
      <c r="K273" t="s">
        <v>333</v>
      </c>
      <c r="L273" t="s">
        <v>196</v>
      </c>
      <c r="M273" t="s">
        <v>59</v>
      </c>
      <c r="N273">
        <v>352</v>
      </c>
      <c r="O273" t="s">
        <v>119</v>
      </c>
      <c r="P273" t="s">
        <v>37</v>
      </c>
      <c r="Q273" s="4">
        <v>44728</v>
      </c>
      <c r="R273">
        <v>1</v>
      </c>
      <c r="S273" t="s">
        <v>170</v>
      </c>
      <c r="T273" t="s">
        <v>229</v>
      </c>
      <c r="U273" t="s">
        <v>229</v>
      </c>
      <c r="V273">
        <v>0</v>
      </c>
      <c r="AD273">
        <v>1</v>
      </c>
      <c r="AF273">
        <v>7</v>
      </c>
      <c r="AI273">
        <v>40</v>
      </c>
    </row>
    <row r="274" spans="1:35" x14ac:dyDescent="0.35">
      <c r="A274" t="s">
        <v>91</v>
      </c>
      <c r="B274" t="s">
        <v>24</v>
      </c>
      <c r="C274" t="s">
        <v>33</v>
      </c>
      <c r="D274" t="s">
        <v>65</v>
      </c>
      <c r="E274" t="s">
        <v>58</v>
      </c>
      <c r="G274" s="20" t="s">
        <v>307</v>
      </c>
      <c r="H274" t="s">
        <v>7</v>
      </c>
      <c r="I274" t="str">
        <f t="shared" si="8"/>
        <v>Lipotriches species</v>
      </c>
      <c r="J274" t="s">
        <v>65</v>
      </c>
      <c r="K274" t="s">
        <v>333</v>
      </c>
      <c r="L274" t="s">
        <v>196</v>
      </c>
      <c r="M274" t="s">
        <v>59</v>
      </c>
      <c r="N274">
        <v>353</v>
      </c>
      <c r="O274" t="s">
        <v>119</v>
      </c>
      <c r="P274" t="s">
        <v>37</v>
      </c>
      <c r="Q274" s="4">
        <v>44728</v>
      </c>
      <c r="R274">
        <v>1</v>
      </c>
      <c r="S274" t="s">
        <v>170</v>
      </c>
      <c r="T274" t="s">
        <v>229</v>
      </c>
      <c r="U274" t="s">
        <v>229</v>
      </c>
      <c r="V274">
        <v>0</v>
      </c>
      <c r="AD274">
        <v>1</v>
      </c>
      <c r="AF274">
        <v>7</v>
      </c>
      <c r="AI274">
        <v>41</v>
      </c>
    </row>
    <row r="275" spans="1:35" x14ac:dyDescent="0.35">
      <c r="A275" t="s">
        <v>91</v>
      </c>
      <c r="B275" t="s">
        <v>24</v>
      </c>
      <c r="C275" t="s">
        <v>33</v>
      </c>
      <c r="D275" t="s">
        <v>65</v>
      </c>
      <c r="E275" t="s">
        <v>58</v>
      </c>
      <c r="G275" s="20" t="s">
        <v>307</v>
      </c>
      <c r="H275" t="s">
        <v>7</v>
      </c>
      <c r="I275" t="str">
        <f t="shared" si="8"/>
        <v>Lipotriches species</v>
      </c>
      <c r="J275" t="s">
        <v>65</v>
      </c>
      <c r="K275" t="s">
        <v>333</v>
      </c>
      <c r="L275" t="s">
        <v>196</v>
      </c>
      <c r="M275" t="s">
        <v>59</v>
      </c>
      <c r="N275">
        <v>354</v>
      </c>
      <c r="O275" t="s">
        <v>119</v>
      </c>
      <c r="P275" t="s">
        <v>37</v>
      </c>
      <c r="Q275" s="4">
        <v>44728</v>
      </c>
      <c r="R275">
        <v>1</v>
      </c>
      <c r="S275" s="3" t="s">
        <v>170</v>
      </c>
      <c r="T275" t="s">
        <v>229</v>
      </c>
      <c r="U275" t="s">
        <v>229</v>
      </c>
      <c r="V275">
        <v>0</v>
      </c>
      <c r="AD275">
        <v>1</v>
      </c>
      <c r="AF275">
        <v>7</v>
      </c>
      <c r="AI275">
        <v>42</v>
      </c>
    </row>
    <row r="276" spans="1:35" x14ac:dyDescent="0.35">
      <c r="A276" t="s">
        <v>91</v>
      </c>
      <c r="B276" t="s">
        <v>24</v>
      </c>
      <c r="C276" t="s">
        <v>33</v>
      </c>
      <c r="D276" t="s">
        <v>65</v>
      </c>
      <c r="E276" t="s">
        <v>58</v>
      </c>
      <c r="G276" s="20" t="s">
        <v>307</v>
      </c>
      <c r="H276" t="s">
        <v>7</v>
      </c>
      <c r="I276" t="str">
        <f t="shared" si="8"/>
        <v>Lipotriches species</v>
      </c>
      <c r="J276" t="s">
        <v>65</v>
      </c>
      <c r="K276" t="s">
        <v>333</v>
      </c>
      <c r="L276" t="s">
        <v>196</v>
      </c>
      <c r="M276" t="s">
        <v>59</v>
      </c>
      <c r="N276">
        <v>356</v>
      </c>
      <c r="O276" t="s">
        <v>119</v>
      </c>
      <c r="P276" t="s">
        <v>37</v>
      </c>
      <c r="Q276" s="4">
        <v>44728</v>
      </c>
      <c r="R276">
        <v>1</v>
      </c>
      <c r="S276" t="s">
        <v>80</v>
      </c>
      <c r="U276" t="s">
        <v>225</v>
      </c>
      <c r="V276">
        <v>0</v>
      </c>
      <c r="AD276">
        <v>1</v>
      </c>
      <c r="AF276">
        <v>9</v>
      </c>
      <c r="AI276">
        <v>43</v>
      </c>
    </row>
    <row r="277" spans="1:35" x14ac:dyDescent="0.35">
      <c r="A277" t="s">
        <v>91</v>
      </c>
      <c r="B277" t="s">
        <v>24</v>
      </c>
      <c r="C277" t="s">
        <v>33</v>
      </c>
      <c r="D277" t="s">
        <v>65</v>
      </c>
      <c r="E277" t="s">
        <v>58</v>
      </c>
      <c r="G277" s="20" t="s">
        <v>60</v>
      </c>
      <c r="H277" t="s">
        <v>7</v>
      </c>
      <c r="I277" t="str">
        <f t="shared" si="8"/>
        <v>Mellitidia species</v>
      </c>
      <c r="J277" t="s">
        <v>65</v>
      </c>
      <c r="K277" t="s">
        <v>333</v>
      </c>
      <c r="L277" t="s">
        <v>196</v>
      </c>
      <c r="M277" t="s">
        <v>61</v>
      </c>
      <c r="N277">
        <v>357</v>
      </c>
      <c r="O277" t="s">
        <v>119</v>
      </c>
      <c r="P277" t="s">
        <v>30</v>
      </c>
      <c r="Q277" s="4">
        <v>44714</v>
      </c>
      <c r="R277">
        <v>0</v>
      </c>
      <c r="S277" t="s">
        <v>167</v>
      </c>
      <c r="U277" t="s">
        <v>225</v>
      </c>
      <c r="V277">
        <v>0</v>
      </c>
      <c r="AD277">
        <v>1</v>
      </c>
      <c r="AF277">
        <v>42</v>
      </c>
      <c r="AI277">
        <v>44</v>
      </c>
    </row>
    <row r="278" spans="1:35" x14ac:dyDescent="0.35">
      <c r="A278" t="s">
        <v>91</v>
      </c>
      <c r="B278" t="s">
        <v>24</v>
      </c>
      <c r="C278" t="s">
        <v>33</v>
      </c>
      <c r="D278" t="s">
        <v>65</v>
      </c>
      <c r="E278" t="s">
        <v>58</v>
      </c>
      <c r="G278" s="20" t="s">
        <v>60</v>
      </c>
      <c r="H278" t="s">
        <v>7</v>
      </c>
      <c r="I278" t="str">
        <f t="shared" si="8"/>
        <v>Mellitidia species</v>
      </c>
      <c r="J278" t="s">
        <v>65</v>
      </c>
      <c r="K278" t="s">
        <v>333</v>
      </c>
      <c r="L278" t="s">
        <v>196</v>
      </c>
      <c r="M278" t="s">
        <v>61</v>
      </c>
      <c r="N278">
        <v>358</v>
      </c>
      <c r="O278" t="s">
        <v>119</v>
      </c>
      <c r="P278" t="s">
        <v>56</v>
      </c>
      <c r="Q278" s="4">
        <v>44734</v>
      </c>
      <c r="R278">
        <v>0</v>
      </c>
      <c r="S278" t="s">
        <v>167</v>
      </c>
      <c r="U278" t="s">
        <v>225</v>
      </c>
      <c r="V278">
        <v>0</v>
      </c>
      <c r="AD278">
        <v>1</v>
      </c>
      <c r="AF278">
        <v>29</v>
      </c>
      <c r="AI278">
        <v>45</v>
      </c>
    </row>
    <row r="279" spans="1:35" x14ac:dyDescent="0.35">
      <c r="A279" t="s">
        <v>91</v>
      </c>
      <c r="B279" t="s">
        <v>24</v>
      </c>
      <c r="C279" t="s">
        <v>33</v>
      </c>
      <c r="D279" t="s">
        <v>65</v>
      </c>
      <c r="E279" t="s">
        <v>58</v>
      </c>
      <c r="G279" s="20" t="s">
        <v>60</v>
      </c>
      <c r="H279" t="s">
        <v>7</v>
      </c>
      <c r="I279" t="str">
        <f t="shared" si="8"/>
        <v>Mellitidia species</v>
      </c>
      <c r="J279" t="s">
        <v>65</v>
      </c>
      <c r="K279" t="s">
        <v>333</v>
      </c>
      <c r="L279" t="s">
        <v>196</v>
      </c>
      <c r="M279" t="s">
        <v>61</v>
      </c>
      <c r="N279">
        <v>359</v>
      </c>
      <c r="O279" t="s">
        <v>119</v>
      </c>
      <c r="P279" t="s">
        <v>56</v>
      </c>
      <c r="Q279" s="4">
        <v>44734</v>
      </c>
      <c r="R279">
        <v>0</v>
      </c>
      <c r="S279" t="s">
        <v>108</v>
      </c>
      <c r="U279" t="s">
        <v>225</v>
      </c>
      <c r="V279">
        <v>0</v>
      </c>
      <c r="AD279">
        <v>1</v>
      </c>
      <c r="AF279">
        <v>29</v>
      </c>
      <c r="AI279">
        <v>46</v>
      </c>
    </row>
    <row r="280" spans="1:35" x14ac:dyDescent="0.35">
      <c r="A280" t="s">
        <v>91</v>
      </c>
      <c r="B280" t="s">
        <v>24</v>
      </c>
      <c r="C280" t="s">
        <v>33</v>
      </c>
      <c r="D280" t="s">
        <v>65</v>
      </c>
      <c r="E280" t="s">
        <v>58</v>
      </c>
      <c r="G280" s="20" t="s">
        <v>60</v>
      </c>
      <c r="H280" t="s">
        <v>7</v>
      </c>
      <c r="I280" t="str">
        <f t="shared" si="8"/>
        <v>Mellitidia species</v>
      </c>
      <c r="J280" t="s">
        <v>65</v>
      </c>
      <c r="K280" t="s">
        <v>333</v>
      </c>
      <c r="L280" t="s">
        <v>196</v>
      </c>
      <c r="M280" t="s">
        <v>61</v>
      </c>
      <c r="N280">
        <v>360</v>
      </c>
      <c r="O280" t="s">
        <v>119</v>
      </c>
      <c r="P280" t="s">
        <v>56</v>
      </c>
      <c r="Q280" s="4">
        <v>44734</v>
      </c>
      <c r="R280">
        <v>0</v>
      </c>
      <c r="U280" t="s">
        <v>225</v>
      </c>
      <c r="V280">
        <v>0</v>
      </c>
      <c r="AD280">
        <v>1</v>
      </c>
      <c r="AF280">
        <v>17</v>
      </c>
      <c r="AI280">
        <v>47</v>
      </c>
    </row>
    <row r="281" spans="1:35" x14ac:dyDescent="0.35">
      <c r="A281" t="s">
        <v>91</v>
      </c>
      <c r="B281" t="s">
        <v>24</v>
      </c>
      <c r="C281" t="s">
        <v>33</v>
      </c>
      <c r="D281" t="s">
        <v>65</v>
      </c>
      <c r="E281" t="s">
        <v>58</v>
      </c>
      <c r="G281" s="20" t="s">
        <v>60</v>
      </c>
      <c r="H281" t="s">
        <v>7</v>
      </c>
      <c r="I281" t="str">
        <f t="shared" si="8"/>
        <v>Mellitidia species</v>
      </c>
      <c r="J281" t="s">
        <v>65</v>
      </c>
      <c r="K281" t="s">
        <v>333</v>
      </c>
      <c r="L281" t="s">
        <v>196</v>
      </c>
      <c r="M281" t="s">
        <v>61</v>
      </c>
      <c r="N281">
        <v>361</v>
      </c>
      <c r="O281" t="s">
        <v>119</v>
      </c>
      <c r="P281" t="s">
        <v>56</v>
      </c>
      <c r="Q281" s="4">
        <v>44734</v>
      </c>
      <c r="R281">
        <v>1</v>
      </c>
      <c r="S281" t="s">
        <v>171</v>
      </c>
      <c r="T281" t="s">
        <v>72</v>
      </c>
      <c r="U281" t="s">
        <v>271</v>
      </c>
      <c r="V281">
        <v>0</v>
      </c>
      <c r="AD281">
        <v>1</v>
      </c>
      <c r="AF281">
        <v>13</v>
      </c>
      <c r="AI281">
        <v>48</v>
      </c>
    </row>
    <row r="282" spans="1:35" x14ac:dyDescent="0.35">
      <c r="A282" t="s">
        <v>91</v>
      </c>
      <c r="B282" t="s">
        <v>24</v>
      </c>
      <c r="C282" t="s">
        <v>33</v>
      </c>
      <c r="D282" t="s">
        <v>65</v>
      </c>
      <c r="E282" t="s">
        <v>58</v>
      </c>
      <c r="G282" s="20" t="s">
        <v>60</v>
      </c>
      <c r="H282" t="s">
        <v>7</v>
      </c>
      <c r="I282" t="str">
        <f t="shared" si="8"/>
        <v>Mellitidia species</v>
      </c>
      <c r="J282" t="s">
        <v>65</v>
      </c>
      <c r="K282" t="s">
        <v>333</v>
      </c>
      <c r="L282" t="s">
        <v>196</v>
      </c>
      <c r="M282" t="s">
        <v>61</v>
      </c>
      <c r="N282">
        <v>362</v>
      </c>
      <c r="O282" t="s">
        <v>119</v>
      </c>
      <c r="P282" t="s">
        <v>56</v>
      </c>
      <c r="Q282" s="4">
        <v>44734</v>
      </c>
      <c r="R282">
        <v>1</v>
      </c>
      <c r="S282" t="s">
        <v>171</v>
      </c>
      <c r="T282" t="s">
        <v>72</v>
      </c>
      <c r="U282" t="s">
        <v>271</v>
      </c>
      <c r="V282">
        <v>0</v>
      </c>
      <c r="AD282">
        <v>1</v>
      </c>
      <c r="AF282">
        <v>13</v>
      </c>
      <c r="AI282">
        <v>49</v>
      </c>
    </row>
    <row r="283" spans="1:35" x14ac:dyDescent="0.35">
      <c r="A283" t="s">
        <v>91</v>
      </c>
      <c r="B283" t="s">
        <v>24</v>
      </c>
      <c r="C283" t="s">
        <v>33</v>
      </c>
      <c r="D283" t="s">
        <v>65</v>
      </c>
      <c r="E283" t="s">
        <v>58</v>
      </c>
      <c r="G283" s="20" t="s">
        <v>60</v>
      </c>
      <c r="H283" t="s">
        <v>7</v>
      </c>
      <c r="I283" t="str">
        <f t="shared" si="8"/>
        <v>Mellitidia species</v>
      </c>
      <c r="J283" t="s">
        <v>65</v>
      </c>
      <c r="K283" t="s">
        <v>333</v>
      </c>
      <c r="L283" t="s">
        <v>196</v>
      </c>
      <c r="M283" t="s">
        <v>61</v>
      </c>
      <c r="N283">
        <v>363</v>
      </c>
      <c r="O283" t="s">
        <v>119</v>
      </c>
      <c r="P283" t="s">
        <v>56</v>
      </c>
      <c r="Q283" s="4">
        <v>44734</v>
      </c>
      <c r="R283">
        <v>1</v>
      </c>
      <c r="S283" t="s">
        <v>171</v>
      </c>
      <c r="T283" t="s">
        <v>72</v>
      </c>
      <c r="U283" t="s">
        <v>271</v>
      </c>
      <c r="V283">
        <v>0</v>
      </c>
      <c r="AD283">
        <v>1</v>
      </c>
      <c r="AF283">
        <v>13</v>
      </c>
      <c r="AI283">
        <v>50</v>
      </c>
    </row>
    <row r="284" spans="1:35" x14ac:dyDescent="0.35">
      <c r="A284" t="s">
        <v>91</v>
      </c>
      <c r="B284" t="s">
        <v>24</v>
      </c>
      <c r="C284" t="s">
        <v>33</v>
      </c>
      <c r="D284" t="s">
        <v>52</v>
      </c>
      <c r="E284" t="s">
        <v>53</v>
      </c>
      <c r="G284" t="s">
        <v>54</v>
      </c>
      <c r="H284" t="s">
        <v>7</v>
      </c>
      <c r="I284" t="str">
        <f t="shared" si="8"/>
        <v>Palaeorhiza species</v>
      </c>
      <c r="J284" t="s">
        <v>249</v>
      </c>
      <c r="K284" t="s">
        <v>332</v>
      </c>
      <c r="L284" t="s">
        <v>268</v>
      </c>
      <c r="M284" t="s">
        <v>55</v>
      </c>
      <c r="N284">
        <v>346</v>
      </c>
      <c r="O284" t="s">
        <v>119</v>
      </c>
      <c r="P284" t="s">
        <v>56</v>
      </c>
      <c r="Q284" s="4">
        <v>44734</v>
      </c>
      <c r="R284">
        <v>0</v>
      </c>
      <c r="U284" t="s">
        <v>225</v>
      </c>
      <c r="V284">
        <v>0</v>
      </c>
      <c r="AD284">
        <v>1</v>
      </c>
      <c r="AF284">
        <v>29</v>
      </c>
      <c r="AI284">
        <v>51</v>
      </c>
    </row>
    <row r="285" spans="1:35" x14ac:dyDescent="0.35">
      <c r="A285" t="s">
        <v>91</v>
      </c>
      <c r="B285" t="s">
        <v>24</v>
      </c>
      <c r="C285" t="s">
        <v>33</v>
      </c>
      <c r="D285" t="s">
        <v>52</v>
      </c>
      <c r="E285" t="s">
        <v>53</v>
      </c>
      <c r="G285" t="s">
        <v>54</v>
      </c>
      <c r="H285" t="s">
        <v>7</v>
      </c>
      <c r="I285" t="str">
        <f t="shared" si="8"/>
        <v>Palaeorhiza species</v>
      </c>
      <c r="J285" t="s">
        <v>249</v>
      </c>
      <c r="K285" t="s">
        <v>332</v>
      </c>
      <c r="L285" t="s">
        <v>268</v>
      </c>
      <c r="M285" t="s">
        <v>55</v>
      </c>
      <c r="N285">
        <v>347</v>
      </c>
      <c r="O285" t="s">
        <v>119</v>
      </c>
      <c r="P285" t="s">
        <v>56</v>
      </c>
      <c r="Q285" s="4">
        <v>44734</v>
      </c>
      <c r="R285">
        <v>0</v>
      </c>
      <c r="S285" t="s">
        <v>74</v>
      </c>
      <c r="T285" t="s">
        <v>229</v>
      </c>
      <c r="U285" t="s">
        <v>229</v>
      </c>
      <c r="V285">
        <v>0</v>
      </c>
      <c r="AD285">
        <v>1</v>
      </c>
      <c r="AF285">
        <v>17</v>
      </c>
      <c r="AI285">
        <v>52</v>
      </c>
    </row>
    <row r="286" spans="1:35" x14ac:dyDescent="0.35">
      <c r="A286" t="s">
        <v>91</v>
      </c>
      <c r="B286" t="s">
        <v>24</v>
      </c>
      <c r="C286" t="s">
        <v>33</v>
      </c>
      <c r="D286" t="s">
        <v>52</v>
      </c>
      <c r="E286" t="s">
        <v>53</v>
      </c>
      <c r="G286" t="s">
        <v>54</v>
      </c>
      <c r="H286" t="s">
        <v>7</v>
      </c>
      <c r="I286" t="str">
        <f t="shared" si="8"/>
        <v>Palaeorhiza species</v>
      </c>
      <c r="J286" t="s">
        <v>249</v>
      </c>
      <c r="K286" t="s">
        <v>332</v>
      </c>
      <c r="L286" t="s">
        <v>268</v>
      </c>
      <c r="M286" t="s">
        <v>55</v>
      </c>
      <c r="N286">
        <v>348</v>
      </c>
      <c r="O286" t="s">
        <v>119</v>
      </c>
      <c r="P286" t="s">
        <v>56</v>
      </c>
      <c r="Q286" s="4">
        <v>44734</v>
      </c>
      <c r="R286">
        <v>1</v>
      </c>
      <c r="S286" t="s">
        <v>74</v>
      </c>
      <c r="T286" t="s">
        <v>229</v>
      </c>
      <c r="U286" t="s">
        <v>229</v>
      </c>
      <c r="V286">
        <v>0</v>
      </c>
      <c r="AD286">
        <v>1</v>
      </c>
      <c r="AF286">
        <v>15</v>
      </c>
      <c r="AI286">
        <v>53</v>
      </c>
    </row>
    <row r="287" spans="1:35" x14ac:dyDescent="0.35">
      <c r="A287" t="s">
        <v>91</v>
      </c>
      <c r="B287" t="s">
        <v>24</v>
      </c>
      <c r="C287" t="s">
        <v>33</v>
      </c>
      <c r="D287" t="s">
        <v>65</v>
      </c>
      <c r="E287" t="s">
        <v>62</v>
      </c>
      <c r="F287" t="s">
        <v>316</v>
      </c>
      <c r="G287" s="20" t="s">
        <v>314</v>
      </c>
      <c r="H287" s="20" t="s">
        <v>63</v>
      </c>
      <c r="I287" t="str">
        <f t="shared" si="8"/>
        <v xml:space="preserve">Patellapis stirlingi </v>
      </c>
      <c r="J287" t="s">
        <v>65</v>
      </c>
      <c r="K287" t="s">
        <v>333</v>
      </c>
      <c r="L287" t="s">
        <v>196</v>
      </c>
      <c r="M287" t="s">
        <v>64</v>
      </c>
      <c r="N287">
        <v>364</v>
      </c>
      <c r="O287" t="s">
        <v>119</v>
      </c>
      <c r="P287" t="s">
        <v>30</v>
      </c>
      <c r="Q287" s="4">
        <v>44714</v>
      </c>
      <c r="R287">
        <v>0</v>
      </c>
      <c r="U287" t="s">
        <v>225</v>
      </c>
      <c r="V287">
        <v>0</v>
      </c>
      <c r="AD287">
        <v>1</v>
      </c>
      <c r="AF287">
        <v>30</v>
      </c>
      <c r="AI287">
        <v>55</v>
      </c>
    </row>
    <row r="288" spans="1:35" x14ac:dyDescent="0.35">
      <c r="A288" t="s">
        <v>91</v>
      </c>
      <c r="B288" t="s">
        <v>24</v>
      </c>
      <c r="C288" t="s">
        <v>33</v>
      </c>
      <c r="D288" t="s">
        <v>65</v>
      </c>
      <c r="E288" t="s">
        <v>62</v>
      </c>
      <c r="F288" t="s">
        <v>316</v>
      </c>
      <c r="G288" s="20" t="s">
        <v>314</v>
      </c>
      <c r="H288" s="20" t="s">
        <v>63</v>
      </c>
      <c r="I288" t="str">
        <f t="shared" si="8"/>
        <v xml:space="preserve">Patellapis stirlingi </v>
      </c>
      <c r="J288" t="s">
        <v>65</v>
      </c>
      <c r="K288" t="s">
        <v>333</v>
      </c>
      <c r="L288" t="s">
        <v>196</v>
      </c>
      <c r="M288" t="s">
        <v>64</v>
      </c>
      <c r="N288">
        <v>365</v>
      </c>
      <c r="O288" t="s">
        <v>119</v>
      </c>
      <c r="P288" t="s">
        <v>41</v>
      </c>
      <c r="Q288" s="4">
        <v>44707</v>
      </c>
      <c r="S288" t="s">
        <v>171</v>
      </c>
      <c r="T288" t="s">
        <v>72</v>
      </c>
      <c r="U288" t="s">
        <v>271</v>
      </c>
      <c r="V288">
        <v>0</v>
      </c>
      <c r="AD288">
        <v>1</v>
      </c>
      <c r="AF288">
        <v>36</v>
      </c>
      <c r="AI288">
        <v>54</v>
      </c>
    </row>
    <row r="289" spans="1:35" x14ac:dyDescent="0.35">
      <c r="A289" t="s">
        <v>91</v>
      </c>
      <c r="B289" t="s">
        <v>24</v>
      </c>
      <c r="C289" t="s">
        <v>33</v>
      </c>
      <c r="D289" t="s">
        <v>65</v>
      </c>
      <c r="E289" t="s">
        <v>62</v>
      </c>
      <c r="F289" t="s">
        <v>316</v>
      </c>
      <c r="G289" s="20" t="s">
        <v>314</v>
      </c>
      <c r="H289" s="20" t="s">
        <v>63</v>
      </c>
      <c r="I289" t="str">
        <f t="shared" si="8"/>
        <v xml:space="preserve">Patellapis stirlingi </v>
      </c>
      <c r="J289" t="s">
        <v>65</v>
      </c>
      <c r="K289" t="s">
        <v>333</v>
      </c>
      <c r="L289" t="s">
        <v>196</v>
      </c>
      <c r="M289" t="s">
        <v>64</v>
      </c>
      <c r="N289">
        <v>366</v>
      </c>
      <c r="O289" t="s">
        <v>119</v>
      </c>
      <c r="P289" t="s">
        <v>30</v>
      </c>
      <c r="Q289" s="4">
        <v>44714</v>
      </c>
      <c r="R289">
        <v>0</v>
      </c>
      <c r="U289" t="s">
        <v>225</v>
      </c>
      <c r="V289">
        <v>0</v>
      </c>
      <c r="AD289">
        <v>1</v>
      </c>
      <c r="AF289">
        <v>19</v>
      </c>
      <c r="AI289">
        <v>56</v>
      </c>
    </row>
    <row r="290" spans="1:35" x14ac:dyDescent="0.35">
      <c r="A290" t="s">
        <v>91</v>
      </c>
      <c r="B290" t="s">
        <v>24</v>
      </c>
      <c r="C290" t="s">
        <v>33</v>
      </c>
      <c r="D290" t="s">
        <v>65</v>
      </c>
      <c r="E290" t="s">
        <v>62</v>
      </c>
      <c r="F290" t="s">
        <v>316</v>
      </c>
      <c r="G290" s="20" t="s">
        <v>314</v>
      </c>
      <c r="H290" s="20" t="s">
        <v>63</v>
      </c>
      <c r="I290" t="str">
        <f t="shared" si="8"/>
        <v xml:space="preserve">Patellapis stirlingi </v>
      </c>
      <c r="J290" t="s">
        <v>65</v>
      </c>
      <c r="K290" t="s">
        <v>333</v>
      </c>
      <c r="L290" t="s">
        <v>196</v>
      </c>
      <c r="M290" t="s">
        <v>64</v>
      </c>
      <c r="N290">
        <v>367</v>
      </c>
      <c r="O290" t="s">
        <v>119</v>
      </c>
      <c r="P290" t="s">
        <v>56</v>
      </c>
      <c r="Q290" s="4">
        <v>44734</v>
      </c>
      <c r="R290">
        <v>0</v>
      </c>
      <c r="U290" t="s">
        <v>225</v>
      </c>
      <c r="V290">
        <v>0</v>
      </c>
      <c r="AD290">
        <v>1</v>
      </c>
      <c r="AF290">
        <v>13</v>
      </c>
      <c r="AI290">
        <v>58</v>
      </c>
    </row>
    <row r="291" spans="1:35" x14ac:dyDescent="0.35">
      <c r="A291" t="s">
        <v>91</v>
      </c>
      <c r="B291" t="s">
        <v>24</v>
      </c>
      <c r="C291" t="s">
        <v>33</v>
      </c>
      <c r="D291" t="s">
        <v>65</v>
      </c>
      <c r="E291" t="s">
        <v>62</v>
      </c>
      <c r="F291" t="s">
        <v>316</v>
      </c>
      <c r="G291" s="20" t="s">
        <v>314</v>
      </c>
      <c r="H291" s="20" t="s">
        <v>63</v>
      </c>
      <c r="I291" t="str">
        <f t="shared" si="8"/>
        <v xml:space="preserve">Patellapis stirlingi </v>
      </c>
      <c r="J291" t="s">
        <v>65</v>
      </c>
      <c r="K291" t="s">
        <v>333</v>
      </c>
      <c r="L291" t="s">
        <v>196</v>
      </c>
      <c r="M291" t="s">
        <v>64</v>
      </c>
      <c r="N291">
        <v>370</v>
      </c>
      <c r="O291" t="s">
        <v>119</v>
      </c>
      <c r="P291" t="s">
        <v>30</v>
      </c>
      <c r="Q291" s="4">
        <v>44714</v>
      </c>
      <c r="R291">
        <v>0</v>
      </c>
      <c r="S291" t="s">
        <v>171</v>
      </c>
      <c r="T291" t="s">
        <v>72</v>
      </c>
      <c r="U291" t="s">
        <v>271</v>
      </c>
      <c r="V291">
        <v>0</v>
      </c>
      <c r="AD291">
        <v>1</v>
      </c>
      <c r="AF291">
        <v>19</v>
      </c>
      <c r="AI291">
        <v>57</v>
      </c>
    </row>
    <row r="292" spans="1:35" x14ac:dyDescent="0.35">
      <c r="A292" t="s">
        <v>91</v>
      </c>
      <c r="B292" t="s">
        <v>24</v>
      </c>
      <c r="C292" t="s">
        <v>33</v>
      </c>
      <c r="D292" t="s">
        <v>114</v>
      </c>
      <c r="E292" t="s">
        <v>115</v>
      </c>
      <c r="F292" t="s">
        <v>318</v>
      </c>
      <c r="G292" s="20" t="s">
        <v>116</v>
      </c>
      <c r="H292" t="s">
        <v>7</v>
      </c>
      <c r="I292" t="str">
        <f t="shared" si="8"/>
        <v>Polistes species</v>
      </c>
      <c r="J292" t="s">
        <v>326</v>
      </c>
      <c r="K292" t="s">
        <v>330</v>
      </c>
      <c r="L292" t="s">
        <v>117</v>
      </c>
      <c r="M292" t="s">
        <v>117</v>
      </c>
      <c r="N292">
        <v>371</v>
      </c>
      <c r="O292" t="s">
        <v>119</v>
      </c>
      <c r="P292" t="s">
        <v>37</v>
      </c>
      <c r="Q292" s="4">
        <v>44728</v>
      </c>
      <c r="R292">
        <v>0</v>
      </c>
      <c r="U292" t="s">
        <v>225</v>
      </c>
      <c r="V292">
        <v>0</v>
      </c>
      <c r="AD292">
        <v>1</v>
      </c>
      <c r="AF292">
        <v>9</v>
      </c>
      <c r="AI292">
        <v>59</v>
      </c>
    </row>
    <row r="293" spans="1:35" x14ac:dyDescent="0.35">
      <c r="A293" t="s">
        <v>91</v>
      </c>
      <c r="B293" t="s">
        <v>24</v>
      </c>
      <c r="C293" t="s">
        <v>33</v>
      </c>
      <c r="D293" t="s">
        <v>319</v>
      </c>
      <c r="I293" t="s">
        <v>319</v>
      </c>
      <c r="J293" t="s">
        <v>326</v>
      </c>
      <c r="K293" t="s">
        <v>330</v>
      </c>
      <c r="L293" t="s">
        <v>103</v>
      </c>
      <c r="M293" t="s">
        <v>103</v>
      </c>
      <c r="N293">
        <v>128</v>
      </c>
      <c r="O293" t="s">
        <v>119</v>
      </c>
      <c r="P293" t="s">
        <v>37</v>
      </c>
      <c r="Q293" s="4">
        <v>44728</v>
      </c>
      <c r="R293">
        <v>1</v>
      </c>
      <c r="S293" t="s">
        <v>107</v>
      </c>
      <c r="T293" t="s">
        <v>107</v>
      </c>
      <c r="U293" t="s">
        <v>271</v>
      </c>
      <c r="V293">
        <v>0</v>
      </c>
      <c r="AD293">
        <v>1</v>
      </c>
      <c r="AF293" s="18">
        <v>1</v>
      </c>
      <c r="AI293">
        <v>5</v>
      </c>
    </row>
    <row r="294" spans="1:35" x14ac:dyDescent="0.35">
      <c r="A294" t="s">
        <v>91</v>
      </c>
      <c r="B294" t="s">
        <v>24</v>
      </c>
      <c r="C294" t="s">
        <v>33</v>
      </c>
      <c r="D294" t="s">
        <v>34</v>
      </c>
      <c r="E294" t="s">
        <v>309</v>
      </c>
      <c r="F294" t="s">
        <v>42</v>
      </c>
      <c r="G294" s="20" t="s">
        <v>43</v>
      </c>
      <c r="H294" t="s">
        <v>7</v>
      </c>
      <c r="I294" t="str">
        <f t="shared" ref="I294:I357" si="9">G294&amp;" "&amp;H294</f>
        <v>Tetragonula species</v>
      </c>
      <c r="J294" t="s">
        <v>42</v>
      </c>
      <c r="K294" t="s">
        <v>334</v>
      </c>
      <c r="L294" t="s">
        <v>44</v>
      </c>
      <c r="M294" t="s">
        <v>45</v>
      </c>
      <c r="N294">
        <v>157</v>
      </c>
      <c r="O294" t="s">
        <v>119</v>
      </c>
      <c r="P294" t="s">
        <v>41</v>
      </c>
      <c r="Q294" s="4">
        <v>44707</v>
      </c>
      <c r="U294" t="s">
        <v>225</v>
      </c>
      <c r="V294">
        <v>0</v>
      </c>
      <c r="AD294">
        <v>1</v>
      </c>
      <c r="AF294">
        <v>31</v>
      </c>
      <c r="AI294">
        <v>60</v>
      </c>
    </row>
    <row r="295" spans="1:35" x14ac:dyDescent="0.35">
      <c r="A295" t="s">
        <v>91</v>
      </c>
      <c r="B295" t="s">
        <v>24</v>
      </c>
      <c r="C295" t="s">
        <v>33</v>
      </c>
      <c r="D295" t="s">
        <v>34</v>
      </c>
      <c r="E295" t="s">
        <v>309</v>
      </c>
      <c r="F295" t="s">
        <v>42</v>
      </c>
      <c r="G295" s="20" t="s">
        <v>43</v>
      </c>
      <c r="H295" t="s">
        <v>7</v>
      </c>
      <c r="I295" t="str">
        <f t="shared" si="9"/>
        <v>Tetragonula species</v>
      </c>
      <c r="J295" t="s">
        <v>42</v>
      </c>
      <c r="K295" t="s">
        <v>334</v>
      </c>
      <c r="L295" t="s">
        <v>44</v>
      </c>
      <c r="M295" t="s">
        <v>45</v>
      </c>
      <c r="N295">
        <v>158</v>
      </c>
      <c r="O295" t="s">
        <v>119</v>
      </c>
      <c r="P295" t="s">
        <v>41</v>
      </c>
      <c r="Q295" s="4">
        <v>44707</v>
      </c>
      <c r="U295" t="s">
        <v>225</v>
      </c>
      <c r="V295">
        <v>0</v>
      </c>
      <c r="AD295">
        <v>1</v>
      </c>
      <c r="AF295">
        <v>31</v>
      </c>
      <c r="AI295">
        <v>61</v>
      </c>
    </row>
    <row r="296" spans="1:35" x14ac:dyDescent="0.35">
      <c r="A296" t="s">
        <v>91</v>
      </c>
      <c r="B296" t="s">
        <v>24</v>
      </c>
      <c r="C296" t="s">
        <v>33</v>
      </c>
      <c r="D296" t="s">
        <v>34</v>
      </c>
      <c r="E296" t="s">
        <v>309</v>
      </c>
      <c r="F296" t="s">
        <v>42</v>
      </c>
      <c r="G296" s="20" t="s">
        <v>43</v>
      </c>
      <c r="H296" t="s">
        <v>7</v>
      </c>
      <c r="I296" t="str">
        <f t="shared" si="9"/>
        <v>Tetragonula species</v>
      </c>
      <c r="J296" t="s">
        <v>42</v>
      </c>
      <c r="K296" t="s">
        <v>334</v>
      </c>
      <c r="L296" t="s">
        <v>44</v>
      </c>
      <c r="M296" t="s">
        <v>45</v>
      </c>
      <c r="N296">
        <v>159</v>
      </c>
      <c r="O296" t="s">
        <v>119</v>
      </c>
      <c r="P296" t="s">
        <v>41</v>
      </c>
      <c r="Q296" s="4">
        <v>44707</v>
      </c>
      <c r="U296" t="s">
        <v>225</v>
      </c>
      <c r="V296">
        <v>0</v>
      </c>
      <c r="AD296">
        <v>1</v>
      </c>
      <c r="AF296">
        <v>31</v>
      </c>
      <c r="AI296">
        <v>62</v>
      </c>
    </row>
    <row r="297" spans="1:35" x14ac:dyDescent="0.35">
      <c r="A297" t="s">
        <v>91</v>
      </c>
      <c r="B297" t="s">
        <v>24</v>
      </c>
      <c r="C297" t="s">
        <v>33</v>
      </c>
      <c r="D297" t="s">
        <v>34</v>
      </c>
      <c r="E297" t="s">
        <v>309</v>
      </c>
      <c r="F297" t="s">
        <v>42</v>
      </c>
      <c r="G297" s="20" t="s">
        <v>43</v>
      </c>
      <c r="H297" t="s">
        <v>7</v>
      </c>
      <c r="I297" t="str">
        <f t="shared" si="9"/>
        <v>Tetragonula species</v>
      </c>
      <c r="J297" t="s">
        <v>42</v>
      </c>
      <c r="K297" t="s">
        <v>334</v>
      </c>
      <c r="L297" t="s">
        <v>44</v>
      </c>
      <c r="M297" t="s">
        <v>45</v>
      </c>
      <c r="N297">
        <v>160</v>
      </c>
      <c r="O297" t="s">
        <v>119</v>
      </c>
      <c r="P297" t="s">
        <v>41</v>
      </c>
      <c r="Q297" s="4">
        <v>44707</v>
      </c>
      <c r="U297" t="s">
        <v>225</v>
      </c>
      <c r="V297">
        <v>0</v>
      </c>
      <c r="AD297">
        <v>1</v>
      </c>
      <c r="AF297">
        <v>31</v>
      </c>
      <c r="AI297">
        <v>63</v>
      </c>
    </row>
    <row r="298" spans="1:35" x14ac:dyDescent="0.35">
      <c r="A298" t="s">
        <v>91</v>
      </c>
      <c r="B298" t="s">
        <v>24</v>
      </c>
      <c r="C298" t="s">
        <v>33</v>
      </c>
      <c r="D298" t="s">
        <v>34</v>
      </c>
      <c r="E298" t="s">
        <v>309</v>
      </c>
      <c r="F298" t="s">
        <v>42</v>
      </c>
      <c r="G298" s="20" t="s">
        <v>43</v>
      </c>
      <c r="H298" t="s">
        <v>7</v>
      </c>
      <c r="I298" t="str">
        <f t="shared" si="9"/>
        <v>Tetragonula species</v>
      </c>
      <c r="J298" t="s">
        <v>42</v>
      </c>
      <c r="K298" t="s">
        <v>334</v>
      </c>
      <c r="L298" t="s">
        <v>44</v>
      </c>
      <c r="M298" t="s">
        <v>45</v>
      </c>
      <c r="N298">
        <v>161</v>
      </c>
      <c r="O298" t="s">
        <v>119</v>
      </c>
      <c r="P298" t="s">
        <v>41</v>
      </c>
      <c r="Q298" s="4">
        <v>44707</v>
      </c>
      <c r="U298" t="s">
        <v>225</v>
      </c>
      <c r="V298">
        <v>0</v>
      </c>
      <c r="AD298">
        <v>1</v>
      </c>
      <c r="AF298">
        <v>31</v>
      </c>
      <c r="AI298">
        <v>64</v>
      </c>
    </row>
    <row r="299" spans="1:35" x14ac:dyDescent="0.35">
      <c r="A299" t="s">
        <v>91</v>
      </c>
      <c r="B299" t="s">
        <v>24</v>
      </c>
      <c r="C299" t="s">
        <v>33</v>
      </c>
      <c r="D299" t="s">
        <v>34</v>
      </c>
      <c r="E299" t="s">
        <v>309</v>
      </c>
      <c r="F299" t="s">
        <v>42</v>
      </c>
      <c r="G299" s="20" t="s">
        <v>43</v>
      </c>
      <c r="H299" t="s">
        <v>7</v>
      </c>
      <c r="I299" t="str">
        <f t="shared" si="9"/>
        <v>Tetragonula species</v>
      </c>
      <c r="J299" t="s">
        <v>42</v>
      </c>
      <c r="K299" t="s">
        <v>334</v>
      </c>
      <c r="L299" t="s">
        <v>44</v>
      </c>
      <c r="M299" t="s">
        <v>45</v>
      </c>
      <c r="N299">
        <v>162</v>
      </c>
      <c r="O299" t="s">
        <v>119</v>
      </c>
      <c r="P299" t="s">
        <v>41</v>
      </c>
      <c r="Q299" s="4">
        <v>44707</v>
      </c>
      <c r="U299" t="s">
        <v>225</v>
      </c>
      <c r="V299">
        <v>0</v>
      </c>
      <c r="AD299">
        <v>1</v>
      </c>
      <c r="AF299">
        <v>46</v>
      </c>
      <c r="AI299">
        <v>65</v>
      </c>
    </row>
    <row r="300" spans="1:35" x14ac:dyDescent="0.35">
      <c r="A300" t="s">
        <v>91</v>
      </c>
      <c r="B300" t="s">
        <v>24</v>
      </c>
      <c r="C300" t="s">
        <v>33</v>
      </c>
      <c r="D300" t="s">
        <v>34</v>
      </c>
      <c r="E300" t="s">
        <v>309</v>
      </c>
      <c r="F300" t="s">
        <v>42</v>
      </c>
      <c r="G300" s="20" t="s">
        <v>43</v>
      </c>
      <c r="H300" t="s">
        <v>7</v>
      </c>
      <c r="I300" t="str">
        <f t="shared" si="9"/>
        <v>Tetragonula species</v>
      </c>
      <c r="J300" t="s">
        <v>42</v>
      </c>
      <c r="K300" t="s">
        <v>334</v>
      </c>
      <c r="L300" t="s">
        <v>44</v>
      </c>
      <c r="M300" t="s">
        <v>45</v>
      </c>
      <c r="N300">
        <v>163</v>
      </c>
      <c r="O300" t="s">
        <v>119</v>
      </c>
      <c r="P300" t="s">
        <v>41</v>
      </c>
      <c r="Q300" s="4">
        <v>44707</v>
      </c>
      <c r="U300" t="s">
        <v>225</v>
      </c>
      <c r="V300">
        <v>0</v>
      </c>
      <c r="AD300">
        <v>1</v>
      </c>
      <c r="AF300">
        <v>46</v>
      </c>
      <c r="AI300">
        <v>66</v>
      </c>
    </row>
    <row r="301" spans="1:35" x14ac:dyDescent="0.35">
      <c r="A301" t="s">
        <v>91</v>
      </c>
      <c r="B301" t="s">
        <v>24</v>
      </c>
      <c r="C301" t="s">
        <v>33</v>
      </c>
      <c r="D301" t="s">
        <v>34</v>
      </c>
      <c r="E301" t="s">
        <v>309</v>
      </c>
      <c r="F301" t="s">
        <v>42</v>
      </c>
      <c r="G301" s="20" t="s">
        <v>43</v>
      </c>
      <c r="H301" t="s">
        <v>7</v>
      </c>
      <c r="I301" t="str">
        <f t="shared" si="9"/>
        <v>Tetragonula species</v>
      </c>
      <c r="J301" t="s">
        <v>42</v>
      </c>
      <c r="K301" t="s">
        <v>334</v>
      </c>
      <c r="L301" t="s">
        <v>44</v>
      </c>
      <c r="M301" t="s">
        <v>45</v>
      </c>
      <c r="N301">
        <v>164</v>
      </c>
      <c r="O301" t="s">
        <v>119</v>
      </c>
      <c r="P301" t="s">
        <v>41</v>
      </c>
      <c r="Q301" s="4">
        <v>44707</v>
      </c>
      <c r="U301" t="s">
        <v>225</v>
      </c>
      <c r="V301">
        <v>0</v>
      </c>
      <c r="AD301">
        <v>1</v>
      </c>
      <c r="AF301">
        <v>46</v>
      </c>
      <c r="AI301">
        <v>67</v>
      </c>
    </row>
    <row r="302" spans="1:35" x14ac:dyDescent="0.35">
      <c r="A302" t="s">
        <v>91</v>
      </c>
      <c r="B302" t="s">
        <v>24</v>
      </c>
      <c r="C302" t="s">
        <v>33</v>
      </c>
      <c r="D302" t="s">
        <v>34</v>
      </c>
      <c r="E302" t="s">
        <v>309</v>
      </c>
      <c r="F302" t="s">
        <v>42</v>
      </c>
      <c r="G302" s="20" t="s">
        <v>43</v>
      </c>
      <c r="H302" t="s">
        <v>7</v>
      </c>
      <c r="I302" t="str">
        <f t="shared" si="9"/>
        <v>Tetragonula species</v>
      </c>
      <c r="J302" t="s">
        <v>42</v>
      </c>
      <c r="K302" t="s">
        <v>334</v>
      </c>
      <c r="L302" t="s">
        <v>44</v>
      </c>
      <c r="M302" t="s">
        <v>45</v>
      </c>
      <c r="N302">
        <v>165</v>
      </c>
      <c r="O302" t="s">
        <v>119</v>
      </c>
      <c r="P302" t="s">
        <v>41</v>
      </c>
      <c r="Q302" s="4">
        <v>44707</v>
      </c>
      <c r="U302" t="s">
        <v>225</v>
      </c>
      <c r="V302">
        <v>0</v>
      </c>
      <c r="AD302">
        <v>1</v>
      </c>
      <c r="AF302">
        <v>46</v>
      </c>
      <c r="AI302">
        <v>68</v>
      </c>
    </row>
    <row r="303" spans="1:35" x14ac:dyDescent="0.35">
      <c r="A303" t="s">
        <v>91</v>
      </c>
      <c r="B303" t="s">
        <v>24</v>
      </c>
      <c r="C303" t="s">
        <v>33</v>
      </c>
      <c r="D303" t="s">
        <v>34</v>
      </c>
      <c r="E303" t="s">
        <v>309</v>
      </c>
      <c r="F303" t="s">
        <v>42</v>
      </c>
      <c r="G303" s="20" t="s">
        <v>43</v>
      </c>
      <c r="H303" t="s">
        <v>7</v>
      </c>
      <c r="I303" t="str">
        <f t="shared" si="9"/>
        <v>Tetragonula species</v>
      </c>
      <c r="J303" t="s">
        <v>42</v>
      </c>
      <c r="K303" t="s">
        <v>334</v>
      </c>
      <c r="L303" t="s">
        <v>44</v>
      </c>
      <c r="M303" t="s">
        <v>45</v>
      </c>
      <c r="N303">
        <v>166</v>
      </c>
      <c r="O303" t="s">
        <v>119</v>
      </c>
      <c r="P303" t="s">
        <v>41</v>
      </c>
      <c r="Q303" s="4">
        <v>44707</v>
      </c>
      <c r="U303" t="s">
        <v>225</v>
      </c>
      <c r="V303">
        <v>0</v>
      </c>
      <c r="AD303">
        <v>1</v>
      </c>
      <c r="AF303">
        <v>46</v>
      </c>
      <c r="AI303">
        <v>69</v>
      </c>
    </row>
    <row r="304" spans="1:35" x14ac:dyDescent="0.35">
      <c r="A304" t="s">
        <v>91</v>
      </c>
      <c r="B304" t="s">
        <v>24</v>
      </c>
      <c r="C304" t="s">
        <v>33</v>
      </c>
      <c r="D304" t="s">
        <v>34</v>
      </c>
      <c r="E304" t="s">
        <v>309</v>
      </c>
      <c r="F304" t="s">
        <v>42</v>
      </c>
      <c r="G304" s="20" t="s">
        <v>43</v>
      </c>
      <c r="H304" t="s">
        <v>7</v>
      </c>
      <c r="I304" t="str">
        <f t="shared" si="9"/>
        <v>Tetragonula species</v>
      </c>
      <c r="J304" t="s">
        <v>42</v>
      </c>
      <c r="K304" t="s">
        <v>334</v>
      </c>
      <c r="L304" t="s">
        <v>44</v>
      </c>
      <c r="M304" t="s">
        <v>45</v>
      </c>
      <c r="N304">
        <v>167</v>
      </c>
      <c r="O304" t="s">
        <v>119</v>
      </c>
      <c r="P304" t="s">
        <v>41</v>
      </c>
      <c r="Q304" s="4">
        <v>44707</v>
      </c>
      <c r="U304" t="s">
        <v>225</v>
      </c>
      <c r="V304">
        <v>0</v>
      </c>
      <c r="AD304">
        <v>1</v>
      </c>
      <c r="AF304">
        <v>46</v>
      </c>
      <c r="AI304">
        <v>70</v>
      </c>
    </row>
    <row r="305" spans="1:35" x14ac:dyDescent="0.35">
      <c r="A305" t="s">
        <v>91</v>
      </c>
      <c r="B305" t="s">
        <v>24</v>
      </c>
      <c r="C305" t="s">
        <v>33</v>
      </c>
      <c r="D305" t="s">
        <v>34</v>
      </c>
      <c r="E305" t="s">
        <v>309</v>
      </c>
      <c r="F305" t="s">
        <v>42</v>
      </c>
      <c r="G305" s="20" t="s">
        <v>43</v>
      </c>
      <c r="H305" t="s">
        <v>7</v>
      </c>
      <c r="I305" t="str">
        <f t="shared" si="9"/>
        <v>Tetragonula species</v>
      </c>
      <c r="J305" t="s">
        <v>42</v>
      </c>
      <c r="K305" t="s">
        <v>334</v>
      </c>
      <c r="L305" t="s">
        <v>44</v>
      </c>
      <c r="M305" t="s">
        <v>45</v>
      </c>
      <c r="N305">
        <v>168</v>
      </c>
      <c r="O305" t="s">
        <v>119</v>
      </c>
      <c r="P305" t="s">
        <v>41</v>
      </c>
      <c r="Q305" s="4">
        <v>44707</v>
      </c>
      <c r="U305" t="s">
        <v>225</v>
      </c>
      <c r="V305">
        <v>0</v>
      </c>
      <c r="AD305">
        <v>1</v>
      </c>
      <c r="AF305">
        <v>46</v>
      </c>
      <c r="AI305">
        <v>71</v>
      </c>
    </row>
    <row r="306" spans="1:35" x14ac:dyDescent="0.35">
      <c r="A306" t="s">
        <v>91</v>
      </c>
      <c r="B306" t="s">
        <v>24</v>
      </c>
      <c r="C306" t="s">
        <v>33</v>
      </c>
      <c r="D306" t="s">
        <v>34</v>
      </c>
      <c r="E306" t="s">
        <v>309</v>
      </c>
      <c r="F306" t="s">
        <v>42</v>
      </c>
      <c r="G306" s="20" t="s">
        <v>43</v>
      </c>
      <c r="H306" t="s">
        <v>7</v>
      </c>
      <c r="I306" t="str">
        <f t="shared" si="9"/>
        <v>Tetragonula species</v>
      </c>
      <c r="J306" t="s">
        <v>42</v>
      </c>
      <c r="K306" t="s">
        <v>334</v>
      </c>
      <c r="L306" t="s">
        <v>44</v>
      </c>
      <c r="M306" t="s">
        <v>45</v>
      </c>
      <c r="N306">
        <v>169</v>
      </c>
      <c r="O306" t="s">
        <v>119</v>
      </c>
      <c r="P306" t="s">
        <v>41</v>
      </c>
      <c r="Q306" s="4">
        <v>44707</v>
      </c>
      <c r="U306" t="s">
        <v>225</v>
      </c>
      <c r="V306">
        <v>0</v>
      </c>
      <c r="AD306">
        <v>1</v>
      </c>
      <c r="AF306">
        <v>46</v>
      </c>
      <c r="AI306">
        <v>72</v>
      </c>
    </row>
    <row r="307" spans="1:35" x14ac:dyDescent="0.35">
      <c r="A307" t="s">
        <v>91</v>
      </c>
      <c r="B307" t="s">
        <v>24</v>
      </c>
      <c r="C307" t="s">
        <v>33</v>
      </c>
      <c r="D307" t="s">
        <v>34</v>
      </c>
      <c r="E307" t="s">
        <v>309</v>
      </c>
      <c r="F307" t="s">
        <v>42</v>
      </c>
      <c r="G307" s="20" t="s">
        <v>43</v>
      </c>
      <c r="H307" t="s">
        <v>7</v>
      </c>
      <c r="I307" t="str">
        <f t="shared" si="9"/>
        <v>Tetragonula species</v>
      </c>
      <c r="J307" t="s">
        <v>42</v>
      </c>
      <c r="K307" t="s">
        <v>334</v>
      </c>
      <c r="L307" t="s">
        <v>44</v>
      </c>
      <c r="M307" t="s">
        <v>45</v>
      </c>
      <c r="N307">
        <v>170</v>
      </c>
      <c r="O307" t="s">
        <v>119</v>
      </c>
      <c r="P307" t="s">
        <v>41</v>
      </c>
      <c r="Q307" s="4">
        <v>44707</v>
      </c>
      <c r="U307" t="s">
        <v>225</v>
      </c>
      <c r="V307">
        <v>0</v>
      </c>
      <c r="AD307">
        <v>1</v>
      </c>
      <c r="AF307">
        <v>46</v>
      </c>
      <c r="AI307">
        <v>73</v>
      </c>
    </row>
    <row r="308" spans="1:35" x14ac:dyDescent="0.35">
      <c r="A308" t="s">
        <v>91</v>
      </c>
      <c r="B308" t="s">
        <v>24</v>
      </c>
      <c r="C308" t="s">
        <v>33</v>
      </c>
      <c r="D308" t="s">
        <v>34</v>
      </c>
      <c r="E308" t="s">
        <v>309</v>
      </c>
      <c r="F308" t="s">
        <v>42</v>
      </c>
      <c r="G308" s="20" t="s">
        <v>43</v>
      </c>
      <c r="H308" t="s">
        <v>7</v>
      </c>
      <c r="I308" t="str">
        <f t="shared" si="9"/>
        <v>Tetragonula species</v>
      </c>
      <c r="J308" t="s">
        <v>42</v>
      </c>
      <c r="K308" t="s">
        <v>334</v>
      </c>
      <c r="L308" t="s">
        <v>44</v>
      </c>
      <c r="M308" t="s">
        <v>45</v>
      </c>
      <c r="N308">
        <v>171</v>
      </c>
      <c r="O308" t="s">
        <v>119</v>
      </c>
      <c r="P308" t="s">
        <v>41</v>
      </c>
      <c r="Q308" s="4">
        <v>44707</v>
      </c>
      <c r="U308" t="s">
        <v>225</v>
      </c>
      <c r="V308">
        <v>0</v>
      </c>
      <c r="AD308">
        <v>1</v>
      </c>
      <c r="AF308">
        <v>46</v>
      </c>
      <c r="AI308">
        <v>74</v>
      </c>
    </row>
    <row r="309" spans="1:35" x14ac:dyDescent="0.35">
      <c r="A309" t="s">
        <v>91</v>
      </c>
      <c r="B309" t="s">
        <v>24</v>
      </c>
      <c r="C309" t="s">
        <v>33</v>
      </c>
      <c r="D309" t="s">
        <v>34</v>
      </c>
      <c r="E309" t="s">
        <v>309</v>
      </c>
      <c r="F309" t="s">
        <v>42</v>
      </c>
      <c r="G309" s="20" t="s">
        <v>43</v>
      </c>
      <c r="H309" t="s">
        <v>7</v>
      </c>
      <c r="I309" t="str">
        <f t="shared" si="9"/>
        <v>Tetragonula species</v>
      </c>
      <c r="J309" t="s">
        <v>42</v>
      </c>
      <c r="K309" t="s">
        <v>334</v>
      </c>
      <c r="L309" t="s">
        <v>44</v>
      </c>
      <c r="M309" t="s">
        <v>45</v>
      </c>
      <c r="N309">
        <v>172</v>
      </c>
      <c r="O309" t="s">
        <v>119</v>
      </c>
      <c r="P309" t="s">
        <v>41</v>
      </c>
      <c r="Q309" s="4">
        <v>44707</v>
      </c>
      <c r="U309" t="s">
        <v>225</v>
      </c>
      <c r="V309">
        <v>0</v>
      </c>
      <c r="AD309">
        <v>1</v>
      </c>
      <c r="AF309">
        <v>46</v>
      </c>
      <c r="AI309">
        <v>75</v>
      </c>
    </row>
    <row r="310" spans="1:35" x14ac:dyDescent="0.35">
      <c r="A310" t="s">
        <v>91</v>
      </c>
      <c r="B310" t="s">
        <v>24</v>
      </c>
      <c r="C310" t="s">
        <v>33</v>
      </c>
      <c r="D310" t="s">
        <v>34</v>
      </c>
      <c r="E310" t="s">
        <v>309</v>
      </c>
      <c r="F310" t="s">
        <v>42</v>
      </c>
      <c r="G310" s="20" t="s">
        <v>43</v>
      </c>
      <c r="H310" t="s">
        <v>7</v>
      </c>
      <c r="I310" t="str">
        <f t="shared" si="9"/>
        <v>Tetragonula species</v>
      </c>
      <c r="J310" t="s">
        <v>42</v>
      </c>
      <c r="K310" t="s">
        <v>334</v>
      </c>
      <c r="L310" t="s">
        <v>44</v>
      </c>
      <c r="M310" t="s">
        <v>45</v>
      </c>
      <c r="N310">
        <v>173</v>
      </c>
      <c r="O310" t="s">
        <v>119</v>
      </c>
      <c r="P310" t="s">
        <v>41</v>
      </c>
      <c r="Q310" s="4">
        <v>44707</v>
      </c>
      <c r="U310" t="s">
        <v>225</v>
      </c>
      <c r="V310">
        <v>0</v>
      </c>
      <c r="AD310">
        <v>1</v>
      </c>
      <c r="AF310">
        <v>46</v>
      </c>
      <c r="AI310">
        <v>76</v>
      </c>
    </row>
    <row r="311" spans="1:35" x14ac:dyDescent="0.35">
      <c r="A311" t="s">
        <v>91</v>
      </c>
      <c r="B311" t="s">
        <v>24</v>
      </c>
      <c r="C311" t="s">
        <v>33</v>
      </c>
      <c r="D311" t="s">
        <v>34</v>
      </c>
      <c r="E311" t="s">
        <v>309</v>
      </c>
      <c r="F311" t="s">
        <v>42</v>
      </c>
      <c r="G311" s="20" t="s">
        <v>43</v>
      </c>
      <c r="H311" t="s">
        <v>7</v>
      </c>
      <c r="I311" t="str">
        <f t="shared" si="9"/>
        <v>Tetragonula species</v>
      </c>
      <c r="J311" t="s">
        <v>42</v>
      </c>
      <c r="K311" t="s">
        <v>334</v>
      </c>
      <c r="L311" t="s">
        <v>44</v>
      </c>
      <c r="M311" t="s">
        <v>45</v>
      </c>
      <c r="N311">
        <v>174</v>
      </c>
      <c r="O311" t="s">
        <v>119</v>
      </c>
      <c r="P311" t="s">
        <v>41</v>
      </c>
      <c r="Q311" s="4">
        <v>44707</v>
      </c>
      <c r="U311" t="s">
        <v>225</v>
      </c>
      <c r="V311">
        <v>0</v>
      </c>
      <c r="AD311">
        <v>1</v>
      </c>
      <c r="AF311">
        <v>46</v>
      </c>
      <c r="AI311">
        <v>77</v>
      </c>
    </row>
    <row r="312" spans="1:35" x14ac:dyDescent="0.35">
      <c r="A312" t="s">
        <v>91</v>
      </c>
      <c r="B312" t="s">
        <v>24</v>
      </c>
      <c r="C312" t="s">
        <v>33</v>
      </c>
      <c r="D312" t="s">
        <v>34</v>
      </c>
      <c r="E312" t="s">
        <v>309</v>
      </c>
      <c r="F312" t="s">
        <v>42</v>
      </c>
      <c r="G312" s="20" t="s">
        <v>43</v>
      </c>
      <c r="H312" t="s">
        <v>7</v>
      </c>
      <c r="I312" t="str">
        <f t="shared" si="9"/>
        <v>Tetragonula species</v>
      </c>
      <c r="J312" t="s">
        <v>42</v>
      </c>
      <c r="K312" t="s">
        <v>334</v>
      </c>
      <c r="L312" t="s">
        <v>44</v>
      </c>
      <c r="M312" t="s">
        <v>45</v>
      </c>
      <c r="N312">
        <v>175</v>
      </c>
      <c r="O312" t="s">
        <v>119</v>
      </c>
      <c r="P312" t="s">
        <v>41</v>
      </c>
      <c r="Q312" s="4">
        <v>44707</v>
      </c>
      <c r="U312" t="s">
        <v>225</v>
      </c>
      <c r="V312">
        <v>0</v>
      </c>
      <c r="AD312">
        <v>1</v>
      </c>
      <c r="AF312">
        <v>46</v>
      </c>
      <c r="AI312">
        <v>78</v>
      </c>
    </row>
    <row r="313" spans="1:35" x14ac:dyDescent="0.35">
      <c r="A313" t="s">
        <v>91</v>
      </c>
      <c r="B313" t="s">
        <v>24</v>
      </c>
      <c r="C313" t="s">
        <v>33</v>
      </c>
      <c r="D313" t="s">
        <v>34</v>
      </c>
      <c r="E313" t="s">
        <v>309</v>
      </c>
      <c r="F313" t="s">
        <v>42</v>
      </c>
      <c r="G313" s="20" t="s">
        <v>43</v>
      </c>
      <c r="H313" t="s">
        <v>7</v>
      </c>
      <c r="I313" t="str">
        <f t="shared" si="9"/>
        <v>Tetragonula species</v>
      </c>
      <c r="J313" t="s">
        <v>42</v>
      </c>
      <c r="K313" t="s">
        <v>334</v>
      </c>
      <c r="L313" t="s">
        <v>44</v>
      </c>
      <c r="M313" t="s">
        <v>45</v>
      </c>
      <c r="N313">
        <v>176</v>
      </c>
      <c r="O313" t="s">
        <v>119</v>
      </c>
      <c r="P313" t="s">
        <v>41</v>
      </c>
      <c r="Q313" s="4">
        <v>44707</v>
      </c>
      <c r="U313" t="s">
        <v>225</v>
      </c>
      <c r="V313">
        <v>0</v>
      </c>
      <c r="AD313">
        <v>1</v>
      </c>
      <c r="AF313">
        <v>46</v>
      </c>
      <c r="AI313">
        <v>79</v>
      </c>
    </row>
    <row r="314" spans="1:35" x14ac:dyDescent="0.35">
      <c r="A314" t="s">
        <v>91</v>
      </c>
      <c r="B314" t="s">
        <v>24</v>
      </c>
      <c r="C314" t="s">
        <v>33</v>
      </c>
      <c r="D314" t="s">
        <v>34</v>
      </c>
      <c r="E314" t="s">
        <v>309</v>
      </c>
      <c r="F314" t="s">
        <v>42</v>
      </c>
      <c r="G314" s="20" t="s">
        <v>43</v>
      </c>
      <c r="H314" t="s">
        <v>7</v>
      </c>
      <c r="I314" t="str">
        <f t="shared" si="9"/>
        <v>Tetragonula species</v>
      </c>
      <c r="J314" t="s">
        <v>42</v>
      </c>
      <c r="K314" t="s">
        <v>334</v>
      </c>
      <c r="L314" t="s">
        <v>44</v>
      </c>
      <c r="M314" t="s">
        <v>45</v>
      </c>
      <c r="N314">
        <v>177</v>
      </c>
      <c r="O314" t="s">
        <v>119</v>
      </c>
      <c r="P314" t="s">
        <v>41</v>
      </c>
      <c r="Q314" s="4">
        <v>44707</v>
      </c>
      <c r="U314" t="s">
        <v>225</v>
      </c>
      <c r="V314">
        <v>0</v>
      </c>
      <c r="AD314">
        <v>1</v>
      </c>
      <c r="AF314">
        <v>46</v>
      </c>
      <c r="AI314">
        <v>80</v>
      </c>
    </row>
    <row r="315" spans="1:35" x14ac:dyDescent="0.35">
      <c r="A315" t="s">
        <v>91</v>
      </c>
      <c r="B315" t="s">
        <v>24</v>
      </c>
      <c r="C315" t="s">
        <v>33</v>
      </c>
      <c r="D315" t="s">
        <v>34</v>
      </c>
      <c r="E315" t="s">
        <v>309</v>
      </c>
      <c r="F315" t="s">
        <v>42</v>
      </c>
      <c r="G315" s="20" t="s">
        <v>43</v>
      </c>
      <c r="H315" t="s">
        <v>7</v>
      </c>
      <c r="I315" t="str">
        <f t="shared" si="9"/>
        <v>Tetragonula species</v>
      </c>
      <c r="J315" t="s">
        <v>42</v>
      </c>
      <c r="K315" t="s">
        <v>334</v>
      </c>
      <c r="L315" t="s">
        <v>44</v>
      </c>
      <c r="M315" t="s">
        <v>45</v>
      </c>
      <c r="N315">
        <v>178</v>
      </c>
      <c r="O315" t="s">
        <v>119</v>
      </c>
      <c r="P315" t="s">
        <v>41</v>
      </c>
      <c r="Q315" s="4">
        <v>44707</v>
      </c>
      <c r="U315" t="s">
        <v>225</v>
      </c>
      <c r="V315">
        <v>0</v>
      </c>
      <c r="AD315">
        <v>1</v>
      </c>
      <c r="AF315">
        <v>46</v>
      </c>
      <c r="AI315">
        <v>81</v>
      </c>
    </row>
    <row r="316" spans="1:35" x14ac:dyDescent="0.35">
      <c r="A316" t="s">
        <v>91</v>
      </c>
      <c r="B316" t="s">
        <v>24</v>
      </c>
      <c r="C316" t="s">
        <v>33</v>
      </c>
      <c r="D316" t="s">
        <v>34</v>
      </c>
      <c r="E316" t="s">
        <v>309</v>
      </c>
      <c r="F316" t="s">
        <v>42</v>
      </c>
      <c r="G316" s="20" t="s">
        <v>43</v>
      </c>
      <c r="H316" t="s">
        <v>7</v>
      </c>
      <c r="I316" t="str">
        <f t="shared" si="9"/>
        <v>Tetragonula species</v>
      </c>
      <c r="J316" t="s">
        <v>42</v>
      </c>
      <c r="K316" t="s">
        <v>334</v>
      </c>
      <c r="L316" t="s">
        <v>44</v>
      </c>
      <c r="M316" t="s">
        <v>45</v>
      </c>
      <c r="N316">
        <v>179</v>
      </c>
      <c r="O316" t="s">
        <v>119</v>
      </c>
      <c r="P316" t="s">
        <v>41</v>
      </c>
      <c r="Q316" s="4">
        <v>44707</v>
      </c>
      <c r="U316" t="s">
        <v>225</v>
      </c>
      <c r="V316">
        <v>0</v>
      </c>
      <c r="AD316">
        <v>1</v>
      </c>
      <c r="AF316">
        <v>36</v>
      </c>
      <c r="AI316">
        <v>82</v>
      </c>
    </row>
    <row r="317" spans="1:35" x14ac:dyDescent="0.35">
      <c r="A317" t="s">
        <v>91</v>
      </c>
      <c r="B317" t="s">
        <v>24</v>
      </c>
      <c r="C317" t="s">
        <v>33</v>
      </c>
      <c r="D317" t="s">
        <v>34</v>
      </c>
      <c r="E317" t="s">
        <v>309</v>
      </c>
      <c r="F317" t="s">
        <v>42</v>
      </c>
      <c r="G317" s="20" t="s">
        <v>43</v>
      </c>
      <c r="H317" t="s">
        <v>7</v>
      </c>
      <c r="I317" t="str">
        <f t="shared" si="9"/>
        <v>Tetragonula species</v>
      </c>
      <c r="J317" t="s">
        <v>42</v>
      </c>
      <c r="K317" t="s">
        <v>334</v>
      </c>
      <c r="L317" t="s">
        <v>44</v>
      </c>
      <c r="M317" t="s">
        <v>45</v>
      </c>
      <c r="N317">
        <v>180</v>
      </c>
      <c r="O317" t="s">
        <v>119</v>
      </c>
      <c r="P317" t="s">
        <v>41</v>
      </c>
      <c r="Q317" s="4">
        <v>44707</v>
      </c>
      <c r="U317" t="s">
        <v>225</v>
      </c>
      <c r="V317">
        <v>0</v>
      </c>
      <c r="AD317">
        <v>1</v>
      </c>
      <c r="AF317">
        <v>22</v>
      </c>
      <c r="AI317">
        <v>83</v>
      </c>
    </row>
    <row r="318" spans="1:35" x14ac:dyDescent="0.35">
      <c r="A318" t="s">
        <v>91</v>
      </c>
      <c r="B318" t="s">
        <v>24</v>
      </c>
      <c r="C318" t="s">
        <v>33</v>
      </c>
      <c r="D318" t="s">
        <v>34</v>
      </c>
      <c r="E318" t="s">
        <v>309</v>
      </c>
      <c r="F318" t="s">
        <v>42</v>
      </c>
      <c r="G318" s="20" t="s">
        <v>43</v>
      </c>
      <c r="H318" t="s">
        <v>7</v>
      </c>
      <c r="I318" t="str">
        <f t="shared" si="9"/>
        <v>Tetragonula species</v>
      </c>
      <c r="J318" t="s">
        <v>42</v>
      </c>
      <c r="K318" t="s">
        <v>334</v>
      </c>
      <c r="L318" t="s">
        <v>44</v>
      </c>
      <c r="M318" t="s">
        <v>45</v>
      </c>
      <c r="N318">
        <v>181</v>
      </c>
      <c r="O318" t="s">
        <v>119</v>
      </c>
      <c r="P318" t="s">
        <v>41</v>
      </c>
      <c r="Q318" s="4">
        <v>44707</v>
      </c>
      <c r="U318" t="s">
        <v>225</v>
      </c>
      <c r="V318">
        <v>0</v>
      </c>
      <c r="AD318">
        <v>1</v>
      </c>
      <c r="AF318">
        <v>22</v>
      </c>
      <c r="AI318">
        <v>84</v>
      </c>
    </row>
    <row r="319" spans="1:35" x14ac:dyDescent="0.35">
      <c r="A319" t="s">
        <v>91</v>
      </c>
      <c r="B319" t="s">
        <v>24</v>
      </c>
      <c r="C319" t="s">
        <v>33</v>
      </c>
      <c r="D319" t="s">
        <v>34</v>
      </c>
      <c r="E319" t="s">
        <v>309</v>
      </c>
      <c r="F319" t="s">
        <v>42</v>
      </c>
      <c r="G319" s="20" t="s">
        <v>43</v>
      </c>
      <c r="H319" t="s">
        <v>7</v>
      </c>
      <c r="I319" t="str">
        <f t="shared" si="9"/>
        <v>Tetragonula species</v>
      </c>
      <c r="J319" t="s">
        <v>42</v>
      </c>
      <c r="K319" t="s">
        <v>334</v>
      </c>
      <c r="L319" t="s">
        <v>44</v>
      </c>
      <c r="M319" t="s">
        <v>45</v>
      </c>
      <c r="N319">
        <v>182</v>
      </c>
      <c r="O319" t="s">
        <v>119</v>
      </c>
      <c r="P319" t="s">
        <v>41</v>
      </c>
      <c r="Q319" s="4">
        <v>44707</v>
      </c>
      <c r="U319" t="s">
        <v>225</v>
      </c>
      <c r="V319">
        <v>0</v>
      </c>
      <c r="AD319">
        <v>1</v>
      </c>
      <c r="AF319">
        <v>22</v>
      </c>
      <c r="AI319">
        <v>85</v>
      </c>
    </row>
    <row r="320" spans="1:35" x14ac:dyDescent="0.35">
      <c r="A320" t="s">
        <v>91</v>
      </c>
      <c r="B320" t="s">
        <v>24</v>
      </c>
      <c r="C320" t="s">
        <v>33</v>
      </c>
      <c r="D320" t="s">
        <v>34</v>
      </c>
      <c r="E320" t="s">
        <v>309</v>
      </c>
      <c r="F320" t="s">
        <v>42</v>
      </c>
      <c r="G320" s="20" t="s">
        <v>43</v>
      </c>
      <c r="H320" t="s">
        <v>7</v>
      </c>
      <c r="I320" t="str">
        <f t="shared" si="9"/>
        <v>Tetragonula species</v>
      </c>
      <c r="J320" t="s">
        <v>42</v>
      </c>
      <c r="K320" t="s">
        <v>334</v>
      </c>
      <c r="L320" t="s">
        <v>44</v>
      </c>
      <c r="M320" t="s">
        <v>45</v>
      </c>
      <c r="N320">
        <v>183</v>
      </c>
      <c r="O320" t="s">
        <v>119</v>
      </c>
      <c r="P320" t="s">
        <v>41</v>
      </c>
      <c r="Q320" s="4">
        <v>44707</v>
      </c>
      <c r="U320" t="s">
        <v>225</v>
      </c>
      <c r="V320">
        <v>0</v>
      </c>
      <c r="AD320">
        <v>1</v>
      </c>
      <c r="AF320">
        <v>31</v>
      </c>
      <c r="AI320">
        <v>86</v>
      </c>
    </row>
    <row r="321" spans="1:35" x14ac:dyDescent="0.35">
      <c r="A321" t="s">
        <v>91</v>
      </c>
      <c r="B321" t="s">
        <v>24</v>
      </c>
      <c r="C321" t="s">
        <v>33</v>
      </c>
      <c r="D321" t="s">
        <v>34</v>
      </c>
      <c r="E321" t="s">
        <v>309</v>
      </c>
      <c r="F321" t="s">
        <v>42</v>
      </c>
      <c r="G321" s="20" t="s">
        <v>43</v>
      </c>
      <c r="H321" t="s">
        <v>7</v>
      </c>
      <c r="I321" t="str">
        <f t="shared" si="9"/>
        <v>Tetragonula species</v>
      </c>
      <c r="J321" t="s">
        <v>42</v>
      </c>
      <c r="K321" t="s">
        <v>334</v>
      </c>
      <c r="L321" t="s">
        <v>44</v>
      </c>
      <c r="M321" t="s">
        <v>45</v>
      </c>
      <c r="N321">
        <v>184</v>
      </c>
      <c r="O321" t="s">
        <v>119</v>
      </c>
      <c r="P321" t="s">
        <v>41</v>
      </c>
      <c r="Q321" s="4">
        <v>44707</v>
      </c>
      <c r="S321" t="s">
        <v>107</v>
      </c>
      <c r="T321" t="s">
        <v>107</v>
      </c>
      <c r="U321" t="s">
        <v>271</v>
      </c>
      <c r="V321">
        <v>0</v>
      </c>
      <c r="AD321">
        <v>1</v>
      </c>
      <c r="AF321">
        <v>31</v>
      </c>
      <c r="AI321">
        <v>87</v>
      </c>
    </row>
    <row r="322" spans="1:35" x14ac:dyDescent="0.35">
      <c r="A322" t="s">
        <v>91</v>
      </c>
      <c r="B322" t="s">
        <v>24</v>
      </c>
      <c r="C322" t="s">
        <v>33</v>
      </c>
      <c r="D322" t="s">
        <v>34</v>
      </c>
      <c r="E322" t="s">
        <v>309</v>
      </c>
      <c r="F322" t="s">
        <v>42</v>
      </c>
      <c r="G322" s="20" t="s">
        <v>43</v>
      </c>
      <c r="H322" t="s">
        <v>7</v>
      </c>
      <c r="I322" t="str">
        <f t="shared" si="9"/>
        <v>Tetragonula species</v>
      </c>
      <c r="J322" t="s">
        <v>42</v>
      </c>
      <c r="K322" t="s">
        <v>334</v>
      </c>
      <c r="L322" t="s">
        <v>44</v>
      </c>
      <c r="M322" t="s">
        <v>45</v>
      </c>
      <c r="N322">
        <v>185</v>
      </c>
      <c r="O322" t="s">
        <v>119</v>
      </c>
      <c r="P322" t="s">
        <v>41</v>
      </c>
      <c r="Q322" s="4">
        <v>44707</v>
      </c>
      <c r="U322" t="s">
        <v>225</v>
      </c>
      <c r="V322">
        <v>0</v>
      </c>
      <c r="AD322">
        <v>1</v>
      </c>
      <c r="AF322">
        <v>31</v>
      </c>
      <c r="AI322">
        <v>88</v>
      </c>
    </row>
    <row r="323" spans="1:35" x14ac:dyDescent="0.35">
      <c r="A323" t="s">
        <v>91</v>
      </c>
      <c r="B323" t="s">
        <v>24</v>
      </c>
      <c r="C323" t="s">
        <v>33</v>
      </c>
      <c r="D323" t="s">
        <v>34</v>
      </c>
      <c r="E323" t="s">
        <v>309</v>
      </c>
      <c r="F323" t="s">
        <v>42</v>
      </c>
      <c r="G323" s="20" t="s">
        <v>43</v>
      </c>
      <c r="H323" t="s">
        <v>7</v>
      </c>
      <c r="I323" t="str">
        <f t="shared" si="9"/>
        <v>Tetragonula species</v>
      </c>
      <c r="J323" t="s">
        <v>42</v>
      </c>
      <c r="K323" t="s">
        <v>334</v>
      </c>
      <c r="L323" t="s">
        <v>44</v>
      </c>
      <c r="M323" t="s">
        <v>45</v>
      </c>
      <c r="N323">
        <v>186</v>
      </c>
      <c r="O323" t="s">
        <v>119</v>
      </c>
      <c r="P323" t="s">
        <v>41</v>
      </c>
      <c r="Q323" s="4">
        <v>44707</v>
      </c>
      <c r="R323">
        <v>0</v>
      </c>
      <c r="U323" t="s">
        <v>225</v>
      </c>
      <c r="V323">
        <v>0</v>
      </c>
      <c r="AD323">
        <v>1</v>
      </c>
      <c r="AF323">
        <v>31</v>
      </c>
      <c r="AI323">
        <v>89</v>
      </c>
    </row>
    <row r="324" spans="1:35" x14ac:dyDescent="0.35">
      <c r="A324" t="s">
        <v>91</v>
      </c>
      <c r="B324" t="s">
        <v>24</v>
      </c>
      <c r="C324" t="s">
        <v>33</v>
      </c>
      <c r="D324" t="s">
        <v>34</v>
      </c>
      <c r="E324" t="s">
        <v>309</v>
      </c>
      <c r="F324" t="s">
        <v>42</v>
      </c>
      <c r="G324" s="20" t="s">
        <v>43</v>
      </c>
      <c r="H324" t="s">
        <v>7</v>
      </c>
      <c r="I324" t="str">
        <f t="shared" si="9"/>
        <v>Tetragonula species</v>
      </c>
      <c r="J324" t="s">
        <v>42</v>
      </c>
      <c r="K324" t="s">
        <v>334</v>
      </c>
      <c r="L324" t="s">
        <v>44</v>
      </c>
      <c r="M324" t="s">
        <v>45</v>
      </c>
      <c r="N324">
        <v>187</v>
      </c>
      <c r="O324" t="s">
        <v>119</v>
      </c>
      <c r="P324" t="s">
        <v>41</v>
      </c>
      <c r="Q324" s="4">
        <v>44707</v>
      </c>
      <c r="R324">
        <v>0</v>
      </c>
      <c r="U324" t="s">
        <v>225</v>
      </c>
      <c r="V324">
        <v>0</v>
      </c>
      <c r="AD324">
        <v>1</v>
      </c>
      <c r="AF324">
        <v>31</v>
      </c>
      <c r="AI324">
        <v>90</v>
      </c>
    </row>
    <row r="325" spans="1:35" x14ac:dyDescent="0.35">
      <c r="A325" t="s">
        <v>91</v>
      </c>
      <c r="B325" t="s">
        <v>24</v>
      </c>
      <c r="C325" t="s">
        <v>33</v>
      </c>
      <c r="D325" t="s">
        <v>34</v>
      </c>
      <c r="E325" t="s">
        <v>309</v>
      </c>
      <c r="F325" t="s">
        <v>42</v>
      </c>
      <c r="G325" s="20" t="s">
        <v>43</v>
      </c>
      <c r="H325" t="s">
        <v>7</v>
      </c>
      <c r="I325" t="str">
        <f t="shared" si="9"/>
        <v>Tetragonula species</v>
      </c>
      <c r="J325" t="s">
        <v>42</v>
      </c>
      <c r="K325" t="s">
        <v>334</v>
      </c>
      <c r="L325" t="s">
        <v>44</v>
      </c>
      <c r="M325" t="s">
        <v>45</v>
      </c>
      <c r="N325">
        <v>188</v>
      </c>
      <c r="O325" t="s">
        <v>119</v>
      </c>
      <c r="P325" t="s">
        <v>41</v>
      </c>
      <c r="Q325" s="4">
        <v>44707</v>
      </c>
      <c r="R325">
        <v>1</v>
      </c>
      <c r="U325" t="s">
        <v>225</v>
      </c>
      <c r="V325">
        <v>0</v>
      </c>
      <c r="AD325">
        <v>1</v>
      </c>
      <c r="AF325">
        <v>31</v>
      </c>
      <c r="AI325">
        <v>91</v>
      </c>
    </row>
    <row r="326" spans="1:35" x14ac:dyDescent="0.35">
      <c r="A326" t="s">
        <v>91</v>
      </c>
      <c r="B326" t="s">
        <v>24</v>
      </c>
      <c r="C326" t="s">
        <v>33</v>
      </c>
      <c r="D326" t="s">
        <v>34</v>
      </c>
      <c r="E326" t="s">
        <v>309</v>
      </c>
      <c r="F326" t="s">
        <v>42</v>
      </c>
      <c r="G326" s="20" t="s">
        <v>43</v>
      </c>
      <c r="H326" t="s">
        <v>7</v>
      </c>
      <c r="I326" t="str">
        <f t="shared" si="9"/>
        <v>Tetragonula species</v>
      </c>
      <c r="J326" t="s">
        <v>42</v>
      </c>
      <c r="K326" t="s">
        <v>334</v>
      </c>
      <c r="L326" t="s">
        <v>44</v>
      </c>
      <c r="M326" t="s">
        <v>45</v>
      </c>
      <c r="N326">
        <v>189</v>
      </c>
      <c r="O326" t="s">
        <v>119</v>
      </c>
      <c r="P326" t="s">
        <v>30</v>
      </c>
      <c r="Q326" s="4">
        <v>44714</v>
      </c>
      <c r="R326">
        <v>0</v>
      </c>
      <c r="S326" t="s">
        <v>107</v>
      </c>
      <c r="T326" t="s">
        <v>107</v>
      </c>
      <c r="U326" t="s">
        <v>271</v>
      </c>
      <c r="V326">
        <v>0</v>
      </c>
      <c r="AD326">
        <v>1</v>
      </c>
      <c r="AF326">
        <v>32</v>
      </c>
      <c r="AI326">
        <v>92</v>
      </c>
    </row>
    <row r="327" spans="1:35" x14ac:dyDescent="0.35">
      <c r="A327" t="s">
        <v>91</v>
      </c>
      <c r="B327" t="s">
        <v>24</v>
      </c>
      <c r="C327" t="s">
        <v>33</v>
      </c>
      <c r="D327" t="s">
        <v>34</v>
      </c>
      <c r="E327" t="s">
        <v>309</v>
      </c>
      <c r="F327" t="s">
        <v>42</v>
      </c>
      <c r="G327" s="20" t="s">
        <v>43</v>
      </c>
      <c r="H327" t="s">
        <v>7</v>
      </c>
      <c r="I327" t="str">
        <f t="shared" si="9"/>
        <v>Tetragonula species</v>
      </c>
      <c r="J327" t="s">
        <v>42</v>
      </c>
      <c r="K327" t="s">
        <v>334</v>
      </c>
      <c r="L327" t="s">
        <v>44</v>
      </c>
      <c r="M327" t="s">
        <v>45</v>
      </c>
      <c r="N327">
        <v>190</v>
      </c>
      <c r="O327" t="s">
        <v>119</v>
      </c>
      <c r="P327" t="s">
        <v>30</v>
      </c>
      <c r="Q327" s="4">
        <v>44714</v>
      </c>
      <c r="R327">
        <v>1</v>
      </c>
      <c r="S327" t="s">
        <v>107</v>
      </c>
      <c r="T327" t="s">
        <v>107</v>
      </c>
      <c r="U327" t="s">
        <v>271</v>
      </c>
      <c r="V327">
        <v>0</v>
      </c>
      <c r="AD327">
        <v>1</v>
      </c>
      <c r="AF327">
        <v>32</v>
      </c>
      <c r="AI327">
        <v>93</v>
      </c>
    </row>
    <row r="328" spans="1:35" x14ac:dyDescent="0.35">
      <c r="A328" t="s">
        <v>91</v>
      </c>
      <c r="B328" t="s">
        <v>24</v>
      </c>
      <c r="C328" t="s">
        <v>33</v>
      </c>
      <c r="D328" t="s">
        <v>34</v>
      </c>
      <c r="E328" t="s">
        <v>309</v>
      </c>
      <c r="F328" t="s">
        <v>42</v>
      </c>
      <c r="G328" s="20" t="s">
        <v>43</v>
      </c>
      <c r="H328" t="s">
        <v>7</v>
      </c>
      <c r="I328" t="str">
        <f t="shared" si="9"/>
        <v>Tetragonula species</v>
      </c>
      <c r="J328" t="s">
        <v>42</v>
      </c>
      <c r="K328" t="s">
        <v>334</v>
      </c>
      <c r="L328" t="s">
        <v>44</v>
      </c>
      <c r="M328" t="s">
        <v>45</v>
      </c>
      <c r="N328">
        <v>191</v>
      </c>
      <c r="O328" t="s">
        <v>119</v>
      </c>
      <c r="P328" t="s">
        <v>30</v>
      </c>
      <c r="Q328" s="4">
        <v>44714</v>
      </c>
      <c r="R328">
        <v>0</v>
      </c>
      <c r="S328" t="s">
        <v>107</v>
      </c>
      <c r="T328" t="s">
        <v>107</v>
      </c>
      <c r="U328" t="s">
        <v>271</v>
      </c>
      <c r="V328">
        <v>0</v>
      </c>
      <c r="AD328">
        <v>1</v>
      </c>
      <c r="AF328">
        <v>32</v>
      </c>
      <c r="AI328">
        <v>94</v>
      </c>
    </row>
    <row r="329" spans="1:35" x14ac:dyDescent="0.35">
      <c r="A329" t="s">
        <v>91</v>
      </c>
      <c r="B329" t="s">
        <v>24</v>
      </c>
      <c r="C329" t="s">
        <v>33</v>
      </c>
      <c r="D329" t="s">
        <v>34</v>
      </c>
      <c r="E329" t="s">
        <v>309</v>
      </c>
      <c r="F329" t="s">
        <v>42</v>
      </c>
      <c r="G329" s="20" t="s">
        <v>43</v>
      </c>
      <c r="H329" t="s">
        <v>7</v>
      </c>
      <c r="I329" t="str">
        <f t="shared" si="9"/>
        <v>Tetragonula species</v>
      </c>
      <c r="J329" t="s">
        <v>42</v>
      </c>
      <c r="K329" t="s">
        <v>334</v>
      </c>
      <c r="L329" t="s">
        <v>44</v>
      </c>
      <c r="M329" t="s">
        <v>45</v>
      </c>
      <c r="N329">
        <v>192</v>
      </c>
      <c r="O329" t="s">
        <v>119</v>
      </c>
      <c r="P329" t="s">
        <v>30</v>
      </c>
      <c r="Q329" s="4">
        <v>44714</v>
      </c>
      <c r="R329">
        <v>0</v>
      </c>
      <c r="S329" t="s">
        <v>107</v>
      </c>
      <c r="T329" t="s">
        <v>107</v>
      </c>
      <c r="U329" t="s">
        <v>271</v>
      </c>
      <c r="V329">
        <v>0</v>
      </c>
      <c r="AD329">
        <v>1</v>
      </c>
      <c r="AF329">
        <v>32</v>
      </c>
      <c r="AI329">
        <v>95</v>
      </c>
    </row>
    <row r="330" spans="1:35" x14ac:dyDescent="0.35">
      <c r="A330" t="s">
        <v>91</v>
      </c>
      <c r="B330" t="s">
        <v>24</v>
      </c>
      <c r="C330" t="s">
        <v>33</v>
      </c>
      <c r="D330" t="s">
        <v>34</v>
      </c>
      <c r="E330" t="s">
        <v>309</v>
      </c>
      <c r="F330" t="s">
        <v>42</v>
      </c>
      <c r="G330" s="20" t="s">
        <v>43</v>
      </c>
      <c r="H330" t="s">
        <v>7</v>
      </c>
      <c r="I330" t="str">
        <f t="shared" si="9"/>
        <v>Tetragonula species</v>
      </c>
      <c r="J330" t="s">
        <v>42</v>
      </c>
      <c r="K330" t="s">
        <v>334</v>
      </c>
      <c r="L330" t="s">
        <v>44</v>
      </c>
      <c r="M330" t="s">
        <v>45</v>
      </c>
      <c r="N330">
        <v>193</v>
      </c>
      <c r="O330" t="s">
        <v>119</v>
      </c>
      <c r="P330" t="s">
        <v>30</v>
      </c>
      <c r="Q330" s="4">
        <v>44714</v>
      </c>
      <c r="R330">
        <v>0</v>
      </c>
      <c r="S330" t="s">
        <v>107</v>
      </c>
      <c r="T330" t="s">
        <v>107</v>
      </c>
      <c r="U330" t="s">
        <v>271</v>
      </c>
      <c r="V330">
        <v>0</v>
      </c>
      <c r="AD330">
        <v>1</v>
      </c>
      <c r="AF330">
        <v>32</v>
      </c>
      <c r="AI330">
        <v>96</v>
      </c>
    </row>
    <row r="331" spans="1:35" x14ac:dyDescent="0.35">
      <c r="A331" t="s">
        <v>91</v>
      </c>
      <c r="B331" t="s">
        <v>24</v>
      </c>
      <c r="C331" t="s">
        <v>33</v>
      </c>
      <c r="D331" t="s">
        <v>34</v>
      </c>
      <c r="E331" t="s">
        <v>309</v>
      </c>
      <c r="F331" t="s">
        <v>42</v>
      </c>
      <c r="G331" s="20" t="s">
        <v>43</v>
      </c>
      <c r="H331" t="s">
        <v>7</v>
      </c>
      <c r="I331" t="str">
        <f t="shared" si="9"/>
        <v>Tetragonula species</v>
      </c>
      <c r="J331" t="s">
        <v>42</v>
      </c>
      <c r="K331" t="s">
        <v>334</v>
      </c>
      <c r="L331" t="s">
        <v>44</v>
      </c>
      <c r="M331" t="s">
        <v>45</v>
      </c>
      <c r="N331">
        <v>194</v>
      </c>
      <c r="O331" t="s">
        <v>119</v>
      </c>
      <c r="P331" t="s">
        <v>30</v>
      </c>
      <c r="Q331" s="4">
        <v>44714</v>
      </c>
      <c r="R331">
        <v>0</v>
      </c>
      <c r="S331" t="s">
        <v>107</v>
      </c>
      <c r="T331" t="s">
        <v>107</v>
      </c>
      <c r="U331" t="s">
        <v>271</v>
      </c>
      <c r="V331">
        <v>0</v>
      </c>
      <c r="AD331">
        <v>1</v>
      </c>
      <c r="AF331">
        <v>32</v>
      </c>
      <c r="AI331">
        <v>97</v>
      </c>
    </row>
    <row r="332" spans="1:35" x14ac:dyDescent="0.35">
      <c r="A332" t="s">
        <v>91</v>
      </c>
      <c r="B332" t="s">
        <v>24</v>
      </c>
      <c r="C332" t="s">
        <v>33</v>
      </c>
      <c r="D332" t="s">
        <v>34</v>
      </c>
      <c r="E332" t="s">
        <v>309</v>
      </c>
      <c r="F332" t="s">
        <v>42</v>
      </c>
      <c r="G332" s="20" t="s">
        <v>43</v>
      </c>
      <c r="H332" t="s">
        <v>7</v>
      </c>
      <c r="I332" t="str">
        <f t="shared" si="9"/>
        <v>Tetragonula species</v>
      </c>
      <c r="J332" t="s">
        <v>42</v>
      </c>
      <c r="K332" t="s">
        <v>334</v>
      </c>
      <c r="L332" t="s">
        <v>44</v>
      </c>
      <c r="M332" t="s">
        <v>45</v>
      </c>
      <c r="N332">
        <v>195</v>
      </c>
      <c r="O332" t="s">
        <v>119</v>
      </c>
      <c r="P332" t="s">
        <v>30</v>
      </c>
      <c r="Q332" s="4">
        <v>44714</v>
      </c>
      <c r="R332">
        <v>0</v>
      </c>
      <c r="S332" t="s">
        <v>107</v>
      </c>
      <c r="T332" t="s">
        <v>107</v>
      </c>
      <c r="U332" t="s">
        <v>271</v>
      </c>
      <c r="V332">
        <v>0</v>
      </c>
      <c r="AD332">
        <v>1</v>
      </c>
      <c r="AF332">
        <v>32</v>
      </c>
      <c r="AI332">
        <v>98</v>
      </c>
    </row>
    <row r="333" spans="1:35" x14ac:dyDescent="0.35">
      <c r="A333" t="s">
        <v>91</v>
      </c>
      <c r="B333" t="s">
        <v>24</v>
      </c>
      <c r="C333" t="s">
        <v>33</v>
      </c>
      <c r="D333" t="s">
        <v>34</v>
      </c>
      <c r="E333" t="s">
        <v>309</v>
      </c>
      <c r="F333" t="s">
        <v>42</v>
      </c>
      <c r="G333" s="20" t="s">
        <v>43</v>
      </c>
      <c r="H333" t="s">
        <v>7</v>
      </c>
      <c r="I333" t="str">
        <f t="shared" si="9"/>
        <v>Tetragonula species</v>
      </c>
      <c r="J333" t="s">
        <v>42</v>
      </c>
      <c r="K333" t="s">
        <v>334</v>
      </c>
      <c r="L333" t="s">
        <v>44</v>
      </c>
      <c r="M333" t="s">
        <v>45</v>
      </c>
      <c r="N333">
        <v>196</v>
      </c>
      <c r="O333" t="s">
        <v>119</v>
      </c>
      <c r="P333" t="s">
        <v>30</v>
      </c>
      <c r="Q333" s="4">
        <v>44714</v>
      </c>
      <c r="R333">
        <v>1</v>
      </c>
      <c r="S333" t="s">
        <v>107</v>
      </c>
      <c r="T333" t="s">
        <v>107</v>
      </c>
      <c r="U333" t="s">
        <v>271</v>
      </c>
      <c r="V333">
        <v>0</v>
      </c>
      <c r="AD333">
        <v>1</v>
      </c>
      <c r="AF333">
        <v>32</v>
      </c>
      <c r="AI333">
        <v>99</v>
      </c>
    </row>
    <row r="334" spans="1:35" x14ac:dyDescent="0.35">
      <c r="A334" t="s">
        <v>91</v>
      </c>
      <c r="B334" t="s">
        <v>24</v>
      </c>
      <c r="C334" t="s">
        <v>33</v>
      </c>
      <c r="D334" t="s">
        <v>34</v>
      </c>
      <c r="E334" t="s">
        <v>309</v>
      </c>
      <c r="F334" t="s">
        <v>42</v>
      </c>
      <c r="G334" s="20" t="s">
        <v>43</v>
      </c>
      <c r="H334" t="s">
        <v>7</v>
      </c>
      <c r="I334" t="str">
        <f t="shared" si="9"/>
        <v>Tetragonula species</v>
      </c>
      <c r="J334" t="s">
        <v>42</v>
      </c>
      <c r="K334" t="s">
        <v>334</v>
      </c>
      <c r="L334" t="s">
        <v>44</v>
      </c>
      <c r="M334" t="s">
        <v>45</v>
      </c>
      <c r="N334">
        <v>197</v>
      </c>
      <c r="O334" t="s">
        <v>119</v>
      </c>
      <c r="P334" t="s">
        <v>30</v>
      </c>
      <c r="Q334" s="4">
        <v>44714</v>
      </c>
      <c r="R334">
        <v>0</v>
      </c>
      <c r="S334" t="s">
        <v>107</v>
      </c>
      <c r="T334" t="s">
        <v>107</v>
      </c>
      <c r="U334" t="s">
        <v>271</v>
      </c>
      <c r="V334">
        <v>0</v>
      </c>
      <c r="AD334">
        <v>1</v>
      </c>
      <c r="AF334">
        <v>32</v>
      </c>
      <c r="AI334">
        <v>100</v>
      </c>
    </row>
    <row r="335" spans="1:35" x14ac:dyDescent="0.35">
      <c r="A335" t="s">
        <v>91</v>
      </c>
      <c r="B335" t="s">
        <v>24</v>
      </c>
      <c r="C335" t="s">
        <v>33</v>
      </c>
      <c r="D335" t="s">
        <v>34</v>
      </c>
      <c r="E335" t="s">
        <v>309</v>
      </c>
      <c r="F335" t="s">
        <v>42</v>
      </c>
      <c r="G335" s="20" t="s">
        <v>43</v>
      </c>
      <c r="H335" t="s">
        <v>7</v>
      </c>
      <c r="I335" t="str">
        <f t="shared" si="9"/>
        <v>Tetragonula species</v>
      </c>
      <c r="J335" t="s">
        <v>42</v>
      </c>
      <c r="K335" t="s">
        <v>334</v>
      </c>
      <c r="L335" t="s">
        <v>44</v>
      </c>
      <c r="M335" t="s">
        <v>45</v>
      </c>
      <c r="N335">
        <v>198</v>
      </c>
      <c r="O335" t="s">
        <v>119</v>
      </c>
      <c r="P335" t="s">
        <v>30</v>
      </c>
      <c r="Q335" s="4">
        <v>44714</v>
      </c>
      <c r="R335">
        <v>1</v>
      </c>
      <c r="S335" t="s">
        <v>107</v>
      </c>
      <c r="T335" t="s">
        <v>107</v>
      </c>
      <c r="U335" t="s">
        <v>271</v>
      </c>
      <c r="V335">
        <v>0</v>
      </c>
      <c r="AD335">
        <v>1</v>
      </c>
      <c r="AF335">
        <v>32</v>
      </c>
      <c r="AI335">
        <v>101</v>
      </c>
    </row>
    <row r="336" spans="1:35" x14ac:dyDescent="0.35">
      <c r="A336" t="s">
        <v>91</v>
      </c>
      <c r="B336" t="s">
        <v>24</v>
      </c>
      <c r="C336" t="s">
        <v>33</v>
      </c>
      <c r="D336" t="s">
        <v>34</v>
      </c>
      <c r="E336" t="s">
        <v>309</v>
      </c>
      <c r="F336" t="s">
        <v>42</v>
      </c>
      <c r="G336" s="20" t="s">
        <v>43</v>
      </c>
      <c r="H336" t="s">
        <v>7</v>
      </c>
      <c r="I336" t="str">
        <f t="shared" si="9"/>
        <v>Tetragonula species</v>
      </c>
      <c r="J336" t="s">
        <v>42</v>
      </c>
      <c r="K336" t="s">
        <v>334</v>
      </c>
      <c r="L336" t="s">
        <v>44</v>
      </c>
      <c r="M336" t="s">
        <v>45</v>
      </c>
      <c r="N336">
        <v>199</v>
      </c>
      <c r="O336" t="s">
        <v>119</v>
      </c>
      <c r="P336" t="s">
        <v>30</v>
      </c>
      <c r="Q336" s="4">
        <v>44714</v>
      </c>
      <c r="R336">
        <v>0</v>
      </c>
      <c r="S336" t="s">
        <v>107</v>
      </c>
      <c r="T336" t="s">
        <v>107</v>
      </c>
      <c r="U336" t="s">
        <v>271</v>
      </c>
      <c r="V336">
        <v>0</v>
      </c>
      <c r="AD336">
        <v>1</v>
      </c>
      <c r="AF336">
        <v>32</v>
      </c>
      <c r="AI336">
        <v>102</v>
      </c>
    </row>
    <row r="337" spans="1:35" x14ac:dyDescent="0.35">
      <c r="A337" t="s">
        <v>91</v>
      </c>
      <c r="B337" t="s">
        <v>24</v>
      </c>
      <c r="C337" t="s">
        <v>33</v>
      </c>
      <c r="D337" t="s">
        <v>34</v>
      </c>
      <c r="E337" t="s">
        <v>309</v>
      </c>
      <c r="F337" t="s">
        <v>42</v>
      </c>
      <c r="G337" s="20" t="s">
        <v>43</v>
      </c>
      <c r="H337" t="s">
        <v>7</v>
      </c>
      <c r="I337" t="str">
        <f t="shared" si="9"/>
        <v>Tetragonula species</v>
      </c>
      <c r="J337" t="s">
        <v>42</v>
      </c>
      <c r="K337" t="s">
        <v>334</v>
      </c>
      <c r="L337" t="s">
        <v>44</v>
      </c>
      <c r="M337" t="s">
        <v>45</v>
      </c>
      <c r="N337">
        <v>200</v>
      </c>
      <c r="O337" t="s">
        <v>119</v>
      </c>
      <c r="P337" t="s">
        <v>30</v>
      </c>
      <c r="Q337" s="4">
        <v>44714</v>
      </c>
      <c r="R337">
        <v>0</v>
      </c>
      <c r="S337" t="s">
        <v>107</v>
      </c>
      <c r="T337" t="s">
        <v>107</v>
      </c>
      <c r="U337" t="s">
        <v>271</v>
      </c>
      <c r="V337">
        <v>0</v>
      </c>
      <c r="AD337">
        <v>1</v>
      </c>
      <c r="AF337">
        <v>32</v>
      </c>
      <c r="AI337">
        <v>103</v>
      </c>
    </row>
    <row r="338" spans="1:35" x14ac:dyDescent="0.35">
      <c r="A338" t="s">
        <v>91</v>
      </c>
      <c r="B338" t="s">
        <v>24</v>
      </c>
      <c r="C338" t="s">
        <v>33</v>
      </c>
      <c r="D338" t="s">
        <v>34</v>
      </c>
      <c r="E338" t="s">
        <v>309</v>
      </c>
      <c r="F338" t="s">
        <v>42</v>
      </c>
      <c r="G338" s="20" t="s">
        <v>43</v>
      </c>
      <c r="H338" t="s">
        <v>7</v>
      </c>
      <c r="I338" t="str">
        <f t="shared" si="9"/>
        <v>Tetragonula species</v>
      </c>
      <c r="J338" t="s">
        <v>42</v>
      </c>
      <c r="K338" t="s">
        <v>334</v>
      </c>
      <c r="L338" t="s">
        <v>44</v>
      </c>
      <c r="M338" t="s">
        <v>45</v>
      </c>
      <c r="N338">
        <v>201</v>
      </c>
      <c r="O338" t="s">
        <v>119</v>
      </c>
      <c r="P338" t="s">
        <v>30</v>
      </c>
      <c r="Q338" s="4">
        <v>44714</v>
      </c>
      <c r="R338">
        <v>0</v>
      </c>
      <c r="S338" t="s">
        <v>107</v>
      </c>
      <c r="T338" t="s">
        <v>107</v>
      </c>
      <c r="U338" t="s">
        <v>271</v>
      </c>
      <c r="V338">
        <v>0</v>
      </c>
      <c r="AD338">
        <v>1</v>
      </c>
      <c r="AF338">
        <v>32</v>
      </c>
      <c r="AI338">
        <v>104</v>
      </c>
    </row>
    <row r="339" spans="1:35" x14ac:dyDescent="0.35">
      <c r="A339" t="s">
        <v>91</v>
      </c>
      <c r="B339" t="s">
        <v>24</v>
      </c>
      <c r="C339" t="s">
        <v>33</v>
      </c>
      <c r="D339" t="s">
        <v>34</v>
      </c>
      <c r="E339" t="s">
        <v>309</v>
      </c>
      <c r="F339" t="s">
        <v>42</v>
      </c>
      <c r="G339" s="20" t="s">
        <v>43</v>
      </c>
      <c r="H339" t="s">
        <v>7</v>
      </c>
      <c r="I339" t="str">
        <f t="shared" si="9"/>
        <v>Tetragonula species</v>
      </c>
      <c r="J339" t="s">
        <v>42</v>
      </c>
      <c r="K339" t="s">
        <v>334</v>
      </c>
      <c r="L339" t="s">
        <v>44</v>
      </c>
      <c r="M339" t="s">
        <v>45</v>
      </c>
      <c r="N339">
        <v>202</v>
      </c>
      <c r="O339" t="s">
        <v>119</v>
      </c>
      <c r="P339" t="s">
        <v>30</v>
      </c>
      <c r="Q339" s="4">
        <v>44714</v>
      </c>
      <c r="R339">
        <v>0</v>
      </c>
      <c r="S339" t="s">
        <v>107</v>
      </c>
      <c r="T339" t="s">
        <v>107</v>
      </c>
      <c r="U339" t="s">
        <v>271</v>
      </c>
      <c r="V339">
        <v>0</v>
      </c>
      <c r="AD339">
        <v>1</v>
      </c>
      <c r="AF339">
        <v>32</v>
      </c>
      <c r="AI339">
        <v>105</v>
      </c>
    </row>
    <row r="340" spans="1:35" x14ac:dyDescent="0.35">
      <c r="A340" t="s">
        <v>91</v>
      </c>
      <c r="B340" t="s">
        <v>24</v>
      </c>
      <c r="C340" t="s">
        <v>33</v>
      </c>
      <c r="D340" t="s">
        <v>34</v>
      </c>
      <c r="E340" t="s">
        <v>309</v>
      </c>
      <c r="F340" t="s">
        <v>42</v>
      </c>
      <c r="G340" s="20" t="s">
        <v>43</v>
      </c>
      <c r="H340" t="s">
        <v>7</v>
      </c>
      <c r="I340" t="str">
        <f t="shared" si="9"/>
        <v>Tetragonula species</v>
      </c>
      <c r="J340" t="s">
        <v>42</v>
      </c>
      <c r="K340" t="s">
        <v>334</v>
      </c>
      <c r="L340" t="s">
        <v>44</v>
      </c>
      <c r="M340" t="s">
        <v>45</v>
      </c>
      <c r="N340">
        <v>203</v>
      </c>
      <c r="O340" t="s">
        <v>119</v>
      </c>
      <c r="P340" t="s">
        <v>30</v>
      </c>
      <c r="Q340" s="4">
        <v>44714</v>
      </c>
      <c r="R340">
        <v>1</v>
      </c>
      <c r="S340" t="s">
        <v>107</v>
      </c>
      <c r="T340" t="s">
        <v>107</v>
      </c>
      <c r="U340" t="s">
        <v>271</v>
      </c>
      <c r="V340">
        <v>0</v>
      </c>
      <c r="AD340">
        <v>1</v>
      </c>
      <c r="AF340">
        <v>32</v>
      </c>
      <c r="AI340">
        <v>106</v>
      </c>
    </row>
    <row r="341" spans="1:35" x14ac:dyDescent="0.35">
      <c r="A341" t="s">
        <v>91</v>
      </c>
      <c r="B341" t="s">
        <v>24</v>
      </c>
      <c r="C341" t="s">
        <v>33</v>
      </c>
      <c r="D341" t="s">
        <v>34</v>
      </c>
      <c r="E341" t="s">
        <v>309</v>
      </c>
      <c r="F341" t="s">
        <v>42</v>
      </c>
      <c r="G341" s="20" t="s">
        <v>43</v>
      </c>
      <c r="H341" t="s">
        <v>7</v>
      </c>
      <c r="I341" t="str">
        <f t="shared" si="9"/>
        <v>Tetragonula species</v>
      </c>
      <c r="J341" t="s">
        <v>42</v>
      </c>
      <c r="K341" t="s">
        <v>334</v>
      </c>
      <c r="L341" t="s">
        <v>44</v>
      </c>
      <c r="M341" t="s">
        <v>45</v>
      </c>
      <c r="N341">
        <v>204</v>
      </c>
      <c r="O341" t="s">
        <v>119</v>
      </c>
      <c r="P341" t="s">
        <v>30</v>
      </c>
      <c r="Q341" s="4">
        <v>44714</v>
      </c>
      <c r="R341">
        <v>0</v>
      </c>
      <c r="S341" t="s">
        <v>107</v>
      </c>
      <c r="T341" t="s">
        <v>107</v>
      </c>
      <c r="U341" t="s">
        <v>271</v>
      </c>
      <c r="V341">
        <v>0</v>
      </c>
      <c r="AD341">
        <v>1</v>
      </c>
      <c r="AF341">
        <v>32</v>
      </c>
      <c r="AI341">
        <v>107</v>
      </c>
    </row>
    <row r="342" spans="1:35" x14ac:dyDescent="0.35">
      <c r="A342" t="s">
        <v>91</v>
      </c>
      <c r="B342" t="s">
        <v>24</v>
      </c>
      <c r="C342" t="s">
        <v>33</v>
      </c>
      <c r="D342" t="s">
        <v>34</v>
      </c>
      <c r="E342" t="s">
        <v>309</v>
      </c>
      <c r="F342" t="s">
        <v>42</v>
      </c>
      <c r="G342" s="20" t="s">
        <v>43</v>
      </c>
      <c r="H342" t="s">
        <v>7</v>
      </c>
      <c r="I342" t="str">
        <f t="shared" si="9"/>
        <v>Tetragonula species</v>
      </c>
      <c r="J342" t="s">
        <v>42</v>
      </c>
      <c r="K342" t="s">
        <v>334</v>
      </c>
      <c r="L342" t="s">
        <v>44</v>
      </c>
      <c r="M342" t="s">
        <v>45</v>
      </c>
      <c r="N342">
        <v>205</v>
      </c>
      <c r="O342" t="s">
        <v>119</v>
      </c>
      <c r="P342" t="s">
        <v>30</v>
      </c>
      <c r="Q342" s="4">
        <v>44714</v>
      </c>
      <c r="R342">
        <v>0</v>
      </c>
      <c r="S342" t="s">
        <v>107</v>
      </c>
      <c r="T342" t="s">
        <v>107</v>
      </c>
      <c r="U342" t="s">
        <v>271</v>
      </c>
      <c r="V342">
        <v>0</v>
      </c>
      <c r="AD342">
        <v>1</v>
      </c>
      <c r="AF342">
        <v>32</v>
      </c>
      <c r="AI342">
        <v>108</v>
      </c>
    </row>
    <row r="343" spans="1:35" x14ac:dyDescent="0.35">
      <c r="A343" t="s">
        <v>91</v>
      </c>
      <c r="B343" t="s">
        <v>24</v>
      </c>
      <c r="C343" t="s">
        <v>33</v>
      </c>
      <c r="D343" t="s">
        <v>34</v>
      </c>
      <c r="E343" t="s">
        <v>309</v>
      </c>
      <c r="F343" t="s">
        <v>42</v>
      </c>
      <c r="G343" s="20" t="s">
        <v>43</v>
      </c>
      <c r="H343" t="s">
        <v>7</v>
      </c>
      <c r="I343" t="str">
        <f t="shared" si="9"/>
        <v>Tetragonula species</v>
      </c>
      <c r="J343" t="s">
        <v>42</v>
      </c>
      <c r="K343" t="s">
        <v>334</v>
      </c>
      <c r="L343" t="s">
        <v>44</v>
      </c>
      <c r="M343" t="s">
        <v>45</v>
      </c>
      <c r="N343">
        <v>206</v>
      </c>
      <c r="O343" t="s">
        <v>119</v>
      </c>
      <c r="P343" t="s">
        <v>30</v>
      </c>
      <c r="Q343" s="4">
        <v>44714</v>
      </c>
      <c r="R343">
        <v>0</v>
      </c>
      <c r="S343" t="s">
        <v>107</v>
      </c>
      <c r="T343" t="s">
        <v>107</v>
      </c>
      <c r="U343" t="s">
        <v>271</v>
      </c>
      <c r="V343">
        <v>0</v>
      </c>
      <c r="AD343">
        <v>1</v>
      </c>
      <c r="AF343">
        <v>32</v>
      </c>
      <c r="AI343">
        <v>109</v>
      </c>
    </row>
    <row r="344" spans="1:35" x14ac:dyDescent="0.35">
      <c r="A344" t="s">
        <v>91</v>
      </c>
      <c r="B344" t="s">
        <v>24</v>
      </c>
      <c r="C344" t="s">
        <v>33</v>
      </c>
      <c r="D344" t="s">
        <v>34</v>
      </c>
      <c r="E344" t="s">
        <v>309</v>
      </c>
      <c r="F344" t="s">
        <v>42</v>
      </c>
      <c r="G344" s="20" t="s">
        <v>43</v>
      </c>
      <c r="H344" t="s">
        <v>7</v>
      </c>
      <c r="I344" t="str">
        <f t="shared" si="9"/>
        <v>Tetragonula species</v>
      </c>
      <c r="J344" t="s">
        <v>42</v>
      </c>
      <c r="K344" t="s">
        <v>334</v>
      </c>
      <c r="L344" t="s">
        <v>44</v>
      </c>
      <c r="M344" t="s">
        <v>45</v>
      </c>
      <c r="N344">
        <v>207</v>
      </c>
      <c r="O344" t="s">
        <v>119</v>
      </c>
      <c r="P344" t="s">
        <v>30</v>
      </c>
      <c r="Q344" s="4">
        <v>44714</v>
      </c>
      <c r="R344">
        <v>0</v>
      </c>
      <c r="S344" t="s">
        <v>107</v>
      </c>
      <c r="T344" t="s">
        <v>107</v>
      </c>
      <c r="U344" t="s">
        <v>271</v>
      </c>
      <c r="V344">
        <v>0</v>
      </c>
      <c r="AD344">
        <v>1</v>
      </c>
      <c r="AF344">
        <v>32</v>
      </c>
      <c r="AI344">
        <v>110</v>
      </c>
    </row>
    <row r="345" spans="1:35" x14ac:dyDescent="0.35">
      <c r="A345" t="s">
        <v>91</v>
      </c>
      <c r="B345" t="s">
        <v>24</v>
      </c>
      <c r="C345" t="s">
        <v>33</v>
      </c>
      <c r="D345" t="s">
        <v>34</v>
      </c>
      <c r="E345" t="s">
        <v>309</v>
      </c>
      <c r="F345" t="s">
        <v>42</v>
      </c>
      <c r="G345" s="20" t="s">
        <v>43</v>
      </c>
      <c r="H345" t="s">
        <v>7</v>
      </c>
      <c r="I345" t="str">
        <f t="shared" si="9"/>
        <v>Tetragonula species</v>
      </c>
      <c r="J345" t="s">
        <v>42</v>
      </c>
      <c r="K345" t="s">
        <v>334</v>
      </c>
      <c r="L345" t="s">
        <v>44</v>
      </c>
      <c r="M345" t="s">
        <v>45</v>
      </c>
      <c r="N345">
        <v>208</v>
      </c>
      <c r="O345" t="s">
        <v>119</v>
      </c>
      <c r="P345" t="s">
        <v>30</v>
      </c>
      <c r="Q345" s="4">
        <v>44714</v>
      </c>
      <c r="R345">
        <v>0</v>
      </c>
      <c r="S345" t="s">
        <v>107</v>
      </c>
      <c r="T345" t="s">
        <v>107</v>
      </c>
      <c r="U345" t="s">
        <v>271</v>
      </c>
      <c r="V345">
        <v>0</v>
      </c>
      <c r="AD345">
        <v>1</v>
      </c>
      <c r="AF345">
        <v>32</v>
      </c>
      <c r="AI345">
        <v>111</v>
      </c>
    </row>
    <row r="346" spans="1:35" x14ac:dyDescent="0.35">
      <c r="A346" t="s">
        <v>91</v>
      </c>
      <c r="B346" t="s">
        <v>24</v>
      </c>
      <c r="C346" t="s">
        <v>33</v>
      </c>
      <c r="D346" t="s">
        <v>34</v>
      </c>
      <c r="E346" t="s">
        <v>309</v>
      </c>
      <c r="F346" t="s">
        <v>42</v>
      </c>
      <c r="G346" s="20" t="s">
        <v>43</v>
      </c>
      <c r="H346" t="s">
        <v>7</v>
      </c>
      <c r="I346" t="str">
        <f t="shared" si="9"/>
        <v>Tetragonula species</v>
      </c>
      <c r="J346" t="s">
        <v>42</v>
      </c>
      <c r="K346" t="s">
        <v>334</v>
      </c>
      <c r="L346" t="s">
        <v>44</v>
      </c>
      <c r="M346" t="s">
        <v>45</v>
      </c>
      <c r="N346">
        <v>209</v>
      </c>
      <c r="O346" t="s">
        <v>119</v>
      </c>
      <c r="P346" t="s">
        <v>30</v>
      </c>
      <c r="Q346" s="4">
        <v>44714</v>
      </c>
      <c r="R346">
        <v>1</v>
      </c>
      <c r="S346" t="s">
        <v>107</v>
      </c>
      <c r="T346" t="s">
        <v>107</v>
      </c>
      <c r="U346" t="s">
        <v>271</v>
      </c>
      <c r="V346">
        <v>0</v>
      </c>
      <c r="AD346">
        <v>1</v>
      </c>
      <c r="AF346">
        <v>32</v>
      </c>
      <c r="AI346">
        <v>112</v>
      </c>
    </row>
    <row r="347" spans="1:35" x14ac:dyDescent="0.35">
      <c r="A347" t="s">
        <v>91</v>
      </c>
      <c r="B347" t="s">
        <v>24</v>
      </c>
      <c r="C347" t="s">
        <v>33</v>
      </c>
      <c r="D347" t="s">
        <v>34</v>
      </c>
      <c r="E347" t="s">
        <v>309</v>
      </c>
      <c r="F347" t="s">
        <v>42</v>
      </c>
      <c r="G347" s="20" t="s">
        <v>43</v>
      </c>
      <c r="H347" t="s">
        <v>7</v>
      </c>
      <c r="I347" t="str">
        <f t="shared" si="9"/>
        <v>Tetragonula species</v>
      </c>
      <c r="J347" t="s">
        <v>42</v>
      </c>
      <c r="K347" t="s">
        <v>334</v>
      </c>
      <c r="L347" t="s">
        <v>44</v>
      </c>
      <c r="M347" t="s">
        <v>45</v>
      </c>
      <c r="N347">
        <v>210</v>
      </c>
      <c r="O347" t="s">
        <v>119</v>
      </c>
      <c r="P347" t="s">
        <v>30</v>
      </c>
      <c r="Q347" s="4">
        <v>44714</v>
      </c>
      <c r="R347">
        <v>1</v>
      </c>
      <c r="S347" t="s">
        <v>107</v>
      </c>
      <c r="T347" t="s">
        <v>107</v>
      </c>
      <c r="U347" t="s">
        <v>271</v>
      </c>
      <c r="V347">
        <v>0</v>
      </c>
      <c r="AD347">
        <v>1</v>
      </c>
      <c r="AF347">
        <v>32</v>
      </c>
      <c r="AI347">
        <v>113</v>
      </c>
    </row>
    <row r="348" spans="1:35" x14ac:dyDescent="0.35">
      <c r="A348" t="s">
        <v>91</v>
      </c>
      <c r="B348" t="s">
        <v>24</v>
      </c>
      <c r="C348" t="s">
        <v>33</v>
      </c>
      <c r="D348" t="s">
        <v>34</v>
      </c>
      <c r="E348" t="s">
        <v>309</v>
      </c>
      <c r="F348" t="s">
        <v>42</v>
      </c>
      <c r="G348" s="20" t="s">
        <v>43</v>
      </c>
      <c r="H348" t="s">
        <v>7</v>
      </c>
      <c r="I348" t="str">
        <f t="shared" si="9"/>
        <v>Tetragonula species</v>
      </c>
      <c r="J348" t="s">
        <v>42</v>
      </c>
      <c r="K348" t="s">
        <v>334</v>
      </c>
      <c r="L348" t="s">
        <v>44</v>
      </c>
      <c r="M348" t="s">
        <v>45</v>
      </c>
      <c r="N348">
        <v>211</v>
      </c>
      <c r="O348" t="s">
        <v>119</v>
      </c>
      <c r="P348" t="s">
        <v>30</v>
      </c>
      <c r="Q348" s="4">
        <v>44714</v>
      </c>
      <c r="R348">
        <v>1</v>
      </c>
      <c r="S348" t="s">
        <v>107</v>
      </c>
      <c r="T348" t="s">
        <v>107</v>
      </c>
      <c r="U348" t="s">
        <v>271</v>
      </c>
      <c r="V348">
        <v>0</v>
      </c>
      <c r="AD348">
        <v>1</v>
      </c>
      <c r="AF348">
        <v>32</v>
      </c>
      <c r="AI348">
        <v>114</v>
      </c>
    </row>
    <row r="349" spans="1:35" x14ac:dyDescent="0.35">
      <c r="A349" t="s">
        <v>91</v>
      </c>
      <c r="B349" t="s">
        <v>24</v>
      </c>
      <c r="C349" t="s">
        <v>33</v>
      </c>
      <c r="D349" t="s">
        <v>34</v>
      </c>
      <c r="E349" t="s">
        <v>309</v>
      </c>
      <c r="F349" t="s">
        <v>42</v>
      </c>
      <c r="G349" s="20" t="s">
        <v>43</v>
      </c>
      <c r="H349" t="s">
        <v>7</v>
      </c>
      <c r="I349" t="str">
        <f t="shared" si="9"/>
        <v>Tetragonula species</v>
      </c>
      <c r="J349" t="s">
        <v>42</v>
      </c>
      <c r="K349" t="s">
        <v>334</v>
      </c>
      <c r="L349" t="s">
        <v>44</v>
      </c>
      <c r="M349" t="s">
        <v>45</v>
      </c>
      <c r="N349">
        <v>212</v>
      </c>
      <c r="O349" t="s">
        <v>119</v>
      </c>
      <c r="P349" t="s">
        <v>30</v>
      </c>
      <c r="Q349" s="4">
        <v>44714</v>
      </c>
      <c r="R349">
        <v>1</v>
      </c>
      <c r="S349" t="s">
        <v>107</v>
      </c>
      <c r="T349" t="s">
        <v>107</v>
      </c>
      <c r="U349" t="s">
        <v>271</v>
      </c>
      <c r="V349">
        <v>0</v>
      </c>
      <c r="AD349">
        <v>1</v>
      </c>
      <c r="AF349">
        <v>32</v>
      </c>
      <c r="AI349">
        <v>115</v>
      </c>
    </row>
    <row r="350" spans="1:35" x14ac:dyDescent="0.35">
      <c r="A350" t="s">
        <v>91</v>
      </c>
      <c r="B350" t="s">
        <v>24</v>
      </c>
      <c r="C350" t="s">
        <v>33</v>
      </c>
      <c r="D350" t="s">
        <v>34</v>
      </c>
      <c r="E350" t="s">
        <v>309</v>
      </c>
      <c r="F350" t="s">
        <v>42</v>
      </c>
      <c r="G350" s="20" t="s">
        <v>43</v>
      </c>
      <c r="H350" t="s">
        <v>7</v>
      </c>
      <c r="I350" t="str">
        <f t="shared" si="9"/>
        <v>Tetragonula species</v>
      </c>
      <c r="J350" t="s">
        <v>42</v>
      </c>
      <c r="K350" t="s">
        <v>334</v>
      </c>
      <c r="L350" t="s">
        <v>44</v>
      </c>
      <c r="M350" t="s">
        <v>45</v>
      </c>
      <c r="N350">
        <v>213</v>
      </c>
      <c r="O350" t="s">
        <v>119</v>
      </c>
      <c r="P350" t="s">
        <v>30</v>
      </c>
      <c r="Q350" s="4">
        <v>44714</v>
      </c>
      <c r="R350">
        <v>1</v>
      </c>
      <c r="S350" t="s">
        <v>107</v>
      </c>
      <c r="T350" t="s">
        <v>107</v>
      </c>
      <c r="U350" t="s">
        <v>271</v>
      </c>
      <c r="V350">
        <v>0</v>
      </c>
      <c r="AD350">
        <v>1</v>
      </c>
      <c r="AF350">
        <v>32</v>
      </c>
      <c r="AI350">
        <v>116</v>
      </c>
    </row>
    <row r="351" spans="1:35" x14ac:dyDescent="0.35">
      <c r="A351" t="s">
        <v>91</v>
      </c>
      <c r="B351" t="s">
        <v>24</v>
      </c>
      <c r="C351" t="s">
        <v>33</v>
      </c>
      <c r="D351" t="s">
        <v>34</v>
      </c>
      <c r="E351" t="s">
        <v>309</v>
      </c>
      <c r="F351" t="s">
        <v>42</v>
      </c>
      <c r="G351" s="20" t="s">
        <v>43</v>
      </c>
      <c r="H351" t="s">
        <v>7</v>
      </c>
      <c r="I351" t="str">
        <f t="shared" si="9"/>
        <v>Tetragonula species</v>
      </c>
      <c r="J351" t="s">
        <v>42</v>
      </c>
      <c r="K351" t="s">
        <v>334</v>
      </c>
      <c r="L351" t="s">
        <v>44</v>
      </c>
      <c r="M351" t="s">
        <v>45</v>
      </c>
      <c r="N351">
        <v>214</v>
      </c>
      <c r="O351" t="s">
        <v>119</v>
      </c>
      <c r="P351" t="s">
        <v>30</v>
      </c>
      <c r="Q351" s="4">
        <v>44714</v>
      </c>
      <c r="R351">
        <v>0</v>
      </c>
      <c r="S351" t="s">
        <v>107</v>
      </c>
      <c r="T351" t="s">
        <v>107</v>
      </c>
      <c r="U351" t="s">
        <v>271</v>
      </c>
      <c r="V351">
        <v>0</v>
      </c>
      <c r="AD351">
        <v>1</v>
      </c>
      <c r="AF351">
        <v>26</v>
      </c>
      <c r="AI351">
        <v>117</v>
      </c>
    </row>
    <row r="352" spans="1:35" x14ac:dyDescent="0.35">
      <c r="A352" t="s">
        <v>91</v>
      </c>
      <c r="B352" t="s">
        <v>24</v>
      </c>
      <c r="C352" t="s">
        <v>33</v>
      </c>
      <c r="D352" t="s">
        <v>34</v>
      </c>
      <c r="E352" t="s">
        <v>309</v>
      </c>
      <c r="F352" t="s">
        <v>42</v>
      </c>
      <c r="G352" s="20" t="s">
        <v>43</v>
      </c>
      <c r="H352" t="s">
        <v>7</v>
      </c>
      <c r="I352" t="str">
        <f t="shared" si="9"/>
        <v>Tetragonula species</v>
      </c>
      <c r="J352" t="s">
        <v>42</v>
      </c>
      <c r="K352" t="s">
        <v>334</v>
      </c>
      <c r="L352" t="s">
        <v>44</v>
      </c>
      <c r="M352" t="s">
        <v>45</v>
      </c>
      <c r="N352">
        <v>215</v>
      </c>
      <c r="O352" t="s">
        <v>119</v>
      </c>
      <c r="P352" t="s">
        <v>30</v>
      </c>
      <c r="Q352" s="4">
        <v>44714</v>
      </c>
      <c r="R352">
        <v>1</v>
      </c>
      <c r="S352" t="s">
        <v>107</v>
      </c>
      <c r="T352" t="s">
        <v>107</v>
      </c>
      <c r="U352" t="s">
        <v>271</v>
      </c>
      <c r="V352">
        <v>0</v>
      </c>
      <c r="AD352">
        <v>1</v>
      </c>
      <c r="AF352">
        <v>26</v>
      </c>
      <c r="AI352">
        <v>118</v>
      </c>
    </row>
    <row r="353" spans="1:35" x14ac:dyDescent="0.35">
      <c r="A353" t="s">
        <v>91</v>
      </c>
      <c r="B353" t="s">
        <v>24</v>
      </c>
      <c r="C353" t="s">
        <v>33</v>
      </c>
      <c r="D353" t="s">
        <v>34</v>
      </c>
      <c r="E353" t="s">
        <v>309</v>
      </c>
      <c r="F353" t="s">
        <v>42</v>
      </c>
      <c r="G353" s="20" t="s">
        <v>43</v>
      </c>
      <c r="H353" t="s">
        <v>7</v>
      </c>
      <c r="I353" t="str">
        <f t="shared" si="9"/>
        <v>Tetragonula species</v>
      </c>
      <c r="J353" t="s">
        <v>42</v>
      </c>
      <c r="K353" t="s">
        <v>334</v>
      </c>
      <c r="L353" t="s">
        <v>44</v>
      </c>
      <c r="M353" t="s">
        <v>45</v>
      </c>
      <c r="N353">
        <v>216</v>
      </c>
      <c r="O353" t="s">
        <v>119</v>
      </c>
      <c r="P353" t="s">
        <v>30</v>
      </c>
      <c r="Q353" s="4">
        <v>44714</v>
      </c>
      <c r="R353">
        <v>0</v>
      </c>
      <c r="S353" t="s">
        <v>107</v>
      </c>
      <c r="T353" t="s">
        <v>107</v>
      </c>
      <c r="U353" t="s">
        <v>271</v>
      </c>
      <c r="V353">
        <v>0</v>
      </c>
      <c r="AD353">
        <v>1</v>
      </c>
      <c r="AF353">
        <v>26</v>
      </c>
      <c r="AI353">
        <v>119</v>
      </c>
    </row>
    <row r="354" spans="1:35" x14ac:dyDescent="0.35">
      <c r="A354" t="s">
        <v>91</v>
      </c>
      <c r="B354" t="s">
        <v>24</v>
      </c>
      <c r="C354" t="s">
        <v>33</v>
      </c>
      <c r="D354" t="s">
        <v>34</v>
      </c>
      <c r="E354" t="s">
        <v>309</v>
      </c>
      <c r="F354" t="s">
        <v>42</v>
      </c>
      <c r="G354" s="20" t="s">
        <v>43</v>
      </c>
      <c r="H354" t="s">
        <v>7</v>
      </c>
      <c r="I354" t="str">
        <f t="shared" si="9"/>
        <v>Tetragonula species</v>
      </c>
      <c r="J354" t="s">
        <v>42</v>
      </c>
      <c r="K354" t="s">
        <v>334</v>
      </c>
      <c r="L354" t="s">
        <v>44</v>
      </c>
      <c r="M354" t="s">
        <v>45</v>
      </c>
      <c r="N354">
        <v>217</v>
      </c>
      <c r="O354" t="s">
        <v>119</v>
      </c>
      <c r="P354" t="s">
        <v>30</v>
      </c>
      <c r="Q354" s="4">
        <v>44714</v>
      </c>
      <c r="R354">
        <v>1</v>
      </c>
      <c r="S354" t="s">
        <v>107</v>
      </c>
      <c r="T354" t="s">
        <v>107</v>
      </c>
      <c r="U354" t="s">
        <v>271</v>
      </c>
      <c r="V354">
        <v>0</v>
      </c>
      <c r="AD354">
        <v>1</v>
      </c>
      <c r="AF354">
        <v>45</v>
      </c>
      <c r="AI354">
        <v>120</v>
      </c>
    </row>
    <row r="355" spans="1:35" x14ac:dyDescent="0.35">
      <c r="A355" t="s">
        <v>91</v>
      </c>
      <c r="B355" t="s">
        <v>24</v>
      </c>
      <c r="C355" t="s">
        <v>33</v>
      </c>
      <c r="D355" t="s">
        <v>34</v>
      </c>
      <c r="E355" t="s">
        <v>309</v>
      </c>
      <c r="F355" t="s">
        <v>42</v>
      </c>
      <c r="G355" s="20" t="s">
        <v>43</v>
      </c>
      <c r="H355" t="s">
        <v>7</v>
      </c>
      <c r="I355" t="str">
        <f t="shared" si="9"/>
        <v>Tetragonula species</v>
      </c>
      <c r="J355" t="s">
        <v>42</v>
      </c>
      <c r="K355" t="s">
        <v>334</v>
      </c>
      <c r="L355" t="s">
        <v>44</v>
      </c>
      <c r="M355" t="s">
        <v>45</v>
      </c>
      <c r="N355">
        <v>218</v>
      </c>
      <c r="O355" t="s">
        <v>119</v>
      </c>
      <c r="P355" t="s">
        <v>30</v>
      </c>
      <c r="Q355" s="4">
        <v>44714</v>
      </c>
      <c r="R355">
        <v>0</v>
      </c>
      <c r="S355" t="s">
        <v>107</v>
      </c>
      <c r="T355" t="s">
        <v>107</v>
      </c>
      <c r="U355" t="s">
        <v>271</v>
      </c>
      <c r="V355">
        <v>0</v>
      </c>
      <c r="AD355">
        <v>1</v>
      </c>
      <c r="AF355">
        <v>45</v>
      </c>
      <c r="AI355">
        <v>121</v>
      </c>
    </row>
    <row r="356" spans="1:35" x14ac:dyDescent="0.35">
      <c r="A356" t="s">
        <v>91</v>
      </c>
      <c r="B356" t="s">
        <v>24</v>
      </c>
      <c r="C356" t="s">
        <v>33</v>
      </c>
      <c r="D356" t="s">
        <v>34</v>
      </c>
      <c r="E356" t="s">
        <v>309</v>
      </c>
      <c r="F356" t="s">
        <v>42</v>
      </c>
      <c r="G356" s="20" t="s">
        <v>43</v>
      </c>
      <c r="H356" t="s">
        <v>7</v>
      </c>
      <c r="I356" t="str">
        <f t="shared" si="9"/>
        <v>Tetragonula species</v>
      </c>
      <c r="J356" t="s">
        <v>42</v>
      </c>
      <c r="K356" t="s">
        <v>334</v>
      </c>
      <c r="L356" t="s">
        <v>44</v>
      </c>
      <c r="M356" t="s">
        <v>45</v>
      </c>
      <c r="N356">
        <v>219</v>
      </c>
      <c r="O356" t="s">
        <v>119</v>
      </c>
      <c r="P356" t="s">
        <v>30</v>
      </c>
      <c r="Q356" s="4">
        <v>44714</v>
      </c>
      <c r="R356">
        <v>1</v>
      </c>
      <c r="S356" t="s">
        <v>107</v>
      </c>
      <c r="T356" t="s">
        <v>107</v>
      </c>
      <c r="U356" t="s">
        <v>271</v>
      </c>
      <c r="V356">
        <v>0</v>
      </c>
      <c r="AD356">
        <v>1</v>
      </c>
      <c r="AF356">
        <v>45</v>
      </c>
      <c r="AI356">
        <v>122</v>
      </c>
    </row>
    <row r="357" spans="1:35" x14ac:dyDescent="0.35">
      <c r="A357" t="s">
        <v>91</v>
      </c>
      <c r="B357" t="s">
        <v>24</v>
      </c>
      <c r="C357" t="s">
        <v>33</v>
      </c>
      <c r="D357" t="s">
        <v>34</v>
      </c>
      <c r="E357" t="s">
        <v>309</v>
      </c>
      <c r="F357" t="s">
        <v>42</v>
      </c>
      <c r="G357" s="20" t="s">
        <v>43</v>
      </c>
      <c r="H357" t="s">
        <v>7</v>
      </c>
      <c r="I357" t="str">
        <f t="shared" si="9"/>
        <v>Tetragonula species</v>
      </c>
      <c r="J357" t="s">
        <v>42</v>
      </c>
      <c r="K357" t="s">
        <v>334</v>
      </c>
      <c r="L357" t="s">
        <v>44</v>
      </c>
      <c r="M357" t="s">
        <v>45</v>
      </c>
      <c r="N357">
        <v>220</v>
      </c>
      <c r="O357" t="s">
        <v>119</v>
      </c>
      <c r="P357" t="s">
        <v>30</v>
      </c>
      <c r="Q357" s="4">
        <v>44714</v>
      </c>
      <c r="R357">
        <v>1</v>
      </c>
      <c r="S357" t="s">
        <v>107</v>
      </c>
      <c r="T357" t="s">
        <v>107</v>
      </c>
      <c r="U357" t="s">
        <v>271</v>
      </c>
      <c r="V357">
        <v>0</v>
      </c>
      <c r="AD357">
        <v>1</v>
      </c>
      <c r="AF357">
        <v>45</v>
      </c>
      <c r="AI357">
        <v>123</v>
      </c>
    </row>
    <row r="358" spans="1:35" x14ac:dyDescent="0.35">
      <c r="A358" t="s">
        <v>91</v>
      </c>
      <c r="B358" t="s">
        <v>24</v>
      </c>
      <c r="C358" t="s">
        <v>33</v>
      </c>
      <c r="D358" t="s">
        <v>34</v>
      </c>
      <c r="E358" t="s">
        <v>309</v>
      </c>
      <c r="F358" t="s">
        <v>42</v>
      </c>
      <c r="G358" s="20" t="s">
        <v>43</v>
      </c>
      <c r="H358" t="s">
        <v>7</v>
      </c>
      <c r="I358" t="str">
        <f t="shared" ref="I358:I421" si="10">G358&amp;" "&amp;H358</f>
        <v>Tetragonula species</v>
      </c>
      <c r="J358" t="s">
        <v>42</v>
      </c>
      <c r="K358" t="s">
        <v>334</v>
      </c>
      <c r="L358" t="s">
        <v>44</v>
      </c>
      <c r="M358" t="s">
        <v>45</v>
      </c>
      <c r="N358">
        <v>221</v>
      </c>
      <c r="O358" t="s">
        <v>119</v>
      </c>
      <c r="P358" t="s">
        <v>30</v>
      </c>
      <c r="Q358" s="4">
        <v>44714</v>
      </c>
      <c r="R358">
        <v>1</v>
      </c>
      <c r="S358" t="s">
        <v>107</v>
      </c>
      <c r="T358" t="s">
        <v>107</v>
      </c>
      <c r="U358" t="s">
        <v>271</v>
      </c>
      <c r="V358">
        <v>0</v>
      </c>
      <c r="AD358">
        <v>1</v>
      </c>
      <c r="AF358">
        <v>45</v>
      </c>
      <c r="AI358">
        <v>124</v>
      </c>
    </row>
    <row r="359" spans="1:35" x14ac:dyDescent="0.35">
      <c r="A359" t="s">
        <v>91</v>
      </c>
      <c r="B359" t="s">
        <v>24</v>
      </c>
      <c r="C359" t="s">
        <v>33</v>
      </c>
      <c r="D359" t="s">
        <v>34</v>
      </c>
      <c r="E359" t="s">
        <v>309</v>
      </c>
      <c r="F359" t="s">
        <v>42</v>
      </c>
      <c r="G359" s="20" t="s">
        <v>43</v>
      </c>
      <c r="H359" t="s">
        <v>7</v>
      </c>
      <c r="I359" t="str">
        <f t="shared" si="10"/>
        <v>Tetragonula species</v>
      </c>
      <c r="J359" t="s">
        <v>42</v>
      </c>
      <c r="K359" t="s">
        <v>334</v>
      </c>
      <c r="L359" t="s">
        <v>44</v>
      </c>
      <c r="M359" t="s">
        <v>45</v>
      </c>
      <c r="N359">
        <v>222</v>
      </c>
      <c r="O359" t="s">
        <v>119</v>
      </c>
      <c r="P359" t="s">
        <v>30</v>
      </c>
      <c r="Q359" s="4">
        <v>44714</v>
      </c>
      <c r="R359">
        <v>0</v>
      </c>
      <c r="S359" t="s">
        <v>107</v>
      </c>
      <c r="T359" t="s">
        <v>107</v>
      </c>
      <c r="U359" t="s">
        <v>271</v>
      </c>
      <c r="V359">
        <v>0</v>
      </c>
      <c r="AD359">
        <v>1</v>
      </c>
      <c r="AF359">
        <v>45</v>
      </c>
      <c r="AI359">
        <v>125</v>
      </c>
    </row>
    <row r="360" spans="1:35" x14ac:dyDescent="0.35">
      <c r="A360" t="s">
        <v>91</v>
      </c>
      <c r="B360" t="s">
        <v>24</v>
      </c>
      <c r="C360" t="s">
        <v>33</v>
      </c>
      <c r="D360" t="s">
        <v>34</v>
      </c>
      <c r="E360" t="s">
        <v>309</v>
      </c>
      <c r="F360" t="s">
        <v>42</v>
      </c>
      <c r="G360" s="20" t="s">
        <v>43</v>
      </c>
      <c r="H360" t="s">
        <v>7</v>
      </c>
      <c r="I360" t="str">
        <f t="shared" si="10"/>
        <v>Tetragonula species</v>
      </c>
      <c r="J360" t="s">
        <v>42</v>
      </c>
      <c r="K360" t="s">
        <v>334</v>
      </c>
      <c r="L360" t="s">
        <v>44</v>
      </c>
      <c r="M360" t="s">
        <v>45</v>
      </c>
      <c r="N360">
        <v>223</v>
      </c>
      <c r="O360" t="s">
        <v>119</v>
      </c>
      <c r="P360" t="s">
        <v>30</v>
      </c>
      <c r="Q360" s="4">
        <v>44714</v>
      </c>
      <c r="R360">
        <v>1</v>
      </c>
      <c r="S360" t="s">
        <v>107</v>
      </c>
      <c r="T360" t="s">
        <v>107</v>
      </c>
      <c r="U360" t="s">
        <v>271</v>
      </c>
      <c r="V360">
        <v>0</v>
      </c>
      <c r="AD360">
        <v>1</v>
      </c>
      <c r="AF360">
        <v>45</v>
      </c>
      <c r="AI360">
        <v>126</v>
      </c>
    </row>
    <row r="361" spans="1:35" x14ac:dyDescent="0.35">
      <c r="A361" t="s">
        <v>91</v>
      </c>
      <c r="B361" t="s">
        <v>24</v>
      </c>
      <c r="C361" t="s">
        <v>33</v>
      </c>
      <c r="D361" t="s">
        <v>34</v>
      </c>
      <c r="E361" t="s">
        <v>309</v>
      </c>
      <c r="F361" t="s">
        <v>42</v>
      </c>
      <c r="G361" s="20" t="s">
        <v>43</v>
      </c>
      <c r="H361" t="s">
        <v>7</v>
      </c>
      <c r="I361" t="str">
        <f t="shared" si="10"/>
        <v>Tetragonula species</v>
      </c>
      <c r="J361" t="s">
        <v>42</v>
      </c>
      <c r="K361" t="s">
        <v>334</v>
      </c>
      <c r="L361" t="s">
        <v>44</v>
      </c>
      <c r="M361" t="s">
        <v>45</v>
      </c>
      <c r="N361">
        <v>224</v>
      </c>
      <c r="O361" t="s">
        <v>119</v>
      </c>
      <c r="P361" t="s">
        <v>30</v>
      </c>
      <c r="Q361" s="4">
        <v>44714</v>
      </c>
      <c r="R361">
        <v>1</v>
      </c>
      <c r="S361" t="s">
        <v>107</v>
      </c>
      <c r="T361" t="s">
        <v>107</v>
      </c>
      <c r="U361" t="s">
        <v>271</v>
      </c>
      <c r="V361">
        <v>0</v>
      </c>
      <c r="AD361">
        <v>1</v>
      </c>
      <c r="AF361">
        <v>45</v>
      </c>
      <c r="AI361">
        <v>127</v>
      </c>
    </row>
    <row r="362" spans="1:35" x14ac:dyDescent="0.35">
      <c r="A362" t="s">
        <v>91</v>
      </c>
      <c r="B362" t="s">
        <v>24</v>
      </c>
      <c r="C362" t="s">
        <v>33</v>
      </c>
      <c r="D362" t="s">
        <v>34</v>
      </c>
      <c r="E362" t="s">
        <v>309</v>
      </c>
      <c r="F362" t="s">
        <v>42</v>
      </c>
      <c r="G362" s="20" t="s">
        <v>43</v>
      </c>
      <c r="H362" t="s">
        <v>7</v>
      </c>
      <c r="I362" t="str">
        <f t="shared" si="10"/>
        <v>Tetragonula species</v>
      </c>
      <c r="J362" t="s">
        <v>42</v>
      </c>
      <c r="K362" t="s">
        <v>334</v>
      </c>
      <c r="L362" t="s">
        <v>44</v>
      </c>
      <c r="M362" t="s">
        <v>45</v>
      </c>
      <c r="N362">
        <v>225</v>
      </c>
      <c r="O362" t="s">
        <v>119</v>
      </c>
      <c r="P362" t="s">
        <v>30</v>
      </c>
      <c r="Q362" s="4">
        <v>44714</v>
      </c>
      <c r="R362">
        <v>1</v>
      </c>
      <c r="S362" t="s">
        <v>107</v>
      </c>
      <c r="T362" t="s">
        <v>107</v>
      </c>
      <c r="U362" t="s">
        <v>271</v>
      </c>
      <c r="V362">
        <v>0</v>
      </c>
      <c r="AD362">
        <v>1</v>
      </c>
      <c r="AF362">
        <v>45</v>
      </c>
      <c r="AI362">
        <v>128</v>
      </c>
    </row>
    <row r="363" spans="1:35" x14ac:dyDescent="0.35">
      <c r="A363" t="s">
        <v>91</v>
      </c>
      <c r="B363" t="s">
        <v>24</v>
      </c>
      <c r="C363" t="s">
        <v>33</v>
      </c>
      <c r="D363" t="s">
        <v>34</v>
      </c>
      <c r="E363" t="s">
        <v>309</v>
      </c>
      <c r="F363" t="s">
        <v>42</v>
      </c>
      <c r="G363" s="20" t="s">
        <v>43</v>
      </c>
      <c r="H363" t="s">
        <v>7</v>
      </c>
      <c r="I363" t="str">
        <f t="shared" si="10"/>
        <v>Tetragonula species</v>
      </c>
      <c r="J363" t="s">
        <v>42</v>
      </c>
      <c r="K363" t="s">
        <v>334</v>
      </c>
      <c r="L363" t="s">
        <v>44</v>
      </c>
      <c r="M363" t="s">
        <v>45</v>
      </c>
      <c r="N363">
        <v>226</v>
      </c>
      <c r="O363" t="s">
        <v>119</v>
      </c>
      <c r="P363" t="s">
        <v>30</v>
      </c>
      <c r="Q363" s="4">
        <v>44714</v>
      </c>
      <c r="R363">
        <v>0</v>
      </c>
      <c r="S363" t="s">
        <v>107</v>
      </c>
      <c r="T363" t="s">
        <v>107</v>
      </c>
      <c r="U363" t="s">
        <v>271</v>
      </c>
      <c r="V363">
        <v>0</v>
      </c>
      <c r="AD363">
        <v>1</v>
      </c>
      <c r="AF363">
        <v>45</v>
      </c>
      <c r="AI363">
        <v>129</v>
      </c>
    </row>
    <row r="364" spans="1:35" x14ac:dyDescent="0.35">
      <c r="A364" t="s">
        <v>91</v>
      </c>
      <c r="B364" t="s">
        <v>24</v>
      </c>
      <c r="C364" t="s">
        <v>33</v>
      </c>
      <c r="D364" t="s">
        <v>34</v>
      </c>
      <c r="E364" t="s">
        <v>309</v>
      </c>
      <c r="F364" t="s">
        <v>42</v>
      </c>
      <c r="G364" s="20" t="s">
        <v>43</v>
      </c>
      <c r="H364" t="s">
        <v>7</v>
      </c>
      <c r="I364" t="str">
        <f t="shared" si="10"/>
        <v>Tetragonula species</v>
      </c>
      <c r="J364" t="s">
        <v>42</v>
      </c>
      <c r="K364" t="s">
        <v>334</v>
      </c>
      <c r="L364" t="s">
        <v>44</v>
      </c>
      <c r="M364" t="s">
        <v>45</v>
      </c>
      <c r="N364">
        <v>227</v>
      </c>
      <c r="O364" t="s">
        <v>119</v>
      </c>
      <c r="P364" t="s">
        <v>30</v>
      </c>
      <c r="Q364" s="4">
        <v>44714</v>
      </c>
      <c r="R364">
        <v>1</v>
      </c>
      <c r="S364" t="s">
        <v>107</v>
      </c>
      <c r="T364" t="s">
        <v>107</v>
      </c>
      <c r="U364" t="s">
        <v>271</v>
      </c>
      <c r="V364">
        <v>0</v>
      </c>
      <c r="AD364">
        <v>1</v>
      </c>
      <c r="AF364">
        <v>45</v>
      </c>
      <c r="AI364">
        <v>130</v>
      </c>
    </row>
    <row r="365" spans="1:35" x14ac:dyDescent="0.35">
      <c r="A365" t="s">
        <v>91</v>
      </c>
      <c r="B365" t="s">
        <v>24</v>
      </c>
      <c r="C365" t="s">
        <v>33</v>
      </c>
      <c r="D365" t="s">
        <v>34</v>
      </c>
      <c r="E365" t="s">
        <v>309</v>
      </c>
      <c r="F365" t="s">
        <v>42</v>
      </c>
      <c r="G365" s="20" t="s">
        <v>43</v>
      </c>
      <c r="H365" t="s">
        <v>7</v>
      </c>
      <c r="I365" t="str">
        <f t="shared" si="10"/>
        <v>Tetragonula species</v>
      </c>
      <c r="J365" t="s">
        <v>42</v>
      </c>
      <c r="K365" t="s">
        <v>334</v>
      </c>
      <c r="L365" t="s">
        <v>44</v>
      </c>
      <c r="M365" t="s">
        <v>45</v>
      </c>
      <c r="N365">
        <v>228</v>
      </c>
      <c r="O365" t="s">
        <v>119</v>
      </c>
      <c r="P365" t="s">
        <v>30</v>
      </c>
      <c r="Q365" s="4">
        <v>44714</v>
      </c>
      <c r="R365">
        <v>0</v>
      </c>
      <c r="S365" t="s">
        <v>107</v>
      </c>
      <c r="T365" t="s">
        <v>107</v>
      </c>
      <c r="U365" t="s">
        <v>271</v>
      </c>
      <c r="V365">
        <v>0</v>
      </c>
      <c r="AD365">
        <v>1</v>
      </c>
      <c r="AF365">
        <v>45</v>
      </c>
      <c r="AI365">
        <v>131</v>
      </c>
    </row>
    <row r="366" spans="1:35" x14ac:dyDescent="0.35">
      <c r="A366" t="s">
        <v>91</v>
      </c>
      <c r="B366" t="s">
        <v>24</v>
      </c>
      <c r="C366" t="s">
        <v>33</v>
      </c>
      <c r="D366" t="s">
        <v>34</v>
      </c>
      <c r="E366" t="s">
        <v>309</v>
      </c>
      <c r="F366" t="s">
        <v>42</v>
      </c>
      <c r="G366" s="20" t="s">
        <v>43</v>
      </c>
      <c r="H366" t="s">
        <v>7</v>
      </c>
      <c r="I366" t="str">
        <f t="shared" si="10"/>
        <v>Tetragonula species</v>
      </c>
      <c r="J366" t="s">
        <v>42</v>
      </c>
      <c r="K366" t="s">
        <v>334</v>
      </c>
      <c r="L366" t="s">
        <v>44</v>
      </c>
      <c r="M366" t="s">
        <v>45</v>
      </c>
      <c r="N366">
        <v>229</v>
      </c>
      <c r="O366" t="s">
        <v>119</v>
      </c>
      <c r="P366" t="s">
        <v>30</v>
      </c>
      <c r="Q366" s="4">
        <v>44714</v>
      </c>
      <c r="R366">
        <v>1</v>
      </c>
      <c r="S366" t="s">
        <v>107</v>
      </c>
      <c r="T366" t="s">
        <v>107</v>
      </c>
      <c r="U366" t="s">
        <v>271</v>
      </c>
      <c r="V366">
        <v>0</v>
      </c>
      <c r="AD366">
        <v>1</v>
      </c>
      <c r="AF366">
        <v>45</v>
      </c>
      <c r="AI366">
        <v>132</v>
      </c>
    </row>
    <row r="367" spans="1:35" x14ac:dyDescent="0.35">
      <c r="A367" t="s">
        <v>91</v>
      </c>
      <c r="B367" t="s">
        <v>24</v>
      </c>
      <c r="C367" t="s">
        <v>33</v>
      </c>
      <c r="D367" t="s">
        <v>34</v>
      </c>
      <c r="E367" t="s">
        <v>309</v>
      </c>
      <c r="F367" t="s">
        <v>42</v>
      </c>
      <c r="G367" s="20" t="s">
        <v>43</v>
      </c>
      <c r="H367" t="s">
        <v>7</v>
      </c>
      <c r="I367" t="str">
        <f t="shared" si="10"/>
        <v>Tetragonula species</v>
      </c>
      <c r="J367" t="s">
        <v>42</v>
      </c>
      <c r="K367" t="s">
        <v>334</v>
      </c>
      <c r="L367" t="s">
        <v>44</v>
      </c>
      <c r="M367" t="s">
        <v>45</v>
      </c>
      <c r="N367">
        <v>230</v>
      </c>
      <c r="O367" t="s">
        <v>119</v>
      </c>
      <c r="P367" t="s">
        <v>30</v>
      </c>
      <c r="Q367" s="4">
        <v>44714</v>
      </c>
      <c r="R367">
        <v>1</v>
      </c>
      <c r="S367" t="s">
        <v>107</v>
      </c>
      <c r="T367" t="s">
        <v>107</v>
      </c>
      <c r="U367" t="s">
        <v>271</v>
      </c>
      <c r="V367">
        <v>0</v>
      </c>
      <c r="AD367">
        <v>1</v>
      </c>
      <c r="AF367">
        <v>45</v>
      </c>
      <c r="AI367">
        <v>133</v>
      </c>
    </row>
    <row r="368" spans="1:35" x14ac:dyDescent="0.35">
      <c r="A368" t="s">
        <v>91</v>
      </c>
      <c r="B368" t="s">
        <v>24</v>
      </c>
      <c r="C368" t="s">
        <v>33</v>
      </c>
      <c r="D368" t="s">
        <v>34</v>
      </c>
      <c r="E368" t="s">
        <v>309</v>
      </c>
      <c r="F368" t="s">
        <v>42</v>
      </c>
      <c r="G368" s="20" t="s">
        <v>43</v>
      </c>
      <c r="H368" t="s">
        <v>7</v>
      </c>
      <c r="I368" t="str">
        <f t="shared" si="10"/>
        <v>Tetragonula species</v>
      </c>
      <c r="J368" t="s">
        <v>42</v>
      </c>
      <c r="K368" t="s">
        <v>334</v>
      </c>
      <c r="L368" t="s">
        <v>44</v>
      </c>
      <c r="M368" t="s">
        <v>45</v>
      </c>
      <c r="N368">
        <v>231</v>
      </c>
      <c r="O368" t="s">
        <v>119</v>
      </c>
      <c r="P368" t="s">
        <v>30</v>
      </c>
      <c r="Q368" s="4">
        <v>44714</v>
      </c>
      <c r="R368">
        <v>1</v>
      </c>
      <c r="S368" t="s">
        <v>107</v>
      </c>
      <c r="T368" t="s">
        <v>107</v>
      </c>
      <c r="U368" t="s">
        <v>271</v>
      </c>
      <c r="V368">
        <v>0</v>
      </c>
      <c r="AD368">
        <v>1</v>
      </c>
      <c r="AF368">
        <v>45</v>
      </c>
      <c r="AI368">
        <v>134</v>
      </c>
    </row>
    <row r="369" spans="1:35" x14ac:dyDescent="0.35">
      <c r="A369" t="s">
        <v>91</v>
      </c>
      <c r="B369" t="s">
        <v>24</v>
      </c>
      <c r="C369" t="s">
        <v>33</v>
      </c>
      <c r="D369" t="s">
        <v>34</v>
      </c>
      <c r="E369" t="s">
        <v>309</v>
      </c>
      <c r="F369" t="s">
        <v>42</v>
      </c>
      <c r="G369" s="20" t="s">
        <v>43</v>
      </c>
      <c r="H369" t="s">
        <v>7</v>
      </c>
      <c r="I369" t="str">
        <f t="shared" si="10"/>
        <v>Tetragonula species</v>
      </c>
      <c r="J369" t="s">
        <v>42</v>
      </c>
      <c r="K369" t="s">
        <v>334</v>
      </c>
      <c r="L369" t="s">
        <v>44</v>
      </c>
      <c r="M369" t="s">
        <v>45</v>
      </c>
      <c r="N369">
        <v>232</v>
      </c>
      <c r="O369" t="s">
        <v>119</v>
      </c>
      <c r="P369" t="s">
        <v>30</v>
      </c>
      <c r="Q369" s="4">
        <v>44714</v>
      </c>
      <c r="R369">
        <v>0</v>
      </c>
      <c r="S369" t="s">
        <v>107</v>
      </c>
      <c r="T369" t="s">
        <v>107</v>
      </c>
      <c r="U369" t="s">
        <v>271</v>
      </c>
      <c r="V369">
        <v>0</v>
      </c>
      <c r="AD369">
        <v>1</v>
      </c>
      <c r="AF369">
        <v>45</v>
      </c>
      <c r="AI369">
        <v>135</v>
      </c>
    </row>
    <row r="370" spans="1:35" x14ac:dyDescent="0.35">
      <c r="A370" t="s">
        <v>91</v>
      </c>
      <c r="B370" t="s">
        <v>24</v>
      </c>
      <c r="C370" t="s">
        <v>33</v>
      </c>
      <c r="D370" t="s">
        <v>34</v>
      </c>
      <c r="E370" t="s">
        <v>309</v>
      </c>
      <c r="F370" t="s">
        <v>42</v>
      </c>
      <c r="G370" s="20" t="s">
        <v>43</v>
      </c>
      <c r="H370" t="s">
        <v>7</v>
      </c>
      <c r="I370" t="str">
        <f t="shared" si="10"/>
        <v>Tetragonula species</v>
      </c>
      <c r="J370" t="s">
        <v>42</v>
      </c>
      <c r="K370" t="s">
        <v>334</v>
      </c>
      <c r="L370" t="s">
        <v>44</v>
      </c>
      <c r="M370" t="s">
        <v>45</v>
      </c>
      <c r="N370">
        <v>233</v>
      </c>
      <c r="O370" t="s">
        <v>119</v>
      </c>
      <c r="P370" t="s">
        <v>30</v>
      </c>
      <c r="Q370" s="4">
        <v>44714</v>
      </c>
      <c r="R370">
        <v>0</v>
      </c>
      <c r="S370" t="s">
        <v>107</v>
      </c>
      <c r="T370" t="s">
        <v>107</v>
      </c>
      <c r="U370" t="s">
        <v>271</v>
      </c>
      <c r="V370">
        <v>0</v>
      </c>
      <c r="AD370">
        <v>1</v>
      </c>
      <c r="AF370">
        <v>45</v>
      </c>
      <c r="AI370">
        <v>136</v>
      </c>
    </row>
    <row r="371" spans="1:35" x14ac:dyDescent="0.35">
      <c r="A371" t="s">
        <v>91</v>
      </c>
      <c r="B371" t="s">
        <v>24</v>
      </c>
      <c r="C371" t="s">
        <v>33</v>
      </c>
      <c r="D371" t="s">
        <v>34</v>
      </c>
      <c r="E371" t="s">
        <v>309</v>
      </c>
      <c r="F371" t="s">
        <v>42</v>
      </c>
      <c r="G371" s="20" t="s">
        <v>43</v>
      </c>
      <c r="H371" t="s">
        <v>7</v>
      </c>
      <c r="I371" t="str">
        <f t="shared" si="10"/>
        <v>Tetragonula species</v>
      </c>
      <c r="J371" t="s">
        <v>42</v>
      </c>
      <c r="K371" t="s">
        <v>334</v>
      </c>
      <c r="L371" t="s">
        <v>44</v>
      </c>
      <c r="M371" t="s">
        <v>45</v>
      </c>
      <c r="N371">
        <v>234</v>
      </c>
      <c r="O371" t="s">
        <v>119</v>
      </c>
      <c r="P371" t="s">
        <v>30</v>
      </c>
      <c r="Q371" s="4">
        <v>44714</v>
      </c>
      <c r="R371">
        <v>0</v>
      </c>
      <c r="S371" t="s">
        <v>107</v>
      </c>
      <c r="T371" t="s">
        <v>107</v>
      </c>
      <c r="U371" t="s">
        <v>271</v>
      </c>
      <c r="V371">
        <v>0</v>
      </c>
      <c r="AD371">
        <v>1</v>
      </c>
      <c r="AF371">
        <v>45</v>
      </c>
      <c r="AI371">
        <v>137</v>
      </c>
    </row>
    <row r="372" spans="1:35" x14ac:dyDescent="0.35">
      <c r="A372" t="s">
        <v>91</v>
      </c>
      <c r="B372" t="s">
        <v>24</v>
      </c>
      <c r="C372" t="s">
        <v>33</v>
      </c>
      <c r="D372" t="s">
        <v>34</v>
      </c>
      <c r="E372" t="s">
        <v>309</v>
      </c>
      <c r="F372" t="s">
        <v>42</v>
      </c>
      <c r="G372" s="20" t="s">
        <v>43</v>
      </c>
      <c r="H372" t="s">
        <v>7</v>
      </c>
      <c r="I372" t="str">
        <f t="shared" si="10"/>
        <v>Tetragonula species</v>
      </c>
      <c r="J372" t="s">
        <v>42</v>
      </c>
      <c r="K372" t="s">
        <v>334</v>
      </c>
      <c r="L372" t="s">
        <v>44</v>
      </c>
      <c r="M372" t="s">
        <v>45</v>
      </c>
      <c r="N372">
        <v>235</v>
      </c>
      <c r="O372" t="s">
        <v>119</v>
      </c>
      <c r="P372" t="s">
        <v>30</v>
      </c>
      <c r="Q372" s="4">
        <v>44714</v>
      </c>
      <c r="R372">
        <v>0</v>
      </c>
      <c r="S372" t="s">
        <v>107</v>
      </c>
      <c r="T372" t="s">
        <v>107</v>
      </c>
      <c r="U372" t="s">
        <v>271</v>
      </c>
      <c r="V372">
        <v>0</v>
      </c>
      <c r="AD372">
        <v>1</v>
      </c>
      <c r="AF372">
        <v>45</v>
      </c>
      <c r="AI372">
        <v>138</v>
      </c>
    </row>
    <row r="373" spans="1:35" x14ac:dyDescent="0.35">
      <c r="A373" t="s">
        <v>91</v>
      </c>
      <c r="B373" t="s">
        <v>24</v>
      </c>
      <c r="C373" t="s">
        <v>33</v>
      </c>
      <c r="D373" t="s">
        <v>34</v>
      </c>
      <c r="E373" t="s">
        <v>309</v>
      </c>
      <c r="F373" t="s">
        <v>42</v>
      </c>
      <c r="G373" s="20" t="s">
        <v>43</v>
      </c>
      <c r="H373" t="s">
        <v>7</v>
      </c>
      <c r="I373" t="str">
        <f t="shared" si="10"/>
        <v>Tetragonula species</v>
      </c>
      <c r="J373" t="s">
        <v>42</v>
      </c>
      <c r="K373" t="s">
        <v>334</v>
      </c>
      <c r="L373" t="s">
        <v>44</v>
      </c>
      <c r="M373" t="s">
        <v>45</v>
      </c>
      <c r="N373">
        <v>236</v>
      </c>
      <c r="O373" t="s">
        <v>119</v>
      </c>
      <c r="P373" t="s">
        <v>30</v>
      </c>
      <c r="Q373" s="4">
        <v>44714</v>
      </c>
      <c r="R373">
        <v>0</v>
      </c>
      <c r="S373" t="s">
        <v>107</v>
      </c>
      <c r="T373" t="s">
        <v>107</v>
      </c>
      <c r="U373" t="s">
        <v>271</v>
      </c>
      <c r="V373">
        <v>0</v>
      </c>
      <c r="AD373">
        <v>1</v>
      </c>
      <c r="AF373">
        <v>45</v>
      </c>
      <c r="AI373">
        <v>139</v>
      </c>
    </row>
    <row r="374" spans="1:35" x14ac:dyDescent="0.35">
      <c r="A374" t="s">
        <v>91</v>
      </c>
      <c r="B374" t="s">
        <v>24</v>
      </c>
      <c r="C374" t="s">
        <v>33</v>
      </c>
      <c r="D374" t="s">
        <v>34</v>
      </c>
      <c r="E374" t="s">
        <v>309</v>
      </c>
      <c r="F374" t="s">
        <v>42</v>
      </c>
      <c r="G374" s="20" t="s">
        <v>43</v>
      </c>
      <c r="H374" t="s">
        <v>7</v>
      </c>
      <c r="I374" t="str">
        <f t="shared" si="10"/>
        <v>Tetragonula species</v>
      </c>
      <c r="J374" t="s">
        <v>42</v>
      </c>
      <c r="K374" t="s">
        <v>334</v>
      </c>
      <c r="L374" t="s">
        <v>44</v>
      </c>
      <c r="M374" t="s">
        <v>45</v>
      </c>
      <c r="N374">
        <v>237</v>
      </c>
      <c r="O374" t="s">
        <v>119</v>
      </c>
      <c r="P374" t="s">
        <v>30</v>
      </c>
      <c r="Q374" s="4">
        <v>44714</v>
      </c>
      <c r="R374">
        <v>0</v>
      </c>
      <c r="S374" t="s">
        <v>107</v>
      </c>
      <c r="T374" t="s">
        <v>107</v>
      </c>
      <c r="U374" t="s">
        <v>271</v>
      </c>
      <c r="V374">
        <v>0</v>
      </c>
      <c r="AD374">
        <v>1</v>
      </c>
      <c r="AF374">
        <v>45</v>
      </c>
      <c r="AI374">
        <v>140</v>
      </c>
    </row>
    <row r="375" spans="1:35" x14ac:dyDescent="0.35">
      <c r="A375" t="s">
        <v>91</v>
      </c>
      <c r="B375" t="s">
        <v>24</v>
      </c>
      <c r="C375" t="s">
        <v>33</v>
      </c>
      <c r="D375" t="s">
        <v>34</v>
      </c>
      <c r="E375" t="s">
        <v>309</v>
      </c>
      <c r="F375" t="s">
        <v>42</v>
      </c>
      <c r="G375" s="20" t="s">
        <v>43</v>
      </c>
      <c r="H375" t="s">
        <v>7</v>
      </c>
      <c r="I375" t="str">
        <f t="shared" si="10"/>
        <v>Tetragonula species</v>
      </c>
      <c r="J375" t="s">
        <v>42</v>
      </c>
      <c r="K375" t="s">
        <v>334</v>
      </c>
      <c r="L375" t="s">
        <v>44</v>
      </c>
      <c r="M375" t="s">
        <v>45</v>
      </c>
      <c r="N375">
        <v>238</v>
      </c>
      <c r="O375" t="s">
        <v>119</v>
      </c>
      <c r="P375" t="s">
        <v>30</v>
      </c>
      <c r="Q375" s="4">
        <v>44714</v>
      </c>
      <c r="R375">
        <v>0</v>
      </c>
      <c r="S375" t="s">
        <v>107</v>
      </c>
      <c r="T375" t="s">
        <v>107</v>
      </c>
      <c r="U375" t="s">
        <v>271</v>
      </c>
      <c r="V375">
        <v>0</v>
      </c>
      <c r="AD375">
        <v>1</v>
      </c>
      <c r="AF375">
        <v>45</v>
      </c>
      <c r="AI375">
        <v>141</v>
      </c>
    </row>
    <row r="376" spans="1:35" x14ac:dyDescent="0.35">
      <c r="A376" t="s">
        <v>91</v>
      </c>
      <c r="B376" t="s">
        <v>24</v>
      </c>
      <c r="C376" t="s">
        <v>33</v>
      </c>
      <c r="D376" t="s">
        <v>34</v>
      </c>
      <c r="E376" t="s">
        <v>309</v>
      </c>
      <c r="F376" t="s">
        <v>42</v>
      </c>
      <c r="G376" s="20" t="s">
        <v>43</v>
      </c>
      <c r="H376" t="s">
        <v>7</v>
      </c>
      <c r="I376" t="str">
        <f t="shared" si="10"/>
        <v>Tetragonula species</v>
      </c>
      <c r="J376" t="s">
        <v>42</v>
      </c>
      <c r="K376" t="s">
        <v>334</v>
      </c>
      <c r="L376" t="s">
        <v>44</v>
      </c>
      <c r="M376" t="s">
        <v>45</v>
      </c>
      <c r="N376">
        <v>239</v>
      </c>
      <c r="O376" t="s">
        <v>119</v>
      </c>
      <c r="P376" t="s">
        <v>30</v>
      </c>
      <c r="Q376" s="4">
        <v>44714</v>
      </c>
      <c r="R376">
        <v>0</v>
      </c>
      <c r="S376" t="s">
        <v>107</v>
      </c>
      <c r="T376" t="s">
        <v>107</v>
      </c>
      <c r="U376" t="s">
        <v>271</v>
      </c>
      <c r="V376">
        <v>0</v>
      </c>
      <c r="AD376">
        <v>1</v>
      </c>
      <c r="AF376">
        <v>45</v>
      </c>
      <c r="AI376">
        <v>142</v>
      </c>
    </row>
    <row r="377" spans="1:35" x14ac:dyDescent="0.35">
      <c r="A377" t="s">
        <v>91</v>
      </c>
      <c r="B377" t="s">
        <v>24</v>
      </c>
      <c r="C377" t="s">
        <v>33</v>
      </c>
      <c r="D377" t="s">
        <v>34</v>
      </c>
      <c r="E377" t="s">
        <v>309</v>
      </c>
      <c r="F377" t="s">
        <v>42</v>
      </c>
      <c r="G377" s="20" t="s">
        <v>43</v>
      </c>
      <c r="H377" t="s">
        <v>7</v>
      </c>
      <c r="I377" t="str">
        <f t="shared" si="10"/>
        <v>Tetragonula species</v>
      </c>
      <c r="J377" t="s">
        <v>42</v>
      </c>
      <c r="K377" t="s">
        <v>334</v>
      </c>
      <c r="L377" t="s">
        <v>44</v>
      </c>
      <c r="M377" t="s">
        <v>45</v>
      </c>
      <c r="N377">
        <v>240</v>
      </c>
      <c r="O377" t="s">
        <v>119</v>
      </c>
      <c r="P377" t="s">
        <v>30</v>
      </c>
      <c r="Q377" s="4">
        <v>44714</v>
      </c>
      <c r="R377">
        <v>0</v>
      </c>
      <c r="S377" t="s">
        <v>107</v>
      </c>
      <c r="T377" t="s">
        <v>107</v>
      </c>
      <c r="U377" t="s">
        <v>271</v>
      </c>
      <c r="V377">
        <v>0</v>
      </c>
      <c r="AD377">
        <v>1</v>
      </c>
      <c r="AF377">
        <v>45</v>
      </c>
      <c r="AI377">
        <v>143</v>
      </c>
    </row>
    <row r="378" spans="1:35" x14ac:dyDescent="0.35">
      <c r="A378" t="s">
        <v>91</v>
      </c>
      <c r="B378" t="s">
        <v>24</v>
      </c>
      <c r="C378" t="s">
        <v>33</v>
      </c>
      <c r="D378" t="s">
        <v>34</v>
      </c>
      <c r="E378" t="s">
        <v>309</v>
      </c>
      <c r="F378" t="s">
        <v>42</v>
      </c>
      <c r="G378" s="20" t="s">
        <v>43</v>
      </c>
      <c r="H378" t="s">
        <v>7</v>
      </c>
      <c r="I378" t="str">
        <f t="shared" si="10"/>
        <v>Tetragonula species</v>
      </c>
      <c r="J378" t="s">
        <v>42</v>
      </c>
      <c r="K378" t="s">
        <v>334</v>
      </c>
      <c r="L378" t="s">
        <v>44</v>
      </c>
      <c r="M378" t="s">
        <v>45</v>
      </c>
      <c r="N378">
        <v>241</v>
      </c>
      <c r="O378" t="s">
        <v>119</v>
      </c>
      <c r="P378" t="s">
        <v>30</v>
      </c>
      <c r="Q378" s="4">
        <v>44714</v>
      </c>
      <c r="R378">
        <v>0</v>
      </c>
      <c r="S378" t="s">
        <v>107</v>
      </c>
      <c r="T378" t="s">
        <v>107</v>
      </c>
      <c r="U378" t="s">
        <v>271</v>
      </c>
      <c r="V378">
        <v>0</v>
      </c>
      <c r="AD378">
        <v>1</v>
      </c>
      <c r="AF378">
        <v>45</v>
      </c>
      <c r="AI378">
        <v>144</v>
      </c>
    </row>
    <row r="379" spans="1:35" x14ac:dyDescent="0.35">
      <c r="A379" t="s">
        <v>91</v>
      </c>
      <c r="B379" t="s">
        <v>24</v>
      </c>
      <c r="C379" t="s">
        <v>33</v>
      </c>
      <c r="D379" t="s">
        <v>34</v>
      </c>
      <c r="E379" t="s">
        <v>309</v>
      </c>
      <c r="F379" t="s">
        <v>42</v>
      </c>
      <c r="G379" s="20" t="s">
        <v>43</v>
      </c>
      <c r="H379" t="s">
        <v>7</v>
      </c>
      <c r="I379" t="str">
        <f t="shared" si="10"/>
        <v>Tetragonula species</v>
      </c>
      <c r="J379" t="s">
        <v>42</v>
      </c>
      <c r="K379" t="s">
        <v>334</v>
      </c>
      <c r="L379" t="s">
        <v>44</v>
      </c>
      <c r="M379" t="s">
        <v>45</v>
      </c>
      <c r="N379">
        <v>242</v>
      </c>
      <c r="O379" t="s">
        <v>119</v>
      </c>
      <c r="P379" t="s">
        <v>30</v>
      </c>
      <c r="Q379" s="4">
        <v>44714</v>
      </c>
      <c r="R379">
        <v>0</v>
      </c>
      <c r="S379" t="s">
        <v>107</v>
      </c>
      <c r="T379" t="s">
        <v>107</v>
      </c>
      <c r="U379" t="s">
        <v>271</v>
      </c>
      <c r="V379">
        <v>0</v>
      </c>
      <c r="AD379">
        <v>1</v>
      </c>
      <c r="AF379">
        <v>45</v>
      </c>
      <c r="AI379">
        <v>145</v>
      </c>
    </row>
    <row r="380" spans="1:35" x14ac:dyDescent="0.35">
      <c r="A380" t="s">
        <v>91</v>
      </c>
      <c r="B380" t="s">
        <v>24</v>
      </c>
      <c r="C380" t="s">
        <v>33</v>
      </c>
      <c r="D380" t="s">
        <v>34</v>
      </c>
      <c r="E380" t="s">
        <v>309</v>
      </c>
      <c r="F380" t="s">
        <v>42</v>
      </c>
      <c r="G380" s="20" t="s">
        <v>43</v>
      </c>
      <c r="H380" t="s">
        <v>7</v>
      </c>
      <c r="I380" t="str">
        <f t="shared" si="10"/>
        <v>Tetragonula species</v>
      </c>
      <c r="J380" t="s">
        <v>42</v>
      </c>
      <c r="K380" t="s">
        <v>334</v>
      </c>
      <c r="L380" t="s">
        <v>44</v>
      </c>
      <c r="M380" t="s">
        <v>45</v>
      </c>
      <c r="N380">
        <v>243</v>
      </c>
      <c r="O380" t="s">
        <v>119</v>
      </c>
      <c r="P380" t="s">
        <v>30</v>
      </c>
      <c r="Q380" s="4">
        <v>44714</v>
      </c>
      <c r="R380">
        <v>1</v>
      </c>
      <c r="S380" t="s">
        <v>107</v>
      </c>
      <c r="T380" t="s">
        <v>107</v>
      </c>
      <c r="U380" t="s">
        <v>271</v>
      </c>
      <c r="V380">
        <v>0</v>
      </c>
      <c r="AD380">
        <v>1</v>
      </c>
      <c r="AF380">
        <v>45</v>
      </c>
      <c r="AI380">
        <v>146</v>
      </c>
    </row>
    <row r="381" spans="1:35" x14ac:dyDescent="0.35">
      <c r="A381" t="s">
        <v>91</v>
      </c>
      <c r="B381" t="s">
        <v>24</v>
      </c>
      <c r="C381" t="s">
        <v>33</v>
      </c>
      <c r="D381" t="s">
        <v>34</v>
      </c>
      <c r="E381" t="s">
        <v>309</v>
      </c>
      <c r="F381" t="s">
        <v>42</v>
      </c>
      <c r="G381" s="20" t="s">
        <v>43</v>
      </c>
      <c r="H381" t="s">
        <v>7</v>
      </c>
      <c r="I381" t="str">
        <f t="shared" si="10"/>
        <v>Tetragonula species</v>
      </c>
      <c r="J381" t="s">
        <v>42</v>
      </c>
      <c r="K381" t="s">
        <v>334</v>
      </c>
      <c r="L381" t="s">
        <v>44</v>
      </c>
      <c r="M381" t="s">
        <v>45</v>
      </c>
      <c r="N381">
        <v>244</v>
      </c>
      <c r="O381" t="s">
        <v>119</v>
      </c>
      <c r="P381" t="s">
        <v>30</v>
      </c>
      <c r="Q381" s="4">
        <v>44714</v>
      </c>
      <c r="R381">
        <v>1</v>
      </c>
      <c r="S381" t="s">
        <v>107</v>
      </c>
      <c r="T381" t="s">
        <v>107</v>
      </c>
      <c r="U381" t="s">
        <v>271</v>
      </c>
      <c r="V381">
        <v>0</v>
      </c>
      <c r="AD381">
        <v>1</v>
      </c>
      <c r="AF381">
        <v>30</v>
      </c>
      <c r="AI381">
        <v>147</v>
      </c>
    </row>
    <row r="382" spans="1:35" x14ac:dyDescent="0.35">
      <c r="A382" t="s">
        <v>91</v>
      </c>
      <c r="B382" t="s">
        <v>24</v>
      </c>
      <c r="C382" t="s">
        <v>33</v>
      </c>
      <c r="D382" t="s">
        <v>34</v>
      </c>
      <c r="E382" t="s">
        <v>309</v>
      </c>
      <c r="F382" t="s">
        <v>42</v>
      </c>
      <c r="G382" s="20" t="s">
        <v>43</v>
      </c>
      <c r="H382" t="s">
        <v>7</v>
      </c>
      <c r="I382" t="str">
        <f t="shared" si="10"/>
        <v>Tetragonula species</v>
      </c>
      <c r="J382" t="s">
        <v>42</v>
      </c>
      <c r="K382" t="s">
        <v>334</v>
      </c>
      <c r="L382" t="s">
        <v>44</v>
      </c>
      <c r="M382" t="s">
        <v>45</v>
      </c>
      <c r="N382">
        <v>245</v>
      </c>
      <c r="O382" t="s">
        <v>119</v>
      </c>
      <c r="P382" t="s">
        <v>30</v>
      </c>
      <c r="Q382" s="4">
        <v>44714</v>
      </c>
      <c r="R382">
        <v>0</v>
      </c>
      <c r="S382" t="s">
        <v>107</v>
      </c>
      <c r="T382" t="s">
        <v>107</v>
      </c>
      <c r="U382" t="s">
        <v>271</v>
      </c>
      <c r="V382">
        <v>0</v>
      </c>
      <c r="AD382">
        <v>1</v>
      </c>
      <c r="AF382">
        <v>30</v>
      </c>
      <c r="AI382">
        <v>148</v>
      </c>
    </row>
    <row r="383" spans="1:35" x14ac:dyDescent="0.35">
      <c r="A383" t="s">
        <v>91</v>
      </c>
      <c r="B383" t="s">
        <v>24</v>
      </c>
      <c r="C383" t="s">
        <v>33</v>
      </c>
      <c r="D383" t="s">
        <v>34</v>
      </c>
      <c r="E383" t="s">
        <v>309</v>
      </c>
      <c r="F383" t="s">
        <v>42</v>
      </c>
      <c r="G383" s="20" t="s">
        <v>43</v>
      </c>
      <c r="H383" t="s">
        <v>7</v>
      </c>
      <c r="I383" t="str">
        <f t="shared" si="10"/>
        <v>Tetragonula species</v>
      </c>
      <c r="J383" t="s">
        <v>42</v>
      </c>
      <c r="K383" t="s">
        <v>334</v>
      </c>
      <c r="L383" t="s">
        <v>44</v>
      </c>
      <c r="M383" t="s">
        <v>45</v>
      </c>
      <c r="N383">
        <v>246</v>
      </c>
      <c r="O383" t="s">
        <v>119</v>
      </c>
      <c r="P383" t="s">
        <v>30</v>
      </c>
      <c r="Q383" s="4">
        <v>44714</v>
      </c>
      <c r="R383">
        <v>0</v>
      </c>
      <c r="S383" t="s">
        <v>107</v>
      </c>
      <c r="T383" t="s">
        <v>107</v>
      </c>
      <c r="U383" t="s">
        <v>271</v>
      </c>
      <c r="V383">
        <v>0</v>
      </c>
      <c r="AD383">
        <v>1</v>
      </c>
      <c r="AF383">
        <v>30</v>
      </c>
      <c r="AI383">
        <v>149</v>
      </c>
    </row>
    <row r="384" spans="1:35" x14ac:dyDescent="0.35">
      <c r="A384" t="s">
        <v>91</v>
      </c>
      <c r="B384" t="s">
        <v>24</v>
      </c>
      <c r="C384" t="s">
        <v>33</v>
      </c>
      <c r="D384" t="s">
        <v>34</v>
      </c>
      <c r="E384" t="s">
        <v>309</v>
      </c>
      <c r="F384" t="s">
        <v>42</v>
      </c>
      <c r="G384" s="20" t="s">
        <v>43</v>
      </c>
      <c r="H384" t="s">
        <v>7</v>
      </c>
      <c r="I384" t="str">
        <f t="shared" si="10"/>
        <v>Tetragonula species</v>
      </c>
      <c r="J384" t="s">
        <v>42</v>
      </c>
      <c r="K384" t="s">
        <v>334</v>
      </c>
      <c r="L384" t="s">
        <v>44</v>
      </c>
      <c r="M384" t="s">
        <v>45</v>
      </c>
      <c r="N384">
        <v>247</v>
      </c>
      <c r="O384" t="s">
        <v>119</v>
      </c>
      <c r="P384" t="s">
        <v>30</v>
      </c>
      <c r="Q384" s="4">
        <v>44714</v>
      </c>
      <c r="R384">
        <v>0</v>
      </c>
      <c r="S384" t="s">
        <v>107</v>
      </c>
      <c r="T384" t="s">
        <v>107</v>
      </c>
      <c r="U384" t="s">
        <v>271</v>
      </c>
      <c r="V384">
        <v>0</v>
      </c>
      <c r="AD384">
        <v>1</v>
      </c>
      <c r="AF384">
        <v>30</v>
      </c>
      <c r="AI384">
        <v>150</v>
      </c>
    </row>
    <row r="385" spans="1:35" x14ac:dyDescent="0.35">
      <c r="A385" t="s">
        <v>91</v>
      </c>
      <c r="B385" t="s">
        <v>24</v>
      </c>
      <c r="C385" t="s">
        <v>33</v>
      </c>
      <c r="D385" t="s">
        <v>34</v>
      </c>
      <c r="E385" t="s">
        <v>309</v>
      </c>
      <c r="F385" t="s">
        <v>42</v>
      </c>
      <c r="G385" s="20" t="s">
        <v>43</v>
      </c>
      <c r="H385" t="s">
        <v>7</v>
      </c>
      <c r="I385" t="str">
        <f t="shared" si="10"/>
        <v>Tetragonula species</v>
      </c>
      <c r="J385" t="s">
        <v>42</v>
      </c>
      <c r="K385" t="s">
        <v>334</v>
      </c>
      <c r="L385" t="s">
        <v>44</v>
      </c>
      <c r="M385" t="s">
        <v>45</v>
      </c>
      <c r="N385">
        <v>248</v>
      </c>
      <c r="O385" t="s">
        <v>119</v>
      </c>
      <c r="P385" t="s">
        <v>30</v>
      </c>
      <c r="Q385" s="4">
        <v>44714</v>
      </c>
      <c r="R385">
        <v>0</v>
      </c>
      <c r="S385" t="s">
        <v>107</v>
      </c>
      <c r="T385" t="s">
        <v>107</v>
      </c>
      <c r="U385" t="s">
        <v>271</v>
      </c>
      <c r="V385">
        <v>0</v>
      </c>
      <c r="AD385">
        <v>1</v>
      </c>
      <c r="AF385">
        <v>30</v>
      </c>
      <c r="AI385">
        <v>151</v>
      </c>
    </row>
    <row r="386" spans="1:35" x14ac:dyDescent="0.35">
      <c r="A386" t="s">
        <v>91</v>
      </c>
      <c r="B386" t="s">
        <v>24</v>
      </c>
      <c r="C386" t="s">
        <v>33</v>
      </c>
      <c r="D386" t="s">
        <v>34</v>
      </c>
      <c r="E386" t="s">
        <v>309</v>
      </c>
      <c r="F386" t="s">
        <v>42</v>
      </c>
      <c r="G386" s="20" t="s">
        <v>43</v>
      </c>
      <c r="H386" t="s">
        <v>7</v>
      </c>
      <c r="I386" t="str">
        <f t="shared" si="10"/>
        <v>Tetragonula species</v>
      </c>
      <c r="J386" t="s">
        <v>42</v>
      </c>
      <c r="K386" t="s">
        <v>334</v>
      </c>
      <c r="L386" t="s">
        <v>44</v>
      </c>
      <c r="M386" t="s">
        <v>45</v>
      </c>
      <c r="N386">
        <v>249</v>
      </c>
      <c r="O386" t="s">
        <v>119</v>
      </c>
      <c r="P386" t="s">
        <v>30</v>
      </c>
      <c r="Q386" s="4">
        <v>44714</v>
      </c>
      <c r="R386">
        <v>0</v>
      </c>
      <c r="S386" t="s">
        <v>107</v>
      </c>
      <c r="T386" t="s">
        <v>107</v>
      </c>
      <c r="U386" t="s">
        <v>271</v>
      </c>
      <c r="V386">
        <v>0</v>
      </c>
      <c r="AD386">
        <v>1</v>
      </c>
      <c r="AF386">
        <v>30</v>
      </c>
      <c r="AI386">
        <v>152</v>
      </c>
    </row>
    <row r="387" spans="1:35" x14ac:dyDescent="0.35">
      <c r="A387" t="s">
        <v>91</v>
      </c>
      <c r="B387" t="s">
        <v>24</v>
      </c>
      <c r="C387" t="s">
        <v>33</v>
      </c>
      <c r="D387" t="s">
        <v>34</v>
      </c>
      <c r="E387" t="s">
        <v>309</v>
      </c>
      <c r="F387" t="s">
        <v>42</v>
      </c>
      <c r="G387" s="20" t="s">
        <v>43</v>
      </c>
      <c r="H387" t="s">
        <v>7</v>
      </c>
      <c r="I387" t="str">
        <f t="shared" si="10"/>
        <v>Tetragonula species</v>
      </c>
      <c r="J387" t="s">
        <v>42</v>
      </c>
      <c r="K387" t="s">
        <v>334</v>
      </c>
      <c r="L387" t="s">
        <v>44</v>
      </c>
      <c r="M387" t="s">
        <v>45</v>
      </c>
      <c r="N387">
        <v>250</v>
      </c>
      <c r="O387" t="s">
        <v>119</v>
      </c>
      <c r="P387" t="s">
        <v>30</v>
      </c>
      <c r="Q387" s="4">
        <v>44714</v>
      </c>
      <c r="R387">
        <v>0</v>
      </c>
      <c r="S387" t="s">
        <v>107</v>
      </c>
      <c r="T387" t="s">
        <v>107</v>
      </c>
      <c r="U387" t="s">
        <v>271</v>
      </c>
      <c r="V387">
        <v>0</v>
      </c>
      <c r="AD387">
        <v>1</v>
      </c>
      <c r="AF387">
        <v>30</v>
      </c>
      <c r="AI387">
        <v>153</v>
      </c>
    </row>
    <row r="388" spans="1:35" x14ac:dyDescent="0.35">
      <c r="A388" t="s">
        <v>91</v>
      </c>
      <c r="B388" t="s">
        <v>24</v>
      </c>
      <c r="C388" t="s">
        <v>33</v>
      </c>
      <c r="D388" t="s">
        <v>34</v>
      </c>
      <c r="E388" t="s">
        <v>309</v>
      </c>
      <c r="F388" t="s">
        <v>42</v>
      </c>
      <c r="G388" s="20" t="s">
        <v>43</v>
      </c>
      <c r="H388" t="s">
        <v>7</v>
      </c>
      <c r="I388" t="str">
        <f t="shared" si="10"/>
        <v>Tetragonula species</v>
      </c>
      <c r="J388" t="s">
        <v>42</v>
      </c>
      <c r="K388" t="s">
        <v>334</v>
      </c>
      <c r="L388" t="s">
        <v>44</v>
      </c>
      <c r="M388" t="s">
        <v>45</v>
      </c>
      <c r="N388">
        <v>251</v>
      </c>
      <c r="O388" t="s">
        <v>119</v>
      </c>
      <c r="P388" t="s">
        <v>30</v>
      </c>
      <c r="Q388" s="4">
        <v>44714</v>
      </c>
      <c r="R388">
        <v>0</v>
      </c>
      <c r="S388" t="s">
        <v>107</v>
      </c>
      <c r="T388" t="s">
        <v>107</v>
      </c>
      <c r="U388" t="s">
        <v>271</v>
      </c>
      <c r="V388">
        <v>0</v>
      </c>
      <c r="AD388">
        <v>1</v>
      </c>
      <c r="AF388">
        <v>30</v>
      </c>
      <c r="AI388">
        <v>154</v>
      </c>
    </row>
    <row r="389" spans="1:35" x14ac:dyDescent="0.35">
      <c r="A389" t="s">
        <v>91</v>
      </c>
      <c r="B389" t="s">
        <v>24</v>
      </c>
      <c r="C389" t="s">
        <v>33</v>
      </c>
      <c r="D389" t="s">
        <v>34</v>
      </c>
      <c r="E389" t="s">
        <v>309</v>
      </c>
      <c r="F389" t="s">
        <v>42</v>
      </c>
      <c r="G389" s="20" t="s">
        <v>43</v>
      </c>
      <c r="H389" t="s">
        <v>7</v>
      </c>
      <c r="I389" t="str">
        <f t="shared" si="10"/>
        <v>Tetragonula species</v>
      </c>
      <c r="J389" t="s">
        <v>42</v>
      </c>
      <c r="K389" t="s">
        <v>334</v>
      </c>
      <c r="L389" t="s">
        <v>44</v>
      </c>
      <c r="M389" t="s">
        <v>45</v>
      </c>
      <c r="N389">
        <v>252</v>
      </c>
      <c r="O389" t="s">
        <v>119</v>
      </c>
      <c r="P389" t="s">
        <v>30</v>
      </c>
      <c r="Q389" s="4">
        <v>44714</v>
      </c>
      <c r="R389">
        <v>0</v>
      </c>
      <c r="S389" t="s">
        <v>107</v>
      </c>
      <c r="T389" t="s">
        <v>107</v>
      </c>
      <c r="U389" t="s">
        <v>271</v>
      </c>
      <c r="V389">
        <v>0</v>
      </c>
      <c r="AD389">
        <v>1</v>
      </c>
      <c r="AF389">
        <v>30</v>
      </c>
      <c r="AI389">
        <v>155</v>
      </c>
    </row>
    <row r="390" spans="1:35" x14ac:dyDescent="0.35">
      <c r="A390" t="s">
        <v>91</v>
      </c>
      <c r="B390" t="s">
        <v>24</v>
      </c>
      <c r="C390" t="s">
        <v>33</v>
      </c>
      <c r="D390" t="s">
        <v>34</v>
      </c>
      <c r="E390" t="s">
        <v>309</v>
      </c>
      <c r="F390" t="s">
        <v>42</v>
      </c>
      <c r="G390" s="20" t="s">
        <v>43</v>
      </c>
      <c r="H390" t="s">
        <v>7</v>
      </c>
      <c r="I390" t="str">
        <f t="shared" si="10"/>
        <v>Tetragonula species</v>
      </c>
      <c r="J390" t="s">
        <v>42</v>
      </c>
      <c r="K390" t="s">
        <v>334</v>
      </c>
      <c r="L390" t="s">
        <v>44</v>
      </c>
      <c r="M390" t="s">
        <v>45</v>
      </c>
      <c r="N390">
        <v>253</v>
      </c>
      <c r="O390" t="s">
        <v>119</v>
      </c>
      <c r="P390" t="s">
        <v>30</v>
      </c>
      <c r="Q390" s="4">
        <v>44714</v>
      </c>
      <c r="R390">
        <v>0</v>
      </c>
      <c r="S390" t="s">
        <v>107</v>
      </c>
      <c r="T390" t="s">
        <v>107</v>
      </c>
      <c r="U390" t="s">
        <v>271</v>
      </c>
      <c r="V390">
        <v>0</v>
      </c>
      <c r="AD390">
        <v>1</v>
      </c>
      <c r="AF390">
        <v>30</v>
      </c>
      <c r="AI390">
        <v>156</v>
      </c>
    </row>
    <row r="391" spans="1:35" x14ac:dyDescent="0.35">
      <c r="A391" t="s">
        <v>91</v>
      </c>
      <c r="B391" t="s">
        <v>24</v>
      </c>
      <c r="C391" t="s">
        <v>33</v>
      </c>
      <c r="D391" t="s">
        <v>34</v>
      </c>
      <c r="E391" t="s">
        <v>309</v>
      </c>
      <c r="F391" t="s">
        <v>42</v>
      </c>
      <c r="G391" s="20" t="s">
        <v>43</v>
      </c>
      <c r="H391" t="s">
        <v>7</v>
      </c>
      <c r="I391" t="str">
        <f t="shared" si="10"/>
        <v>Tetragonula species</v>
      </c>
      <c r="J391" t="s">
        <v>42</v>
      </c>
      <c r="K391" t="s">
        <v>334</v>
      </c>
      <c r="L391" t="s">
        <v>44</v>
      </c>
      <c r="M391" t="s">
        <v>45</v>
      </c>
      <c r="N391">
        <v>254</v>
      </c>
      <c r="O391" t="s">
        <v>119</v>
      </c>
      <c r="P391" t="s">
        <v>30</v>
      </c>
      <c r="Q391" s="4">
        <v>44714</v>
      </c>
      <c r="R391">
        <v>1</v>
      </c>
      <c r="S391" t="s">
        <v>107</v>
      </c>
      <c r="T391" t="s">
        <v>107</v>
      </c>
      <c r="U391" t="s">
        <v>271</v>
      </c>
      <c r="V391">
        <v>0</v>
      </c>
      <c r="AD391">
        <v>1</v>
      </c>
      <c r="AF391">
        <v>30</v>
      </c>
      <c r="AI391">
        <v>157</v>
      </c>
    </row>
    <row r="392" spans="1:35" x14ac:dyDescent="0.35">
      <c r="A392" t="s">
        <v>91</v>
      </c>
      <c r="B392" t="s">
        <v>24</v>
      </c>
      <c r="C392" t="s">
        <v>33</v>
      </c>
      <c r="D392" t="s">
        <v>34</v>
      </c>
      <c r="E392" t="s">
        <v>309</v>
      </c>
      <c r="F392" t="s">
        <v>42</v>
      </c>
      <c r="G392" s="20" t="s">
        <v>43</v>
      </c>
      <c r="H392" t="s">
        <v>7</v>
      </c>
      <c r="I392" t="str">
        <f t="shared" si="10"/>
        <v>Tetragonula species</v>
      </c>
      <c r="J392" t="s">
        <v>42</v>
      </c>
      <c r="K392" t="s">
        <v>334</v>
      </c>
      <c r="L392" t="s">
        <v>44</v>
      </c>
      <c r="M392" t="s">
        <v>45</v>
      </c>
      <c r="N392">
        <v>255</v>
      </c>
      <c r="O392" t="s">
        <v>119</v>
      </c>
      <c r="P392" t="s">
        <v>30</v>
      </c>
      <c r="Q392" s="4">
        <v>44714</v>
      </c>
      <c r="R392">
        <v>0</v>
      </c>
      <c r="S392" t="s">
        <v>107</v>
      </c>
      <c r="T392" t="s">
        <v>107</v>
      </c>
      <c r="U392" t="s">
        <v>271</v>
      </c>
      <c r="V392">
        <v>0</v>
      </c>
      <c r="AD392">
        <v>1</v>
      </c>
      <c r="AF392">
        <v>30</v>
      </c>
      <c r="AI392">
        <v>158</v>
      </c>
    </row>
    <row r="393" spans="1:35" x14ac:dyDescent="0.35">
      <c r="A393" t="s">
        <v>91</v>
      </c>
      <c r="B393" t="s">
        <v>24</v>
      </c>
      <c r="C393" t="s">
        <v>33</v>
      </c>
      <c r="D393" t="s">
        <v>34</v>
      </c>
      <c r="E393" t="s">
        <v>309</v>
      </c>
      <c r="F393" t="s">
        <v>42</v>
      </c>
      <c r="G393" s="20" t="s">
        <v>43</v>
      </c>
      <c r="H393" t="s">
        <v>7</v>
      </c>
      <c r="I393" t="str">
        <f t="shared" si="10"/>
        <v>Tetragonula species</v>
      </c>
      <c r="J393" t="s">
        <v>42</v>
      </c>
      <c r="K393" t="s">
        <v>334</v>
      </c>
      <c r="L393" t="s">
        <v>44</v>
      </c>
      <c r="M393" t="s">
        <v>45</v>
      </c>
      <c r="N393">
        <v>256</v>
      </c>
      <c r="O393" t="s">
        <v>119</v>
      </c>
      <c r="P393" t="s">
        <v>30</v>
      </c>
      <c r="Q393" s="4">
        <v>44714</v>
      </c>
      <c r="R393">
        <v>0</v>
      </c>
      <c r="S393" t="s">
        <v>107</v>
      </c>
      <c r="T393" t="s">
        <v>107</v>
      </c>
      <c r="U393" t="s">
        <v>271</v>
      </c>
      <c r="V393">
        <v>0</v>
      </c>
      <c r="AD393">
        <v>1</v>
      </c>
      <c r="AF393">
        <v>30</v>
      </c>
      <c r="AI393">
        <v>159</v>
      </c>
    </row>
    <row r="394" spans="1:35" x14ac:dyDescent="0.35">
      <c r="A394" t="s">
        <v>91</v>
      </c>
      <c r="B394" t="s">
        <v>24</v>
      </c>
      <c r="C394" t="s">
        <v>33</v>
      </c>
      <c r="D394" t="s">
        <v>34</v>
      </c>
      <c r="E394" t="s">
        <v>309</v>
      </c>
      <c r="F394" t="s">
        <v>42</v>
      </c>
      <c r="G394" s="20" t="s">
        <v>43</v>
      </c>
      <c r="H394" t="s">
        <v>7</v>
      </c>
      <c r="I394" t="str">
        <f t="shared" si="10"/>
        <v>Tetragonula species</v>
      </c>
      <c r="J394" t="s">
        <v>42</v>
      </c>
      <c r="K394" t="s">
        <v>334</v>
      </c>
      <c r="L394" t="s">
        <v>44</v>
      </c>
      <c r="M394" t="s">
        <v>45</v>
      </c>
      <c r="N394">
        <v>257</v>
      </c>
      <c r="O394" t="s">
        <v>119</v>
      </c>
      <c r="P394" t="s">
        <v>30</v>
      </c>
      <c r="Q394" s="4">
        <v>44714</v>
      </c>
      <c r="R394">
        <v>0</v>
      </c>
      <c r="S394" t="s">
        <v>107</v>
      </c>
      <c r="T394" t="s">
        <v>107</v>
      </c>
      <c r="U394" t="s">
        <v>271</v>
      </c>
      <c r="V394">
        <v>0</v>
      </c>
      <c r="AD394">
        <v>1</v>
      </c>
      <c r="AF394">
        <v>30</v>
      </c>
      <c r="AI394">
        <v>160</v>
      </c>
    </row>
    <row r="395" spans="1:35" x14ac:dyDescent="0.35">
      <c r="A395" t="s">
        <v>91</v>
      </c>
      <c r="B395" t="s">
        <v>24</v>
      </c>
      <c r="C395" t="s">
        <v>33</v>
      </c>
      <c r="D395" t="s">
        <v>34</v>
      </c>
      <c r="E395" t="s">
        <v>309</v>
      </c>
      <c r="F395" t="s">
        <v>42</v>
      </c>
      <c r="G395" s="20" t="s">
        <v>43</v>
      </c>
      <c r="H395" t="s">
        <v>7</v>
      </c>
      <c r="I395" t="str">
        <f t="shared" si="10"/>
        <v>Tetragonula species</v>
      </c>
      <c r="J395" t="s">
        <v>42</v>
      </c>
      <c r="K395" t="s">
        <v>334</v>
      </c>
      <c r="L395" t="s">
        <v>44</v>
      </c>
      <c r="M395" t="s">
        <v>45</v>
      </c>
      <c r="N395">
        <v>258</v>
      </c>
      <c r="O395" t="s">
        <v>119</v>
      </c>
      <c r="P395" t="s">
        <v>30</v>
      </c>
      <c r="Q395" s="4">
        <v>44714</v>
      </c>
      <c r="R395">
        <v>0</v>
      </c>
      <c r="S395" t="s">
        <v>107</v>
      </c>
      <c r="T395" t="s">
        <v>107</v>
      </c>
      <c r="U395" t="s">
        <v>271</v>
      </c>
      <c r="V395">
        <v>0</v>
      </c>
      <c r="AD395">
        <v>1</v>
      </c>
      <c r="AF395">
        <v>30</v>
      </c>
      <c r="AI395">
        <v>161</v>
      </c>
    </row>
    <row r="396" spans="1:35" x14ac:dyDescent="0.35">
      <c r="A396" t="s">
        <v>91</v>
      </c>
      <c r="B396" t="s">
        <v>24</v>
      </c>
      <c r="C396" t="s">
        <v>33</v>
      </c>
      <c r="D396" t="s">
        <v>34</v>
      </c>
      <c r="E396" t="s">
        <v>309</v>
      </c>
      <c r="F396" t="s">
        <v>42</v>
      </c>
      <c r="G396" s="20" t="s">
        <v>43</v>
      </c>
      <c r="H396" t="s">
        <v>7</v>
      </c>
      <c r="I396" t="str">
        <f t="shared" si="10"/>
        <v>Tetragonula species</v>
      </c>
      <c r="J396" t="s">
        <v>42</v>
      </c>
      <c r="K396" t="s">
        <v>334</v>
      </c>
      <c r="L396" t="s">
        <v>44</v>
      </c>
      <c r="M396" t="s">
        <v>45</v>
      </c>
      <c r="N396">
        <v>259</v>
      </c>
      <c r="O396" t="s">
        <v>119</v>
      </c>
      <c r="P396" t="s">
        <v>30</v>
      </c>
      <c r="Q396" s="4">
        <v>44714</v>
      </c>
      <c r="R396">
        <v>0</v>
      </c>
      <c r="S396" t="s">
        <v>107</v>
      </c>
      <c r="T396" t="s">
        <v>107</v>
      </c>
      <c r="U396" t="s">
        <v>271</v>
      </c>
      <c r="V396">
        <v>0</v>
      </c>
      <c r="AD396">
        <v>1</v>
      </c>
      <c r="AF396">
        <v>30</v>
      </c>
      <c r="AI396">
        <v>162</v>
      </c>
    </row>
    <row r="397" spans="1:35" x14ac:dyDescent="0.35">
      <c r="A397" t="s">
        <v>91</v>
      </c>
      <c r="B397" t="s">
        <v>24</v>
      </c>
      <c r="C397" t="s">
        <v>33</v>
      </c>
      <c r="D397" t="s">
        <v>34</v>
      </c>
      <c r="E397" t="s">
        <v>309</v>
      </c>
      <c r="F397" t="s">
        <v>42</v>
      </c>
      <c r="G397" s="20" t="s">
        <v>43</v>
      </c>
      <c r="H397" t="s">
        <v>7</v>
      </c>
      <c r="I397" t="str">
        <f t="shared" si="10"/>
        <v>Tetragonula species</v>
      </c>
      <c r="J397" t="s">
        <v>42</v>
      </c>
      <c r="K397" t="s">
        <v>334</v>
      </c>
      <c r="L397" t="s">
        <v>44</v>
      </c>
      <c r="M397" t="s">
        <v>45</v>
      </c>
      <c r="N397">
        <v>260</v>
      </c>
      <c r="O397" t="s">
        <v>119</v>
      </c>
      <c r="P397" t="s">
        <v>30</v>
      </c>
      <c r="Q397" s="4">
        <v>44714</v>
      </c>
      <c r="R397">
        <v>0</v>
      </c>
      <c r="S397" t="s">
        <v>107</v>
      </c>
      <c r="T397" t="s">
        <v>107</v>
      </c>
      <c r="U397" t="s">
        <v>271</v>
      </c>
      <c r="V397">
        <v>0</v>
      </c>
      <c r="AD397">
        <v>1</v>
      </c>
      <c r="AF397">
        <v>30</v>
      </c>
      <c r="AI397">
        <v>163</v>
      </c>
    </row>
    <row r="398" spans="1:35" x14ac:dyDescent="0.35">
      <c r="A398" t="s">
        <v>91</v>
      </c>
      <c r="B398" t="s">
        <v>24</v>
      </c>
      <c r="C398" t="s">
        <v>33</v>
      </c>
      <c r="D398" t="s">
        <v>34</v>
      </c>
      <c r="E398" t="s">
        <v>309</v>
      </c>
      <c r="F398" t="s">
        <v>42</v>
      </c>
      <c r="G398" s="20" t="s">
        <v>43</v>
      </c>
      <c r="H398" t="s">
        <v>7</v>
      </c>
      <c r="I398" t="str">
        <f t="shared" si="10"/>
        <v>Tetragonula species</v>
      </c>
      <c r="J398" t="s">
        <v>42</v>
      </c>
      <c r="K398" t="s">
        <v>334</v>
      </c>
      <c r="L398" t="s">
        <v>44</v>
      </c>
      <c r="M398" t="s">
        <v>45</v>
      </c>
      <c r="N398">
        <v>261</v>
      </c>
      <c r="O398" t="s">
        <v>119</v>
      </c>
      <c r="P398" t="s">
        <v>30</v>
      </c>
      <c r="Q398" s="4">
        <v>44714</v>
      </c>
      <c r="R398">
        <v>1</v>
      </c>
      <c r="S398" t="s">
        <v>107</v>
      </c>
      <c r="T398" t="s">
        <v>107</v>
      </c>
      <c r="U398" t="s">
        <v>271</v>
      </c>
      <c r="V398">
        <v>0</v>
      </c>
      <c r="AD398">
        <v>1</v>
      </c>
      <c r="AF398">
        <v>19</v>
      </c>
      <c r="AI398">
        <v>164</v>
      </c>
    </row>
    <row r="399" spans="1:35" x14ac:dyDescent="0.35">
      <c r="A399" t="s">
        <v>91</v>
      </c>
      <c r="B399" t="s">
        <v>24</v>
      </c>
      <c r="C399" t="s">
        <v>33</v>
      </c>
      <c r="D399" t="s">
        <v>34</v>
      </c>
      <c r="E399" t="s">
        <v>309</v>
      </c>
      <c r="F399" t="s">
        <v>42</v>
      </c>
      <c r="G399" s="20" t="s">
        <v>43</v>
      </c>
      <c r="H399" t="s">
        <v>7</v>
      </c>
      <c r="I399" t="str">
        <f t="shared" si="10"/>
        <v>Tetragonula species</v>
      </c>
      <c r="J399" t="s">
        <v>42</v>
      </c>
      <c r="K399" t="s">
        <v>334</v>
      </c>
      <c r="L399" t="s">
        <v>44</v>
      </c>
      <c r="M399" t="s">
        <v>45</v>
      </c>
      <c r="N399">
        <v>262</v>
      </c>
      <c r="O399" t="s">
        <v>119</v>
      </c>
      <c r="P399" t="s">
        <v>30</v>
      </c>
      <c r="Q399" s="4">
        <v>44714</v>
      </c>
      <c r="R399">
        <v>0</v>
      </c>
      <c r="S399" t="s">
        <v>107</v>
      </c>
      <c r="T399" t="s">
        <v>107</v>
      </c>
      <c r="U399" t="s">
        <v>271</v>
      </c>
      <c r="V399">
        <v>0</v>
      </c>
      <c r="AD399">
        <v>1</v>
      </c>
      <c r="AF399">
        <v>19</v>
      </c>
      <c r="AI399">
        <v>165</v>
      </c>
    </row>
    <row r="400" spans="1:35" x14ac:dyDescent="0.35">
      <c r="A400" t="s">
        <v>91</v>
      </c>
      <c r="B400" t="s">
        <v>24</v>
      </c>
      <c r="C400" t="s">
        <v>33</v>
      </c>
      <c r="D400" t="s">
        <v>34</v>
      </c>
      <c r="E400" t="s">
        <v>309</v>
      </c>
      <c r="F400" t="s">
        <v>42</v>
      </c>
      <c r="G400" s="20" t="s">
        <v>43</v>
      </c>
      <c r="H400" t="s">
        <v>7</v>
      </c>
      <c r="I400" t="str">
        <f t="shared" si="10"/>
        <v>Tetragonula species</v>
      </c>
      <c r="J400" t="s">
        <v>42</v>
      </c>
      <c r="K400" t="s">
        <v>334</v>
      </c>
      <c r="L400" t="s">
        <v>44</v>
      </c>
      <c r="M400" t="s">
        <v>45</v>
      </c>
      <c r="N400">
        <v>263</v>
      </c>
      <c r="O400" t="s">
        <v>119</v>
      </c>
      <c r="P400" t="s">
        <v>30</v>
      </c>
      <c r="Q400" s="4">
        <v>44714</v>
      </c>
      <c r="R400">
        <v>0</v>
      </c>
      <c r="S400" t="s">
        <v>107</v>
      </c>
      <c r="T400" t="s">
        <v>107</v>
      </c>
      <c r="U400" t="s">
        <v>271</v>
      </c>
      <c r="V400">
        <v>0</v>
      </c>
      <c r="AD400">
        <v>1</v>
      </c>
      <c r="AF400">
        <v>19</v>
      </c>
      <c r="AI400">
        <v>166</v>
      </c>
    </row>
    <row r="401" spans="1:35" x14ac:dyDescent="0.35">
      <c r="A401" t="s">
        <v>91</v>
      </c>
      <c r="B401" t="s">
        <v>24</v>
      </c>
      <c r="C401" t="s">
        <v>33</v>
      </c>
      <c r="D401" t="s">
        <v>34</v>
      </c>
      <c r="E401" t="s">
        <v>309</v>
      </c>
      <c r="F401" t="s">
        <v>42</v>
      </c>
      <c r="G401" s="20" t="s">
        <v>43</v>
      </c>
      <c r="H401" t="s">
        <v>7</v>
      </c>
      <c r="I401" t="str">
        <f t="shared" si="10"/>
        <v>Tetragonula species</v>
      </c>
      <c r="J401" t="s">
        <v>42</v>
      </c>
      <c r="K401" t="s">
        <v>334</v>
      </c>
      <c r="L401" t="s">
        <v>44</v>
      </c>
      <c r="M401" t="s">
        <v>45</v>
      </c>
      <c r="N401">
        <v>264</v>
      </c>
      <c r="O401" t="s">
        <v>119</v>
      </c>
      <c r="P401" t="s">
        <v>30</v>
      </c>
      <c r="Q401" s="4">
        <v>44714</v>
      </c>
      <c r="R401">
        <v>0</v>
      </c>
      <c r="S401" t="s">
        <v>107</v>
      </c>
      <c r="T401" t="s">
        <v>107</v>
      </c>
      <c r="U401" t="s">
        <v>271</v>
      </c>
      <c r="V401">
        <v>0</v>
      </c>
      <c r="AD401">
        <v>1</v>
      </c>
      <c r="AF401">
        <v>19</v>
      </c>
      <c r="AI401">
        <v>167</v>
      </c>
    </row>
    <row r="402" spans="1:35" x14ac:dyDescent="0.35">
      <c r="A402" t="s">
        <v>91</v>
      </c>
      <c r="B402" t="s">
        <v>24</v>
      </c>
      <c r="C402" t="s">
        <v>33</v>
      </c>
      <c r="D402" t="s">
        <v>34</v>
      </c>
      <c r="E402" t="s">
        <v>309</v>
      </c>
      <c r="F402" t="s">
        <v>42</v>
      </c>
      <c r="G402" s="20" t="s">
        <v>43</v>
      </c>
      <c r="H402" t="s">
        <v>7</v>
      </c>
      <c r="I402" t="str">
        <f t="shared" si="10"/>
        <v>Tetragonula species</v>
      </c>
      <c r="J402" t="s">
        <v>42</v>
      </c>
      <c r="K402" t="s">
        <v>334</v>
      </c>
      <c r="L402" t="s">
        <v>44</v>
      </c>
      <c r="M402" t="s">
        <v>45</v>
      </c>
      <c r="N402">
        <v>265</v>
      </c>
      <c r="O402" t="s">
        <v>119</v>
      </c>
      <c r="P402" t="s">
        <v>30</v>
      </c>
      <c r="Q402" s="4">
        <v>44714</v>
      </c>
      <c r="R402">
        <v>0</v>
      </c>
      <c r="S402" t="s">
        <v>107</v>
      </c>
      <c r="T402" t="s">
        <v>107</v>
      </c>
      <c r="U402" t="s">
        <v>271</v>
      </c>
      <c r="V402">
        <v>0</v>
      </c>
      <c r="AD402">
        <v>1</v>
      </c>
      <c r="AF402">
        <v>19</v>
      </c>
      <c r="AI402">
        <v>168</v>
      </c>
    </row>
    <row r="403" spans="1:35" x14ac:dyDescent="0.35">
      <c r="A403" t="s">
        <v>91</v>
      </c>
      <c r="B403" t="s">
        <v>24</v>
      </c>
      <c r="C403" t="s">
        <v>33</v>
      </c>
      <c r="D403" t="s">
        <v>34</v>
      </c>
      <c r="E403" t="s">
        <v>309</v>
      </c>
      <c r="F403" t="s">
        <v>42</v>
      </c>
      <c r="G403" s="20" t="s">
        <v>43</v>
      </c>
      <c r="H403" t="s">
        <v>7</v>
      </c>
      <c r="I403" t="str">
        <f t="shared" si="10"/>
        <v>Tetragonula species</v>
      </c>
      <c r="J403" t="s">
        <v>42</v>
      </c>
      <c r="K403" t="s">
        <v>334</v>
      </c>
      <c r="L403" t="s">
        <v>44</v>
      </c>
      <c r="M403" t="s">
        <v>45</v>
      </c>
      <c r="N403">
        <v>266</v>
      </c>
      <c r="O403" t="s">
        <v>119</v>
      </c>
      <c r="P403" t="s">
        <v>30</v>
      </c>
      <c r="Q403" s="4">
        <v>44714</v>
      </c>
      <c r="R403">
        <v>0</v>
      </c>
      <c r="S403" t="s">
        <v>107</v>
      </c>
      <c r="T403" t="s">
        <v>107</v>
      </c>
      <c r="U403" t="s">
        <v>271</v>
      </c>
      <c r="V403">
        <v>0</v>
      </c>
      <c r="AD403">
        <v>1</v>
      </c>
      <c r="AF403">
        <v>19</v>
      </c>
      <c r="AI403">
        <v>169</v>
      </c>
    </row>
    <row r="404" spans="1:35" x14ac:dyDescent="0.35">
      <c r="A404" t="s">
        <v>91</v>
      </c>
      <c r="B404" t="s">
        <v>24</v>
      </c>
      <c r="C404" t="s">
        <v>33</v>
      </c>
      <c r="D404" t="s">
        <v>34</v>
      </c>
      <c r="E404" t="s">
        <v>309</v>
      </c>
      <c r="F404" t="s">
        <v>42</v>
      </c>
      <c r="G404" s="20" t="s">
        <v>43</v>
      </c>
      <c r="H404" t="s">
        <v>7</v>
      </c>
      <c r="I404" t="str">
        <f t="shared" si="10"/>
        <v>Tetragonula species</v>
      </c>
      <c r="J404" t="s">
        <v>42</v>
      </c>
      <c r="K404" t="s">
        <v>334</v>
      </c>
      <c r="L404" t="s">
        <v>44</v>
      </c>
      <c r="M404" t="s">
        <v>45</v>
      </c>
      <c r="N404">
        <v>267</v>
      </c>
      <c r="O404" t="s">
        <v>119</v>
      </c>
      <c r="P404" t="s">
        <v>30</v>
      </c>
      <c r="Q404" s="4">
        <v>44714</v>
      </c>
      <c r="R404">
        <v>0</v>
      </c>
      <c r="S404" t="s">
        <v>107</v>
      </c>
      <c r="T404" t="s">
        <v>107</v>
      </c>
      <c r="U404" t="s">
        <v>271</v>
      </c>
      <c r="V404">
        <v>0</v>
      </c>
      <c r="AD404">
        <v>1</v>
      </c>
      <c r="AF404">
        <v>19</v>
      </c>
      <c r="AI404">
        <v>170</v>
      </c>
    </row>
    <row r="405" spans="1:35" x14ac:dyDescent="0.35">
      <c r="A405" t="s">
        <v>91</v>
      </c>
      <c r="B405" t="s">
        <v>24</v>
      </c>
      <c r="C405" t="s">
        <v>33</v>
      </c>
      <c r="D405" t="s">
        <v>34</v>
      </c>
      <c r="E405" t="s">
        <v>309</v>
      </c>
      <c r="F405" t="s">
        <v>42</v>
      </c>
      <c r="G405" s="20" t="s">
        <v>43</v>
      </c>
      <c r="H405" t="s">
        <v>7</v>
      </c>
      <c r="I405" t="str">
        <f t="shared" si="10"/>
        <v>Tetragonula species</v>
      </c>
      <c r="J405" t="s">
        <v>42</v>
      </c>
      <c r="K405" t="s">
        <v>334</v>
      </c>
      <c r="L405" t="s">
        <v>44</v>
      </c>
      <c r="M405" t="s">
        <v>45</v>
      </c>
      <c r="N405">
        <v>268</v>
      </c>
      <c r="O405" t="s">
        <v>119</v>
      </c>
      <c r="P405" t="s">
        <v>30</v>
      </c>
      <c r="Q405" s="4">
        <v>44714</v>
      </c>
      <c r="R405">
        <v>1</v>
      </c>
      <c r="S405" t="s">
        <v>107</v>
      </c>
      <c r="T405" t="s">
        <v>107</v>
      </c>
      <c r="U405" t="s">
        <v>271</v>
      </c>
      <c r="V405">
        <v>0</v>
      </c>
      <c r="AD405">
        <v>1</v>
      </c>
      <c r="AF405">
        <v>19</v>
      </c>
      <c r="AI405">
        <v>171</v>
      </c>
    </row>
    <row r="406" spans="1:35" x14ac:dyDescent="0.35">
      <c r="A406" t="s">
        <v>91</v>
      </c>
      <c r="B406" t="s">
        <v>24</v>
      </c>
      <c r="C406" t="s">
        <v>33</v>
      </c>
      <c r="D406" t="s">
        <v>34</v>
      </c>
      <c r="E406" t="s">
        <v>309</v>
      </c>
      <c r="F406" t="s">
        <v>42</v>
      </c>
      <c r="G406" s="20" t="s">
        <v>43</v>
      </c>
      <c r="H406" t="s">
        <v>7</v>
      </c>
      <c r="I406" t="str">
        <f t="shared" si="10"/>
        <v>Tetragonula species</v>
      </c>
      <c r="J406" t="s">
        <v>42</v>
      </c>
      <c r="K406" t="s">
        <v>334</v>
      </c>
      <c r="L406" t="s">
        <v>44</v>
      </c>
      <c r="M406" t="s">
        <v>45</v>
      </c>
      <c r="N406">
        <v>269</v>
      </c>
      <c r="O406" t="s">
        <v>119</v>
      </c>
      <c r="P406" t="s">
        <v>30</v>
      </c>
      <c r="Q406" s="4">
        <v>44714</v>
      </c>
      <c r="R406">
        <v>0</v>
      </c>
      <c r="S406" t="s">
        <v>107</v>
      </c>
      <c r="T406" t="s">
        <v>107</v>
      </c>
      <c r="U406" t="s">
        <v>271</v>
      </c>
      <c r="V406">
        <v>0</v>
      </c>
      <c r="AD406">
        <v>1</v>
      </c>
      <c r="AF406">
        <v>19</v>
      </c>
      <c r="AI406">
        <v>172</v>
      </c>
    </row>
    <row r="407" spans="1:35" x14ac:dyDescent="0.35">
      <c r="A407" t="s">
        <v>91</v>
      </c>
      <c r="B407" t="s">
        <v>24</v>
      </c>
      <c r="C407" t="s">
        <v>33</v>
      </c>
      <c r="D407" t="s">
        <v>34</v>
      </c>
      <c r="E407" t="s">
        <v>309</v>
      </c>
      <c r="F407" t="s">
        <v>42</v>
      </c>
      <c r="G407" s="20" t="s">
        <v>43</v>
      </c>
      <c r="H407" t="s">
        <v>7</v>
      </c>
      <c r="I407" t="str">
        <f t="shared" si="10"/>
        <v>Tetragonula species</v>
      </c>
      <c r="J407" t="s">
        <v>42</v>
      </c>
      <c r="K407" t="s">
        <v>334</v>
      </c>
      <c r="L407" t="s">
        <v>44</v>
      </c>
      <c r="M407" t="s">
        <v>45</v>
      </c>
      <c r="N407">
        <v>270</v>
      </c>
      <c r="O407" t="s">
        <v>119</v>
      </c>
      <c r="P407" t="s">
        <v>30</v>
      </c>
      <c r="Q407" s="4">
        <v>44714</v>
      </c>
      <c r="R407">
        <v>1</v>
      </c>
      <c r="S407" t="s">
        <v>107</v>
      </c>
      <c r="T407" t="s">
        <v>107</v>
      </c>
      <c r="U407" t="s">
        <v>271</v>
      </c>
      <c r="V407">
        <v>0</v>
      </c>
      <c r="AD407">
        <v>1</v>
      </c>
      <c r="AF407">
        <v>19</v>
      </c>
      <c r="AI407">
        <v>173</v>
      </c>
    </row>
    <row r="408" spans="1:35" x14ac:dyDescent="0.35">
      <c r="A408" t="s">
        <v>91</v>
      </c>
      <c r="B408" t="s">
        <v>24</v>
      </c>
      <c r="C408" t="s">
        <v>33</v>
      </c>
      <c r="D408" t="s">
        <v>34</v>
      </c>
      <c r="E408" t="s">
        <v>309</v>
      </c>
      <c r="F408" t="s">
        <v>42</v>
      </c>
      <c r="G408" s="20" t="s">
        <v>43</v>
      </c>
      <c r="H408" t="s">
        <v>7</v>
      </c>
      <c r="I408" t="str">
        <f t="shared" si="10"/>
        <v>Tetragonula species</v>
      </c>
      <c r="J408" t="s">
        <v>42</v>
      </c>
      <c r="K408" t="s">
        <v>334</v>
      </c>
      <c r="L408" t="s">
        <v>44</v>
      </c>
      <c r="M408" t="s">
        <v>45</v>
      </c>
      <c r="N408">
        <v>271</v>
      </c>
      <c r="O408" t="s">
        <v>119</v>
      </c>
      <c r="P408" t="s">
        <v>30</v>
      </c>
      <c r="Q408" s="4">
        <v>44714</v>
      </c>
      <c r="R408">
        <v>0</v>
      </c>
      <c r="S408" t="s">
        <v>107</v>
      </c>
      <c r="T408" t="s">
        <v>107</v>
      </c>
      <c r="U408" t="s">
        <v>271</v>
      </c>
      <c r="V408">
        <v>0</v>
      </c>
      <c r="AD408">
        <v>1</v>
      </c>
      <c r="AF408">
        <v>42</v>
      </c>
      <c r="AI408">
        <v>174</v>
      </c>
    </row>
    <row r="409" spans="1:35" x14ac:dyDescent="0.35">
      <c r="A409" t="s">
        <v>91</v>
      </c>
      <c r="B409" t="s">
        <v>24</v>
      </c>
      <c r="C409" t="s">
        <v>33</v>
      </c>
      <c r="D409" t="s">
        <v>34</v>
      </c>
      <c r="E409" t="s">
        <v>309</v>
      </c>
      <c r="F409" t="s">
        <v>42</v>
      </c>
      <c r="G409" s="20" t="s">
        <v>43</v>
      </c>
      <c r="H409" t="s">
        <v>7</v>
      </c>
      <c r="I409" t="str">
        <f t="shared" si="10"/>
        <v>Tetragonula species</v>
      </c>
      <c r="J409" t="s">
        <v>42</v>
      </c>
      <c r="K409" t="s">
        <v>334</v>
      </c>
      <c r="L409" t="s">
        <v>44</v>
      </c>
      <c r="M409" t="s">
        <v>45</v>
      </c>
      <c r="N409">
        <v>272</v>
      </c>
      <c r="O409" t="s">
        <v>119</v>
      </c>
      <c r="P409" t="s">
        <v>30</v>
      </c>
      <c r="Q409" s="4">
        <v>44714</v>
      </c>
      <c r="R409">
        <v>1</v>
      </c>
      <c r="S409" t="s">
        <v>107</v>
      </c>
      <c r="T409" t="s">
        <v>107</v>
      </c>
      <c r="U409" t="s">
        <v>271</v>
      </c>
      <c r="V409">
        <v>0</v>
      </c>
      <c r="AD409">
        <v>1</v>
      </c>
      <c r="AF409">
        <v>42</v>
      </c>
      <c r="AI409">
        <v>175</v>
      </c>
    </row>
    <row r="410" spans="1:35" x14ac:dyDescent="0.35">
      <c r="A410" t="s">
        <v>91</v>
      </c>
      <c r="B410" t="s">
        <v>24</v>
      </c>
      <c r="C410" t="s">
        <v>33</v>
      </c>
      <c r="D410" t="s">
        <v>34</v>
      </c>
      <c r="E410" t="s">
        <v>309</v>
      </c>
      <c r="F410" t="s">
        <v>42</v>
      </c>
      <c r="G410" s="20" t="s">
        <v>43</v>
      </c>
      <c r="H410" t="s">
        <v>7</v>
      </c>
      <c r="I410" t="str">
        <f t="shared" si="10"/>
        <v>Tetragonula species</v>
      </c>
      <c r="J410" t="s">
        <v>42</v>
      </c>
      <c r="K410" t="s">
        <v>334</v>
      </c>
      <c r="L410" t="s">
        <v>44</v>
      </c>
      <c r="M410" t="s">
        <v>45</v>
      </c>
      <c r="N410">
        <v>273</v>
      </c>
      <c r="O410" t="s">
        <v>119</v>
      </c>
      <c r="P410" t="s">
        <v>30</v>
      </c>
      <c r="Q410" s="4">
        <v>44714</v>
      </c>
      <c r="R410">
        <v>0</v>
      </c>
      <c r="S410" t="s">
        <v>107</v>
      </c>
      <c r="T410" t="s">
        <v>107</v>
      </c>
      <c r="U410" t="s">
        <v>271</v>
      </c>
      <c r="V410">
        <v>0</v>
      </c>
      <c r="AD410">
        <v>1</v>
      </c>
      <c r="AF410">
        <v>42</v>
      </c>
      <c r="AI410">
        <v>176</v>
      </c>
    </row>
    <row r="411" spans="1:35" x14ac:dyDescent="0.35">
      <c r="A411" t="s">
        <v>91</v>
      </c>
      <c r="B411" t="s">
        <v>24</v>
      </c>
      <c r="C411" t="s">
        <v>33</v>
      </c>
      <c r="D411" t="s">
        <v>34</v>
      </c>
      <c r="E411" t="s">
        <v>309</v>
      </c>
      <c r="F411" t="s">
        <v>42</v>
      </c>
      <c r="G411" s="20" t="s">
        <v>43</v>
      </c>
      <c r="H411" t="s">
        <v>7</v>
      </c>
      <c r="I411" t="str">
        <f t="shared" si="10"/>
        <v>Tetragonula species</v>
      </c>
      <c r="J411" t="s">
        <v>42</v>
      </c>
      <c r="K411" t="s">
        <v>334</v>
      </c>
      <c r="L411" t="s">
        <v>44</v>
      </c>
      <c r="M411" t="s">
        <v>45</v>
      </c>
      <c r="N411">
        <v>274</v>
      </c>
      <c r="O411" t="s">
        <v>119</v>
      </c>
      <c r="P411" t="s">
        <v>30</v>
      </c>
      <c r="Q411" s="4">
        <v>44714</v>
      </c>
      <c r="R411">
        <v>0</v>
      </c>
      <c r="S411" t="s">
        <v>107</v>
      </c>
      <c r="T411" t="s">
        <v>107</v>
      </c>
      <c r="U411" t="s">
        <v>271</v>
      </c>
      <c r="V411">
        <v>0</v>
      </c>
      <c r="AD411">
        <v>1</v>
      </c>
      <c r="AF411">
        <v>42</v>
      </c>
      <c r="AI411">
        <v>177</v>
      </c>
    </row>
    <row r="412" spans="1:35" x14ac:dyDescent="0.35">
      <c r="A412" t="s">
        <v>91</v>
      </c>
      <c r="B412" t="s">
        <v>24</v>
      </c>
      <c r="C412" t="s">
        <v>33</v>
      </c>
      <c r="D412" t="s">
        <v>34</v>
      </c>
      <c r="E412" t="s">
        <v>309</v>
      </c>
      <c r="F412" t="s">
        <v>42</v>
      </c>
      <c r="G412" s="20" t="s">
        <v>43</v>
      </c>
      <c r="H412" t="s">
        <v>7</v>
      </c>
      <c r="I412" t="str">
        <f t="shared" si="10"/>
        <v>Tetragonula species</v>
      </c>
      <c r="J412" t="s">
        <v>42</v>
      </c>
      <c r="K412" t="s">
        <v>334</v>
      </c>
      <c r="L412" t="s">
        <v>44</v>
      </c>
      <c r="M412" t="s">
        <v>45</v>
      </c>
      <c r="N412">
        <v>275</v>
      </c>
      <c r="O412" t="s">
        <v>119</v>
      </c>
      <c r="P412" t="s">
        <v>30</v>
      </c>
      <c r="Q412" s="4">
        <v>44714</v>
      </c>
      <c r="R412">
        <v>0</v>
      </c>
      <c r="S412" t="s">
        <v>107</v>
      </c>
      <c r="T412" t="s">
        <v>107</v>
      </c>
      <c r="U412" t="s">
        <v>271</v>
      </c>
      <c r="V412">
        <v>0</v>
      </c>
      <c r="AD412">
        <v>1</v>
      </c>
      <c r="AF412">
        <v>42</v>
      </c>
      <c r="AI412">
        <v>178</v>
      </c>
    </row>
    <row r="413" spans="1:35" x14ac:dyDescent="0.35">
      <c r="A413" t="s">
        <v>91</v>
      </c>
      <c r="B413" t="s">
        <v>24</v>
      </c>
      <c r="C413" t="s">
        <v>33</v>
      </c>
      <c r="D413" t="s">
        <v>34</v>
      </c>
      <c r="E413" t="s">
        <v>309</v>
      </c>
      <c r="F413" t="s">
        <v>42</v>
      </c>
      <c r="G413" s="20" t="s">
        <v>43</v>
      </c>
      <c r="H413" t="s">
        <v>7</v>
      </c>
      <c r="I413" t="str">
        <f t="shared" si="10"/>
        <v>Tetragonula species</v>
      </c>
      <c r="J413" t="s">
        <v>42</v>
      </c>
      <c r="K413" t="s">
        <v>334</v>
      </c>
      <c r="L413" t="s">
        <v>44</v>
      </c>
      <c r="M413" t="s">
        <v>45</v>
      </c>
      <c r="N413">
        <v>276</v>
      </c>
      <c r="O413" t="s">
        <v>119</v>
      </c>
      <c r="P413" t="s">
        <v>30</v>
      </c>
      <c r="Q413" s="4">
        <v>44714</v>
      </c>
      <c r="R413">
        <v>0</v>
      </c>
      <c r="S413" t="s">
        <v>107</v>
      </c>
      <c r="T413" t="s">
        <v>107</v>
      </c>
      <c r="U413" t="s">
        <v>271</v>
      </c>
      <c r="V413">
        <v>0</v>
      </c>
      <c r="AD413">
        <v>1</v>
      </c>
      <c r="AF413">
        <v>42</v>
      </c>
      <c r="AI413">
        <v>179</v>
      </c>
    </row>
    <row r="414" spans="1:35" x14ac:dyDescent="0.35">
      <c r="A414" t="s">
        <v>91</v>
      </c>
      <c r="B414" t="s">
        <v>24</v>
      </c>
      <c r="C414" t="s">
        <v>33</v>
      </c>
      <c r="D414" t="s">
        <v>34</v>
      </c>
      <c r="E414" t="s">
        <v>309</v>
      </c>
      <c r="F414" t="s">
        <v>42</v>
      </c>
      <c r="G414" s="20" t="s">
        <v>43</v>
      </c>
      <c r="H414" t="s">
        <v>7</v>
      </c>
      <c r="I414" t="str">
        <f t="shared" si="10"/>
        <v>Tetragonula species</v>
      </c>
      <c r="J414" t="s">
        <v>42</v>
      </c>
      <c r="K414" t="s">
        <v>334</v>
      </c>
      <c r="L414" t="s">
        <v>44</v>
      </c>
      <c r="M414" t="s">
        <v>45</v>
      </c>
      <c r="N414">
        <v>277</v>
      </c>
      <c r="O414" t="s">
        <v>119</v>
      </c>
      <c r="P414" t="s">
        <v>30</v>
      </c>
      <c r="Q414" s="4">
        <v>44714</v>
      </c>
      <c r="R414">
        <v>0</v>
      </c>
      <c r="U414" t="s">
        <v>225</v>
      </c>
      <c r="V414">
        <v>0</v>
      </c>
      <c r="AD414">
        <v>1</v>
      </c>
      <c r="AF414">
        <v>19</v>
      </c>
      <c r="AI414">
        <v>180</v>
      </c>
    </row>
    <row r="415" spans="1:35" x14ac:dyDescent="0.35">
      <c r="A415" t="s">
        <v>91</v>
      </c>
      <c r="B415" t="s">
        <v>24</v>
      </c>
      <c r="C415" t="s">
        <v>33</v>
      </c>
      <c r="D415" t="s">
        <v>34</v>
      </c>
      <c r="E415" t="s">
        <v>309</v>
      </c>
      <c r="F415" t="s">
        <v>42</v>
      </c>
      <c r="G415" s="20" t="s">
        <v>43</v>
      </c>
      <c r="H415" t="s">
        <v>7</v>
      </c>
      <c r="I415" t="str">
        <f t="shared" si="10"/>
        <v>Tetragonula species</v>
      </c>
      <c r="J415" t="s">
        <v>42</v>
      </c>
      <c r="K415" t="s">
        <v>334</v>
      </c>
      <c r="L415" t="s">
        <v>44</v>
      </c>
      <c r="M415" t="s">
        <v>45</v>
      </c>
      <c r="N415">
        <v>278</v>
      </c>
      <c r="O415" t="s">
        <v>119</v>
      </c>
      <c r="P415" t="s">
        <v>30</v>
      </c>
      <c r="Q415" s="4">
        <v>44714</v>
      </c>
      <c r="R415">
        <v>1</v>
      </c>
      <c r="S415" t="s">
        <v>107</v>
      </c>
      <c r="T415" t="s">
        <v>107</v>
      </c>
      <c r="U415" t="s">
        <v>271</v>
      </c>
      <c r="V415">
        <v>0</v>
      </c>
      <c r="AD415">
        <v>1</v>
      </c>
      <c r="AF415">
        <v>19</v>
      </c>
      <c r="AI415">
        <v>181</v>
      </c>
    </row>
    <row r="416" spans="1:35" x14ac:dyDescent="0.35">
      <c r="A416" t="s">
        <v>91</v>
      </c>
      <c r="B416" t="s">
        <v>24</v>
      </c>
      <c r="C416" t="s">
        <v>33</v>
      </c>
      <c r="D416" t="s">
        <v>34</v>
      </c>
      <c r="E416" t="s">
        <v>309</v>
      </c>
      <c r="F416" t="s">
        <v>42</v>
      </c>
      <c r="G416" s="20" t="s">
        <v>43</v>
      </c>
      <c r="H416" t="s">
        <v>7</v>
      </c>
      <c r="I416" t="str">
        <f t="shared" si="10"/>
        <v>Tetragonula species</v>
      </c>
      <c r="J416" t="s">
        <v>42</v>
      </c>
      <c r="K416" t="s">
        <v>334</v>
      </c>
      <c r="L416" t="s">
        <v>44</v>
      </c>
      <c r="M416" t="s">
        <v>45</v>
      </c>
      <c r="N416">
        <v>279</v>
      </c>
      <c r="O416" t="s">
        <v>119</v>
      </c>
      <c r="P416" t="s">
        <v>30</v>
      </c>
      <c r="Q416" s="4">
        <v>44714</v>
      </c>
      <c r="R416">
        <v>0</v>
      </c>
      <c r="S416" t="s">
        <v>107</v>
      </c>
      <c r="T416" t="s">
        <v>107</v>
      </c>
      <c r="U416" t="s">
        <v>271</v>
      </c>
      <c r="V416">
        <v>0</v>
      </c>
      <c r="AD416">
        <v>1</v>
      </c>
      <c r="AF416">
        <v>19</v>
      </c>
      <c r="AI416">
        <v>182</v>
      </c>
    </row>
    <row r="417" spans="1:35" x14ac:dyDescent="0.35">
      <c r="A417" t="s">
        <v>91</v>
      </c>
      <c r="B417" t="s">
        <v>24</v>
      </c>
      <c r="C417" t="s">
        <v>33</v>
      </c>
      <c r="D417" t="s">
        <v>34</v>
      </c>
      <c r="E417" t="s">
        <v>309</v>
      </c>
      <c r="F417" t="s">
        <v>42</v>
      </c>
      <c r="G417" s="20" t="s">
        <v>43</v>
      </c>
      <c r="H417" t="s">
        <v>7</v>
      </c>
      <c r="I417" t="str">
        <f t="shared" si="10"/>
        <v>Tetragonula species</v>
      </c>
      <c r="J417" t="s">
        <v>42</v>
      </c>
      <c r="K417" t="s">
        <v>334</v>
      </c>
      <c r="L417" t="s">
        <v>44</v>
      </c>
      <c r="M417" t="s">
        <v>45</v>
      </c>
      <c r="N417">
        <v>280</v>
      </c>
      <c r="O417" t="s">
        <v>119</v>
      </c>
      <c r="P417" t="s">
        <v>30</v>
      </c>
      <c r="Q417" s="4">
        <v>44714</v>
      </c>
      <c r="R417">
        <v>0</v>
      </c>
      <c r="S417" t="s">
        <v>107</v>
      </c>
      <c r="T417" t="s">
        <v>107</v>
      </c>
      <c r="U417" t="s">
        <v>271</v>
      </c>
      <c r="V417">
        <v>0</v>
      </c>
      <c r="AD417">
        <v>1</v>
      </c>
      <c r="AF417">
        <v>19</v>
      </c>
      <c r="AI417">
        <v>183</v>
      </c>
    </row>
    <row r="418" spans="1:35" x14ac:dyDescent="0.35">
      <c r="A418" t="s">
        <v>91</v>
      </c>
      <c r="B418" t="s">
        <v>24</v>
      </c>
      <c r="C418" t="s">
        <v>33</v>
      </c>
      <c r="D418" t="s">
        <v>34</v>
      </c>
      <c r="E418" t="s">
        <v>309</v>
      </c>
      <c r="F418" t="s">
        <v>42</v>
      </c>
      <c r="G418" s="20" t="s">
        <v>43</v>
      </c>
      <c r="H418" t="s">
        <v>7</v>
      </c>
      <c r="I418" t="str">
        <f t="shared" si="10"/>
        <v>Tetragonula species</v>
      </c>
      <c r="J418" t="s">
        <v>42</v>
      </c>
      <c r="K418" t="s">
        <v>334</v>
      </c>
      <c r="L418" t="s">
        <v>44</v>
      </c>
      <c r="M418" t="s">
        <v>45</v>
      </c>
      <c r="N418">
        <v>281</v>
      </c>
      <c r="O418" t="s">
        <v>119</v>
      </c>
      <c r="P418" t="s">
        <v>30</v>
      </c>
      <c r="Q418" s="4">
        <v>44714</v>
      </c>
      <c r="R418">
        <v>1</v>
      </c>
      <c r="S418" t="s">
        <v>107</v>
      </c>
      <c r="T418" t="s">
        <v>107</v>
      </c>
      <c r="U418" t="s">
        <v>271</v>
      </c>
      <c r="V418">
        <v>0</v>
      </c>
      <c r="AD418">
        <v>1</v>
      </c>
      <c r="AF418">
        <v>19</v>
      </c>
      <c r="AI418">
        <v>184</v>
      </c>
    </row>
    <row r="419" spans="1:35" x14ac:dyDescent="0.35">
      <c r="A419" t="s">
        <v>91</v>
      </c>
      <c r="B419" t="s">
        <v>24</v>
      </c>
      <c r="C419" t="s">
        <v>33</v>
      </c>
      <c r="D419" t="s">
        <v>34</v>
      </c>
      <c r="E419" t="s">
        <v>309</v>
      </c>
      <c r="F419" t="s">
        <v>42</v>
      </c>
      <c r="G419" s="20" t="s">
        <v>43</v>
      </c>
      <c r="H419" t="s">
        <v>7</v>
      </c>
      <c r="I419" t="str">
        <f t="shared" si="10"/>
        <v>Tetragonula species</v>
      </c>
      <c r="J419" t="s">
        <v>42</v>
      </c>
      <c r="K419" t="s">
        <v>334</v>
      </c>
      <c r="L419" t="s">
        <v>44</v>
      </c>
      <c r="M419" t="s">
        <v>45</v>
      </c>
      <c r="N419">
        <v>282</v>
      </c>
      <c r="O419" t="s">
        <v>119</v>
      </c>
      <c r="P419" t="s">
        <v>30</v>
      </c>
      <c r="Q419" s="4">
        <v>44714</v>
      </c>
      <c r="R419">
        <v>0</v>
      </c>
      <c r="S419" t="s">
        <v>107</v>
      </c>
      <c r="T419" t="s">
        <v>107</v>
      </c>
      <c r="U419" t="s">
        <v>271</v>
      </c>
      <c r="V419">
        <v>0</v>
      </c>
      <c r="AD419">
        <v>1</v>
      </c>
      <c r="AF419">
        <v>19</v>
      </c>
      <c r="AI419">
        <v>185</v>
      </c>
    </row>
    <row r="420" spans="1:35" x14ac:dyDescent="0.35">
      <c r="A420" t="s">
        <v>91</v>
      </c>
      <c r="B420" t="s">
        <v>24</v>
      </c>
      <c r="C420" t="s">
        <v>33</v>
      </c>
      <c r="D420" t="s">
        <v>34</v>
      </c>
      <c r="E420" t="s">
        <v>309</v>
      </c>
      <c r="F420" t="s">
        <v>42</v>
      </c>
      <c r="G420" s="20" t="s">
        <v>43</v>
      </c>
      <c r="H420" t="s">
        <v>7</v>
      </c>
      <c r="I420" t="str">
        <f t="shared" si="10"/>
        <v>Tetragonula species</v>
      </c>
      <c r="J420" t="s">
        <v>42</v>
      </c>
      <c r="K420" t="s">
        <v>334</v>
      </c>
      <c r="L420" t="s">
        <v>44</v>
      </c>
      <c r="M420" t="s">
        <v>45</v>
      </c>
      <c r="N420">
        <v>283</v>
      </c>
      <c r="O420" t="s">
        <v>119</v>
      </c>
      <c r="P420" t="s">
        <v>30</v>
      </c>
      <c r="Q420" s="4">
        <v>44714</v>
      </c>
      <c r="R420">
        <v>1</v>
      </c>
      <c r="S420" t="s">
        <v>107</v>
      </c>
      <c r="T420" t="s">
        <v>107</v>
      </c>
      <c r="U420" t="s">
        <v>271</v>
      </c>
      <c r="V420">
        <v>0</v>
      </c>
      <c r="AD420">
        <v>1</v>
      </c>
      <c r="AF420">
        <v>19</v>
      </c>
      <c r="AI420">
        <v>186</v>
      </c>
    </row>
    <row r="421" spans="1:35" x14ac:dyDescent="0.35">
      <c r="A421" t="s">
        <v>91</v>
      </c>
      <c r="B421" t="s">
        <v>24</v>
      </c>
      <c r="C421" t="s">
        <v>33</v>
      </c>
      <c r="D421" t="s">
        <v>34</v>
      </c>
      <c r="E421" t="s">
        <v>309</v>
      </c>
      <c r="F421" t="s">
        <v>42</v>
      </c>
      <c r="G421" s="20" t="s">
        <v>43</v>
      </c>
      <c r="H421" t="s">
        <v>7</v>
      </c>
      <c r="I421" t="str">
        <f t="shared" si="10"/>
        <v>Tetragonula species</v>
      </c>
      <c r="J421" t="s">
        <v>42</v>
      </c>
      <c r="K421" t="s">
        <v>334</v>
      </c>
      <c r="L421" t="s">
        <v>44</v>
      </c>
      <c r="M421" t="s">
        <v>45</v>
      </c>
      <c r="N421">
        <v>284</v>
      </c>
      <c r="O421" t="s">
        <v>119</v>
      </c>
      <c r="P421" t="s">
        <v>30</v>
      </c>
      <c r="Q421" s="4">
        <v>44714</v>
      </c>
      <c r="R421">
        <v>0</v>
      </c>
      <c r="S421" t="s">
        <v>107</v>
      </c>
      <c r="T421" t="s">
        <v>107</v>
      </c>
      <c r="U421" t="s">
        <v>271</v>
      </c>
      <c r="V421">
        <v>0</v>
      </c>
      <c r="AD421">
        <v>1</v>
      </c>
      <c r="AF421">
        <v>19</v>
      </c>
      <c r="AI421">
        <v>187</v>
      </c>
    </row>
    <row r="422" spans="1:35" x14ac:dyDescent="0.35">
      <c r="A422" t="s">
        <v>91</v>
      </c>
      <c r="B422" t="s">
        <v>24</v>
      </c>
      <c r="C422" t="s">
        <v>33</v>
      </c>
      <c r="D422" t="s">
        <v>34</v>
      </c>
      <c r="E422" t="s">
        <v>309</v>
      </c>
      <c r="F422" t="s">
        <v>42</v>
      </c>
      <c r="G422" s="20" t="s">
        <v>43</v>
      </c>
      <c r="H422" t="s">
        <v>7</v>
      </c>
      <c r="I422" t="str">
        <f t="shared" ref="I422:I485" si="11">G422&amp;" "&amp;H422</f>
        <v>Tetragonula species</v>
      </c>
      <c r="J422" t="s">
        <v>42</v>
      </c>
      <c r="K422" t="s">
        <v>334</v>
      </c>
      <c r="L422" t="s">
        <v>44</v>
      </c>
      <c r="M422" t="s">
        <v>45</v>
      </c>
      <c r="N422">
        <v>285</v>
      </c>
      <c r="O422" t="s">
        <v>119</v>
      </c>
      <c r="P422" t="s">
        <v>30</v>
      </c>
      <c r="Q422" s="4">
        <v>44714</v>
      </c>
      <c r="R422">
        <v>1</v>
      </c>
      <c r="S422" t="s">
        <v>107</v>
      </c>
      <c r="T422" t="s">
        <v>107</v>
      </c>
      <c r="U422" t="s">
        <v>271</v>
      </c>
      <c r="V422">
        <v>0</v>
      </c>
      <c r="AD422">
        <v>1</v>
      </c>
      <c r="AF422">
        <v>19</v>
      </c>
      <c r="AI422">
        <v>188</v>
      </c>
    </row>
    <row r="423" spans="1:35" x14ac:dyDescent="0.35">
      <c r="A423" t="s">
        <v>91</v>
      </c>
      <c r="B423" t="s">
        <v>24</v>
      </c>
      <c r="C423" t="s">
        <v>33</v>
      </c>
      <c r="D423" t="s">
        <v>34</v>
      </c>
      <c r="E423" t="s">
        <v>309</v>
      </c>
      <c r="F423" t="s">
        <v>42</v>
      </c>
      <c r="G423" s="20" t="s">
        <v>43</v>
      </c>
      <c r="H423" t="s">
        <v>7</v>
      </c>
      <c r="I423" t="str">
        <f t="shared" si="11"/>
        <v>Tetragonula species</v>
      </c>
      <c r="J423" t="s">
        <v>42</v>
      </c>
      <c r="K423" t="s">
        <v>334</v>
      </c>
      <c r="L423" t="s">
        <v>44</v>
      </c>
      <c r="M423" t="s">
        <v>45</v>
      </c>
      <c r="N423">
        <v>286</v>
      </c>
      <c r="O423" t="s">
        <v>119</v>
      </c>
      <c r="P423" t="s">
        <v>30</v>
      </c>
      <c r="Q423" s="4">
        <v>44714</v>
      </c>
      <c r="R423">
        <v>0</v>
      </c>
      <c r="S423" t="s">
        <v>107</v>
      </c>
      <c r="T423" t="s">
        <v>107</v>
      </c>
      <c r="U423" t="s">
        <v>271</v>
      </c>
      <c r="V423">
        <v>0</v>
      </c>
      <c r="AD423">
        <v>1</v>
      </c>
      <c r="AF423">
        <v>19</v>
      </c>
      <c r="AI423">
        <v>189</v>
      </c>
    </row>
    <row r="424" spans="1:35" x14ac:dyDescent="0.35">
      <c r="A424" t="s">
        <v>91</v>
      </c>
      <c r="B424" t="s">
        <v>24</v>
      </c>
      <c r="C424" t="s">
        <v>33</v>
      </c>
      <c r="D424" t="s">
        <v>34</v>
      </c>
      <c r="E424" t="s">
        <v>309</v>
      </c>
      <c r="F424" t="s">
        <v>42</v>
      </c>
      <c r="G424" s="20" t="s">
        <v>43</v>
      </c>
      <c r="H424" t="s">
        <v>7</v>
      </c>
      <c r="I424" t="str">
        <f t="shared" si="11"/>
        <v>Tetragonula species</v>
      </c>
      <c r="J424" t="s">
        <v>42</v>
      </c>
      <c r="K424" t="s">
        <v>334</v>
      </c>
      <c r="L424" t="s">
        <v>44</v>
      </c>
      <c r="M424" t="s">
        <v>45</v>
      </c>
      <c r="N424">
        <v>287</v>
      </c>
      <c r="O424" t="s">
        <v>119</v>
      </c>
      <c r="P424" t="s">
        <v>30</v>
      </c>
      <c r="Q424" s="4">
        <v>44714</v>
      </c>
      <c r="R424">
        <v>0</v>
      </c>
      <c r="S424" t="s">
        <v>107</v>
      </c>
      <c r="T424" t="s">
        <v>107</v>
      </c>
      <c r="U424" t="s">
        <v>271</v>
      </c>
      <c r="V424">
        <v>0</v>
      </c>
      <c r="AD424">
        <v>1</v>
      </c>
      <c r="AF424">
        <v>19</v>
      </c>
      <c r="AI424">
        <v>190</v>
      </c>
    </row>
    <row r="425" spans="1:35" x14ac:dyDescent="0.35">
      <c r="A425" t="s">
        <v>91</v>
      </c>
      <c r="B425" t="s">
        <v>24</v>
      </c>
      <c r="C425" t="s">
        <v>33</v>
      </c>
      <c r="D425" t="s">
        <v>34</v>
      </c>
      <c r="E425" t="s">
        <v>309</v>
      </c>
      <c r="F425" t="s">
        <v>42</v>
      </c>
      <c r="G425" s="20" t="s">
        <v>43</v>
      </c>
      <c r="H425" t="s">
        <v>7</v>
      </c>
      <c r="I425" t="str">
        <f t="shared" si="11"/>
        <v>Tetragonula species</v>
      </c>
      <c r="J425" t="s">
        <v>42</v>
      </c>
      <c r="K425" t="s">
        <v>334</v>
      </c>
      <c r="L425" t="s">
        <v>44</v>
      </c>
      <c r="M425" t="s">
        <v>45</v>
      </c>
      <c r="N425">
        <v>288</v>
      </c>
      <c r="O425" t="s">
        <v>119</v>
      </c>
      <c r="P425" t="s">
        <v>30</v>
      </c>
      <c r="Q425" s="4">
        <v>44714</v>
      </c>
      <c r="R425">
        <v>0</v>
      </c>
      <c r="S425" t="s">
        <v>107</v>
      </c>
      <c r="T425" t="s">
        <v>107</v>
      </c>
      <c r="U425" t="s">
        <v>271</v>
      </c>
      <c r="V425">
        <v>0</v>
      </c>
      <c r="AD425">
        <v>1</v>
      </c>
      <c r="AF425">
        <v>19</v>
      </c>
      <c r="AI425">
        <v>191</v>
      </c>
    </row>
    <row r="426" spans="1:35" x14ac:dyDescent="0.35">
      <c r="A426" t="s">
        <v>91</v>
      </c>
      <c r="B426" t="s">
        <v>24</v>
      </c>
      <c r="C426" t="s">
        <v>33</v>
      </c>
      <c r="D426" t="s">
        <v>34</v>
      </c>
      <c r="E426" t="s">
        <v>309</v>
      </c>
      <c r="F426" t="s">
        <v>42</v>
      </c>
      <c r="G426" s="20" t="s">
        <v>43</v>
      </c>
      <c r="H426" t="s">
        <v>7</v>
      </c>
      <c r="I426" t="str">
        <f t="shared" si="11"/>
        <v>Tetragonula species</v>
      </c>
      <c r="J426" t="s">
        <v>42</v>
      </c>
      <c r="K426" t="s">
        <v>334</v>
      </c>
      <c r="L426" t="s">
        <v>44</v>
      </c>
      <c r="M426" t="s">
        <v>45</v>
      </c>
      <c r="N426">
        <v>289</v>
      </c>
      <c r="O426" t="s">
        <v>119</v>
      </c>
      <c r="P426" t="s">
        <v>30</v>
      </c>
      <c r="Q426" s="4">
        <v>44714</v>
      </c>
      <c r="R426">
        <v>0</v>
      </c>
      <c r="S426" t="s">
        <v>107</v>
      </c>
      <c r="T426" t="s">
        <v>107</v>
      </c>
      <c r="U426" t="s">
        <v>271</v>
      </c>
      <c r="V426">
        <v>0</v>
      </c>
      <c r="AD426">
        <v>1</v>
      </c>
      <c r="AF426">
        <v>19</v>
      </c>
      <c r="AI426">
        <v>192</v>
      </c>
    </row>
    <row r="427" spans="1:35" x14ac:dyDescent="0.35">
      <c r="A427" t="s">
        <v>91</v>
      </c>
      <c r="B427" t="s">
        <v>24</v>
      </c>
      <c r="C427" t="s">
        <v>33</v>
      </c>
      <c r="D427" t="s">
        <v>34</v>
      </c>
      <c r="E427" t="s">
        <v>309</v>
      </c>
      <c r="F427" t="s">
        <v>42</v>
      </c>
      <c r="G427" s="20" t="s">
        <v>43</v>
      </c>
      <c r="H427" t="s">
        <v>7</v>
      </c>
      <c r="I427" t="str">
        <f t="shared" si="11"/>
        <v>Tetragonula species</v>
      </c>
      <c r="J427" t="s">
        <v>42</v>
      </c>
      <c r="K427" t="s">
        <v>334</v>
      </c>
      <c r="L427" t="s">
        <v>44</v>
      </c>
      <c r="M427" t="s">
        <v>45</v>
      </c>
      <c r="N427">
        <v>290</v>
      </c>
      <c r="O427" t="s">
        <v>119</v>
      </c>
      <c r="P427" t="s">
        <v>30</v>
      </c>
      <c r="Q427" s="4">
        <v>44714</v>
      </c>
      <c r="R427">
        <v>0</v>
      </c>
      <c r="S427" t="s">
        <v>107</v>
      </c>
      <c r="T427" t="s">
        <v>107</v>
      </c>
      <c r="U427" t="s">
        <v>271</v>
      </c>
      <c r="V427">
        <v>0</v>
      </c>
      <c r="AD427">
        <v>1</v>
      </c>
      <c r="AF427">
        <v>19</v>
      </c>
      <c r="AI427">
        <v>193</v>
      </c>
    </row>
    <row r="428" spans="1:35" x14ac:dyDescent="0.35">
      <c r="A428" t="s">
        <v>91</v>
      </c>
      <c r="B428" t="s">
        <v>24</v>
      </c>
      <c r="C428" t="s">
        <v>33</v>
      </c>
      <c r="D428" t="s">
        <v>34</v>
      </c>
      <c r="E428" t="s">
        <v>309</v>
      </c>
      <c r="F428" t="s">
        <v>42</v>
      </c>
      <c r="G428" s="20" t="s">
        <v>43</v>
      </c>
      <c r="H428" t="s">
        <v>7</v>
      </c>
      <c r="I428" t="str">
        <f t="shared" si="11"/>
        <v>Tetragonula species</v>
      </c>
      <c r="J428" t="s">
        <v>42</v>
      </c>
      <c r="K428" t="s">
        <v>334</v>
      </c>
      <c r="L428" t="s">
        <v>44</v>
      </c>
      <c r="M428" t="s">
        <v>45</v>
      </c>
      <c r="N428">
        <v>291</v>
      </c>
      <c r="O428" t="s">
        <v>119</v>
      </c>
      <c r="P428" t="s">
        <v>30</v>
      </c>
      <c r="Q428" s="4">
        <v>44714</v>
      </c>
      <c r="R428">
        <v>0</v>
      </c>
      <c r="S428" t="s">
        <v>107</v>
      </c>
      <c r="T428" t="s">
        <v>107</v>
      </c>
      <c r="U428" t="s">
        <v>271</v>
      </c>
      <c r="V428">
        <v>0</v>
      </c>
      <c r="AD428">
        <v>1</v>
      </c>
      <c r="AF428">
        <v>19</v>
      </c>
      <c r="AI428">
        <v>194</v>
      </c>
    </row>
    <row r="429" spans="1:35" x14ac:dyDescent="0.35">
      <c r="A429" t="s">
        <v>91</v>
      </c>
      <c r="B429" t="s">
        <v>24</v>
      </c>
      <c r="C429" t="s">
        <v>33</v>
      </c>
      <c r="D429" t="s">
        <v>34</v>
      </c>
      <c r="E429" t="s">
        <v>309</v>
      </c>
      <c r="F429" t="s">
        <v>42</v>
      </c>
      <c r="G429" s="20" t="s">
        <v>43</v>
      </c>
      <c r="H429" t="s">
        <v>7</v>
      </c>
      <c r="I429" t="str">
        <f t="shared" si="11"/>
        <v>Tetragonula species</v>
      </c>
      <c r="J429" t="s">
        <v>42</v>
      </c>
      <c r="K429" t="s">
        <v>334</v>
      </c>
      <c r="L429" t="s">
        <v>44</v>
      </c>
      <c r="M429" t="s">
        <v>45</v>
      </c>
      <c r="N429">
        <v>292</v>
      </c>
      <c r="O429" t="s">
        <v>119</v>
      </c>
      <c r="P429" t="s">
        <v>30</v>
      </c>
      <c r="Q429" s="4">
        <v>44714</v>
      </c>
      <c r="R429">
        <v>0</v>
      </c>
      <c r="S429" t="s">
        <v>107</v>
      </c>
      <c r="T429" t="s">
        <v>107</v>
      </c>
      <c r="U429" t="s">
        <v>271</v>
      </c>
      <c r="V429">
        <v>0</v>
      </c>
      <c r="AD429">
        <v>1</v>
      </c>
      <c r="AF429">
        <v>19</v>
      </c>
      <c r="AI429">
        <v>195</v>
      </c>
    </row>
    <row r="430" spans="1:35" x14ac:dyDescent="0.35">
      <c r="A430" t="s">
        <v>91</v>
      </c>
      <c r="B430" t="s">
        <v>24</v>
      </c>
      <c r="C430" t="s">
        <v>33</v>
      </c>
      <c r="D430" t="s">
        <v>34</v>
      </c>
      <c r="E430" t="s">
        <v>309</v>
      </c>
      <c r="F430" t="s">
        <v>42</v>
      </c>
      <c r="G430" s="20" t="s">
        <v>43</v>
      </c>
      <c r="H430" t="s">
        <v>7</v>
      </c>
      <c r="I430" t="str">
        <f t="shared" si="11"/>
        <v>Tetragonula species</v>
      </c>
      <c r="J430" t="s">
        <v>42</v>
      </c>
      <c r="K430" t="s">
        <v>334</v>
      </c>
      <c r="L430" t="s">
        <v>44</v>
      </c>
      <c r="M430" t="s">
        <v>45</v>
      </c>
      <c r="N430">
        <v>293</v>
      </c>
      <c r="O430" t="s">
        <v>119</v>
      </c>
      <c r="P430" t="s">
        <v>30</v>
      </c>
      <c r="Q430" s="4">
        <v>44714</v>
      </c>
      <c r="R430">
        <v>0</v>
      </c>
      <c r="S430" t="s">
        <v>107</v>
      </c>
      <c r="T430" t="s">
        <v>107</v>
      </c>
      <c r="U430" t="s">
        <v>271</v>
      </c>
      <c r="V430">
        <v>0</v>
      </c>
      <c r="AD430">
        <v>1</v>
      </c>
      <c r="AF430">
        <v>19</v>
      </c>
      <c r="AI430">
        <v>196</v>
      </c>
    </row>
    <row r="431" spans="1:35" x14ac:dyDescent="0.35">
      <c r="A431" t="s">
        <v>91</v>
      </c>
      <c r="B431" t="s">
        <v>24</v>
      </c>
      <c r="C431" t="s">
        <v>33</v>
      </c>
      <c r="D431" t="s">
        <v>34</v>
      </c>
      <c r="E431" t="s">
        <v>309</v>
      </c>
      <c r="F431" t="s">
        <v>42</v>
      </c>
      <c r="G431" s="20" t="s">
        <v>43</v>
      </c>
      <c r="H431" t="s">
        <v>7</v>
      </c>
      <c r="I431" t="str">
        <f t="shared" si="11"/>
        <v>Tetragonula species</v>
      </c>
      <c r="J431" t="s">
        <v>42</v>
      </c>
      <c r="K431" t="s">
        <v>334</v>
      </c>
      <c r="L431" t="s">
        <v>44</v>
      </c>
      <c r="M431" t="s">
        <v>45</v>
      </c>
      <c r="N431">
        <v>294</v>
      </c>
      <c r="O431" t="s">
        <v>119</v>
      </c>
      <c r="P431" t="s">
        <v>30</v>
      </c>
      <c r="Q431" s="4">
        <v>44714</v>
      </c>
      <c r="R431">
        <v>0</v>
      </c>
      <c r="S431" t="s">
        <v>107</v>
      </c>
      <c r="T431" t="s">
        <v>107</v>
      </c>
      <c r="U431" t="s">
        <v>271</v>
      </c>
      <c r="V431">
        <v>0</v>
      </c>
      <c r="AD431">
        <v>1</v>
      </c>
      <c r="AF431">
        <v>19</v>
      </c>
      <c r="AI431">
        <v>197</v>
      </c>
    </row>
    <row r="432" spans="1:35" x14ac:dyDescent="0.35">
      <c r="A432" t="s">
        <v>91</v>
      </c>
      <c r="B432" t="s">
        <v>24</v>
      </c>
      <c r="C432" t="s">
        <v>33</v>
      </c>
      <c r="D432" t="s">
        <v>34</v>
      </c>
      <c r="E432" t="s">
        <v>309</v>
      </c>
      <c r="F432" t="s">
        <v>42</v>
      </c>
      <c r="G432" s="20" t="s">
        <v>43</v>
      </c>
      <c r="H432" t="s">
        <v>7</v>
      </c>
      <c r="I432" t="str">
        <f t="shared" si="11"/>
        <v>Tetragonula species</v>
      </c>
      <c r="J432" t="s">
        <v>42</v>
      </c>
      <c r="K432" t="s">
        <v>334</v>
      </c>
      <c r="L432" t="s">
        <v>44</v>
      </c>
      <c r="M432" t="s">
        <v>45</v>
      </c>
      <c r="N432">
        <v>295</v>
      </c>
      <c r="O432" t="s">
        <v>119</v>
      </c>
      <c r="P432" t="s">
        <v>30</v>
      </c>
      <c r="Q432" s="4">
        <v>44714</v>
      </c>
      <c r="R432">
        <v>0</v>
      </c>
      <c r="S432" t="s">
        <v>107</v>
      </c>
      <c r="T432" t="s">
        <v>107</v>
      </c>
      <c r="U432" t="s">
        <v>271</v>
      </c>
      <c r="V432">
        <v>0</v>
      </c>
      <c r="AD432">
        <v>1</v>
      </c>
      <c r="AF432">
        <v>19</v>
      </c>
      <c r="AI432">
        <v>198</v>
      </c>
    </row>
    <row r="433" spans="1:35" x14ac:dyDescent="0.35">
      <c r="A433" t="s">
        <v>91</v>
      </c>
      <c r="B433" t="s">
        <v>24</v>
      </c>
      <c r="C433" t="s">
        <v>33</v>
      </c>
      <c r="D433" t="s">
        <v>34</v>
      </c>
      <c r="E433" t="s">
        <v>309</v>
      </c>
      <c r="F433" t="s">
        <v>42</v>
      </c>
      <c r="G433" s="20" t="s">
        <v>43</v>
      </c>
      <c r="H433" t="s">
        <v>7</v>
      </c>
      <c r="I433" t="str">
        <f t="shared" si="11"/>
        <v>Tetragonula species</v>
      </c>
      <c r="J433" t="s">
        <v>42</v>
      </c>
      <c r="K433" t="s">
        <v>334</v>
      </c>
      <c r="L433" t="s">
        <v>44</v>
      </c>
      <c r="M433" t="s">
        <v>45</v>
      </c>
      <c r="N433">
        <v>296</v>
      </c>
      <c r="O433" t="s">
        <v>119</v>
      </c>
      <c r="P433" t="s">
        <v>30</v>
      </c>
      <c r="Q433" s="4">
        <v>44714</v>
      </c>
      <c r="R433">
        <v>1</v>
      </c>
      <c r="S433" t="s">
        <v>164</v>
      </c>
      <c r="T433" t="s">
        <v>107</v>
      </c>
      <c r="U433" t="s">
        <v>271</v>
      </c>
      <c r="V433">
        <v>0</v>
      </c>
      <c r="AD433">
        <v>1</v>
      </c>
      <c r="AF433">
        <v>19</v>
      </c>
      <c r="AI433">
        <v>199</v>
      </c>
    </row>
    <row r="434" spans="1:35" x14ac:dyDescent="0.35">
      <c r="A434" t="s">
        <v>91</v>
      </c>
      <c r="B434" t="s">
        <v>24</v>
      </c>
      <c r="C434" t="s">
        <v>33</v>
      </c>
      <c r="D434" t="s">
        <v>34</v>
      </c>
      <c r="E434" t="s">
        <v>309</v>
      </c>
      <c r="F434" t="s">
        <v>42</v>
      </c>
      <c r="G434" s="20" t="s">
        <v>43</v>
      </c>
      <c r="H434" t="s">
        <v>7</v>
      </c>
      <c r="I434" t="str">
        <f t="shared" si="11"/>
        <v>Tetragonula species</v>
      </c>
      <c r="J434" t="s">
        <v>42</v>
      </c>
      <c r="K434" t="s">
        <v>334</v>
      </c>
      <c r="L434" t="s">
        <v>44</v>
      </c>
      <c r="M434" t="s">
        <v>45</v>
      </c>
      <c r="N434">
        <v>297</v>
      </c>
      <c r="O434" t="s">
        <v>119</v>
      </c>
      <c r="P434" t="s">
        <v>30</v>
      </c>
      <c r="Q434" s="4">
        <v>44714</v>
      </c>
      <c r="R434">
        <v>0</v>
      </c>
      <c r="S434" t="s">
        <v>164</v>
      </c>
      <c r="T434" t="s">
        <v>107</v>
      </c>
      <c r="U434" t="s">
        <v>271</v>
      </c>
      <c r="V434">
        <v>0</v>
      </c>
      <c r="AD434">
        <v>1</v>
      </c>
      <c r="AF434">
        <v>19</v>
      </c>
      <c r="AI434">
        <v>200</v>
      </c>
    </row>
    <row r="435" spans="1:35" x14ac:dyDescent="0.35">
      <c r="A435" t="s">
        <v>91</v>
      </c>
      <c r="B435" t="s">
        <v>24</v>
      </c>
      <c r="C435" t="s">
        <v>33</v>
      </c>
      <c r="D435" t="s">
        <v>34</v>
      </c>
      <c r="E435" t="s">
        <v>309</v>
      </c>
      <c r="F435" t="s">
        <v>42</v>
      </c>
      <c r="G435" s="20" t="s">
        <v>43</v>
      </c>
      <c r="H435" t="s">
        <v>7</v>
      </c>
      <c r="I435" t="str">
        <f t="shared" si="11"/>
        <v>Tetragonula species</v>
      </c>
      <c r="J435" t="s">
        <v>42</v>
      </c>
      <c r="K435" t="s">
        <v>334</v>
      </c>
      <c r="L435" t="s">
        <v>44</v>
      </c>
      <c r="M435" t="s">
        <v>45</v>
      </c>
      <c r="N435">
        <v>298</v>
      </c>
      <c r="O435" t="s">
        <v>119</v>
      </c>
      <c r="P435" t="s">
        <v>30</v>
      </c>
      <c r="Q435" s="4">
        <v>44714</v>
      </c>
      <c r="R435">
        <v>1</v>
      </c>
      <c r="S435" t="s">
        <v>164</v>
      </c>
      <c r="T435" t="s">
        <v>107</v>
      </c>
      <c r="U435" t="s">
        <v>271</v>
      </c>
      <c r="V435">
        <v>0</v>
      </c>
      <c r="AD435">
        <v>1</v>
      </c>
      <c r="AF435">
        <v>19</v>
      </c>
      <c r="AI435">
        <v>201</v>
      </c>
    </row>
    <row r="436" spans="1:35" x14ac:dyDescent="0.35">
      <c r="A436" t="s">
        <v>91</v>
      </c>
      <c r="B436" t="s">
        <v>24</v>
      </c>
      <c r="C436" t="s">
        <v>33</v>
      </c>
      <c r="D436" t="s">
        <v>34</v>
      </c>
      <c r="E436" t="s">
        <v>309</v>
      </c>
      <c r="F436" t="s">
        <v>42</v>
      </c>
      <c r="G436" s="20" t="s">
        <v>43</v>
      </c>
      <c r="H436" t="s">
        <v>7</v>
      </c>
      <c r="I436" t="str">
        <f t="shared" si="11"/>
        <v>Tetragonula species</v>
      </c>
      <c r="J436" t="s">
        <v>42</v>
      </c>
      <c r="K436" t="s">
        <v>334</v>
      </c>
      <c r="L436" t="s">
        <v>44</v>
      </c>
      <c r="M436" t="s">
        <v>45</v>
      </c>
      <c r="N436">
        <v>299</v>
      </c>
      <c r="O436" t="s">
        <v>119</v>
      </c>
      <c r="P436" t="s">
        <v>30</v>
      </c>
      <c r="Q436" s="4">
        <v>44714</v>
      </c>
      <c r="R436">
        <v>0</v>
      </c>
      <c r="S436" t="s">
        <v>164</v>
      </c>
      <c r="T436" t="s">
        <v>107</v>
      </c>
      <c r="U436" t="s">
        <v>271</v>
      </c>
      <c r="V436">
        <v>0</v>
      </c>
      <c r="AD436">
        <v>1</v>
      </c>
      <c r="AF436">
        <v>19</v>
      </c>
      <c r="AI436">
        <v>202</v>
      </c>
    </row>
    <row r="437" spans="1:35" x14ac:dyDescent="0.35">
      <c r="A437" t="s">
        <v>91</v>
      </c>
      <c r="B437" t="s">
        <v>24</v>
      </c>
      <c r="C437" t="s">
        <v>33</v>
      </c>
      <c r="D437" t="s">
        <v>34</v>
      </c>
      <c r="E437" t="s">
        <v>309</v>
      </c>
      <c r="F437" t="s">
        <v>42</v>
      </c>
      <c r="G437" s="20" t="s">
        <v>43</v>
      </c>
      <c r="H437" t="s">
        <v>7</v>
      </c>
      <c r="I437" t="str">
        <f t="shared" si="11"/>
        <v>Tetragonula species</v>
      </c>
      <c r="J437" t="s">
        <v>42</v>
      </c>
      <c r="K437" t="s">
        <v>334</v>
      </c>
      <c r="L437" t="s">
        <v>44</v>
      </c>
      <c r="M437" t="s">
        <v>45</v>
      </c>
      <c r="N437">
        <v>300</v>
      </c>
      <c r="O437" t="s">
        <v>119</v>
      </c>
      <c r="P437" t="s">
        <v>30</v>
      </c>
      <c r="Q437" s="4">
        <v>44714</v>
      </c>
      <c r="R437">
        <v>1</v>
      </c>
      <c r="S437" t="s">
        <v>164</v>
      </c>
      <c r="T437" t="s">
        <v>107</v>
      </c>
      <c r="U437" t="s">
        <v>271</v>
      </c>
      <c r="V437">
        <v>0</v>
      </c>
      <c r="AD437">
        <v>1</v>
      </c>
      <c r="AF437">
        <v>19</v>
      </c>
      <c r="AI437">
        <v>203</v>
      </c>
    </row>
    <row r="438" spans="1:35" x14ac:dyDescent="0.35">
      <c r="A438" t="s">
        <v>91</v>
      </c>
      <c r="B438" t="s">
        <v>24</v>
      </c>
      <c r="C438" t="s">
        <v>33</v>
      </c>
      <c r="D438" t="s">
        <v>34</v>
      </c>
      <c r="E438" t="s">
        <v>309</v>
      </c>
      <c r="F438" t="s">
        <v>42</v>
      </c>
      <c r="G438" s="20" t="s">
        <v>43</v>
      </c>
      <c r="H438" t="s">
        <v>7</v>
      </c>
      <c r="I438" t="str">
        <f t="shared" si="11"/>
        <v>Tetragonula species</v>
      </c>
      <c r="J438" t="s">
        <v>42</v>
      </c>
      <c r="K438" t="s">
        <v>334</v>
      </c>
      <c r="L438" t="s">
        <v>44</v>
      </c>
      <c r="M438" t="s">
        <v>45</v>
      </c>
      <c r="N438">
        <v>301</v>
      </c>
      <c r="O438" t="s">
        <v>119</v>
      </c>
      <c r="P438" t="s">
        <v>30</v>
      </c>
      <c r="Q438" s="4">
        <v>44714</v>
      </c>
      <c r="R438">
        <v>0</v>
      </c>
      <c r="S438" t="s">
        <v>164</v>
      </c>
      <c r="T438" t="s">
        <v>107</v>
      </c>
      <c r="U438" t="s">
        <v>271</v>
      </c>
      <c r="V438">
        <v>0</v>
      </c>
      <c r="AD438">
        <v>1</v>
      </c>
      <c r="AF438">
        <v>13</v>
      </c>
      <c r="AI438">
        <v>204</v>
      </c>
    </row>
    <row r="439" spans="1:35" x14ac:dyDescent="0.35">
      <c r="A439" t="s">
        <v>91</v>
      </c>
      <c r="B439" t="s">
        <v>24</v>
      </c>
      <c r="C439" t="s">
        <v>33</v>
      </c>
      <c r="D439" t="s">
        <v>34</v>
      </c>
      <c r="E439" t="s">
        <v>309</v>
      </c>
      <c r="F439" t="s">
        <v>42</v>
      </c>
      <c r="G439" s="20" t="s">
        <v>43</v>
      </c>
      <c r="H439" t="s">
        <v>7</v>
      </c>
      <c r="I439" t="str">
        <f t="shared" si="11"/>
        <v>Tetragonula species</v>
      </c>
      <c r="J439" t="s">
        <v>42</v>
      </c>
      <c r="K439" t="s">
        <v>334</v>
      </c>
      <c r="L439" t="s">
        <v>44</v>
      </c>
      <c r="M439" t="s">
        <v>45</v>
      </c>
      <c r="N439">
        <v>302</v>
      </c>
      <c r="O439" t="s">
        <v>119</v>
      </c>
      <c r="P439" t="s">
        <v>30</v>
      </c>
      <c r="Q439" s="4">
        <v>44714</v>
      </c>
      <c r="R439">
        <v>1</v>
      </c>
      <c r="S439" t="s">
        <v>164</v>
      </c>
      <c r="T439" t="s">
        <v>107</v>
      </c>
      <c r="U439" t="s">
        <v>271</v>
      </c>
      <c r="V439">
        <v>0</v>
      </c>
      <c r="AD439">
        <v>1</v>
      </c>
      <c r="AF439">
        <v>13</v>
      </c>
      <c r="AI439">
        <v>205</v>
      </c>
    </row>
    <row r="440" spans="1:35" x14ac:dyDescent="0.35">
      <c r="A440" t="s">
        <v>91</v>
      </c>
      <c r="B440" t="s">
        <v>24</v>
      </c>
      <c r="C440" t="s">
        <v>33</v>
      </c>
      <c r="D440" t="s">
        <v>34</v>
      </c>
      <c r="E440" t="s">
        <v>309</v>
      </c>
      <c r="F440" t="s">
        <v>42</v>
      </c>
      <c r="G440" s="20" t="s">
        <v>43</v>
      </c>
      <c r="H440" t="s">
        <v>7</v>
      </c>
      <c r="I440" t="str">
        <f t="shared" si="11"/>
        <v>Tetragonula species</v>
      </c>
      <c r="J440" t="s">
        <v>42</v>
      </c>
      <c r="K440" t="s">
        <v>334</v>
      </c>
      <c r="L440" t="s">
        <v>44</v>
      </c>
      <c r="M440" t="s">
        <v>45</v>
      </c>
      <c r="N440">
        <v>303</v>
      </c>
      <c r="O440" t="s">
        <v>119</v>
      </c>
      <c r="P440" t="s">
        <v>30</v>
      </c>
      <c r="Q440" s="4">
        <v>44714</v>
      </c>
      <c r="R440">
        <v>0</v>
      </c>
      <c r="S440" t="s">
        <v>164</v>
      </c>
      <c r="T440" t="s">
        <v>107</v>
      </c>
      <c r="U440" t="s">
        <v>271</v>
      </c>
      <c r="V440">
        <v>0</v>
      </c>
      <c r="AD440">
        <v>1</v>
      </c>
      <c r="AF440">
        <v>13</v>
      </c>
      <c r="AI440">
        <v>206</v>
      </c>
    </row>
    <row r="441" spans="1:35" x14ac:dyDescent="0.35">
      <c r="A441" t="s">
        <v>91</v>
      </c>
      <c r="B441" t="s">
        <v>24</v>
      </c>
      <c r="C441" t="s">
        <v>33</v>
      </c>
      <c r="D441" t="s">
        <v>34</v>
      </c>
      <c r="E441" t="s">
        <v>309</v>
      </c>
      <c r="F441" t="s">
        <v>42</v>
      </c>
      <c r="G441" s="20" t="s">
        <v>43</v>
      </c>
      <c r="H441" t="s">
        <v>7</v>
      </c>
      <c r="I441" t="str">
        <f t="shared" si="11"/>
        <v>Tetragonula species</v>
      </c>
      <c r="J441" t="s">
        <v>42</v>
      </c>
      <c r="K441" t="s">
        <v>334</v>
      </c>
      <c r="L441" t="s">
        <v>44</v>
      </c>
      <c r="M441" t="s">
        <v>45</v>
      </c>
      <c r="N441">
        <v>304</v>
      </c>
      <c r="O441" t="s">
        <v>119</v>
      </c>
      <c r="P441" t="s">
        <v>30</v>
      </c>
      <c r="Q441" s="4">
        <v>44714</v>
      </c>
      <c r="R441">
        <v>1</v>
      </c>
      <c r="S441" t="s">
        <v>164</v>
      </c>
      <c r="T441" t="s">
        <v>107</v>
      </c>
      <c r="U441" t="s">
        <v>271</v>
      </c>
      <c r="V441">
        <v>0</v>
      </c>
      <c r="AD441">
        <v>1</v>
      </c>
      <c r="AF441">
        <v>13</v>
      </c>
      <c r="AI441">
        <v>207</v>
      </c>
    </row>
    <row r="442" spans="1:35" x14ac:dyDescent="0.35">
      <c r="A442" t="s">
        <v>91</v>
      </c>
      <c r="B442" t="s">
        <v>24</v>
      </c>
      <c r="C442" t="s">
        <v>33</v>
      </c>
      <c r="D442" t="s">
        <v>34</v>
      </c>
      <c r="E442" t="s">
        <v>309</v>
      </c>
      <c r="F442" t="s">
        <v>42</v>
      </c>
      <c r="G442" s="20" t="s">
        <v>43</v>
      </c>
      <c r="H442" t="s">
        <v>7</v>
      </c>
      <c r="I442" t="str">
        <f t="shared" si="11"/>
        <v>Tetragonula species</v>
      </c>
      <c r="J442" t="s">
        <v>42</v>
      </c>
      <c r="K442" t="s">
        <v>334</v>
      </c>
      <c r="L442" t="s">
        <v>44</v>
      </c>
      <c r="M442" t="s">
        <v>45</v>
      </c>
      <c r="N442">
        <v>305</v>
      </c>
      <c r="O442" t="s">
        <v>119</v>
      </c>
      <c r="P442" t="s">
        <v>30</v>
      </c>
      <c r="Q442" s="4">
        <v>44714</v>
      </c>
      <c r="R442">
        <v>0</v>
      </c>
      <c r="S442" t="s">
        <v>164</v>
      </c>
      <c r="T442" t="s">
        <v>107</v>
      </c>
      <c r="U442" t="s">
        <v>271</v>
      </c>
      <c r="V442">
        <v>0</v>
      </c>
      <c r="AD442">
        <v>1</v>
      </c>
      <c r="AF442">
        <v>13</v>
      </c>
      <c r="AI442">
        <v>208</v>
      </c>
    </row>
    <row r="443" spans="1:35" x14ac:dyDescent="0.35">
      <c r="A443" t="s">
        <v>91</v>
      </c>
      <c r="B443" t="s">
        <v>24</v>
      </c>
      <c r="C443" t="s">
        <v>33</v>
      </c>
      <c r="D443" t="s">
        <v>34</v>
      </c>
      <c r="E443" t="s">
        <v>309</v>
      </c>
      <c r="F443" t="s">
        <v>42</v>
      </c>
      <c r="G443" s="20" t="s">
        <v>43</v>
      </c>
      <c r="H443" t="s">
        <v>7</v>
      </c>
      <c r="I443" t="str">
        <f t="shared" si="11"/>
        <v>Tetragonula species</v>
      </c>
      <c r="J443" t="s">
        <v>42</v>
      </c>
      <c r="K443" t="s">
        <v>334</v>
      </c>
      <c r="L443" t="s">
        <v>44</v>
      </c>
      <c r="M443" t="s">
        <v>45</v>
      </c>
      <c r="N443">
        <v>306</v>
      </c>
      <c r="O443" t="s">
        <v>119</v>
      </c>
      <c r="P443" t="s">
        <v>30</v>
      </c>
      <c r="Q443" s="4">
        <v>44714</v>
      </c>
      <c r="R443">
        <v>0</v>
      </c>
      <c r="S443" t="s">
        <v>164</v>
      </c>
      <c r="T443" t="s">
        <v>107</v>
      </c>
      <c r="U443" t="s">
        <v>271</v>
      </c>
      <c r="V443">
        <v>0</v>
      </c>
      <c r="AD443">
        <v>1</v>
      </c>
      <c r="AF443">
        <v>13</v>
      </c>
      <c r="AI443">
        <v>209</v>
      </c>
    </row>
    <row r="444" spans="1:35" x14ac:dyDescent="0.35">
      <c r="A444" t="s">
        <v>91</v>
      </c>
      <c r="B444" t="s">
        <v>24</v>
      </c>
      <c r="C444" t="s">
        <v>33</v>
      </c>
      <c r="D444" t="s">
        <v>34</v>
      </c>
      <c r="E444" t="s">
        <v>309</v>
      </c>
      <c r="F444" t="s">
        <v>42</v>
      </c>
      <c r="G444" s="20" t="s">
        <v>43</v>
      </c>
      <c r="H444" t="s">
        <v>7</v>
      </c>
      <c r="I444" t="str">
        <f t="shared" si="11"/>
        <v>Tetragonula species</v>
      </c>
      <c r="J444" t="s">
        <v>42</v>
      </c>
      <c r="K444" t="s">
        <v>334</v>
      </c>
      <c r="L444" t="s">
        <v>44</v>
      </c>
      <c r="M444" t="s">
        <v>45</v>
      </c>
      <c r="N444">
        <v>307</v>
      </c>
      <c r="O444" t="s">
        <v>119</v>
      </c>
      <c r="P444" t="s">
        <v>30</v>
      </c>
      <c r="Q444" s="4">
        <v>44714</v>
      </c>
      <c r="R444">
        <v>1</v>
      </c>
      <c r="S444" t="s">
        <v>164</v>
      </c>
      <c r="T444" t="s">
        <v>107</v>
      </c>
      <c r="U444" t="s">
        <v>271</v>
      </c>
      <c r="V444">
        <v>0</v>
      </c>
      <c r="AD444">
        <v>1</v>
      </c>
      <c r="AF444">
        <v>13</v>
      </c>
      <c r="AI444">
        <v>210</v>
      </c>
    </row>
    <row r="445" spans="1:35" x14ac:dyDescent="0.35">
      <c r="A445" t="s">
        <v>91</v>
      </c>
      <c r="B445" t="s">
        <v>24</v>
      </c>
      <c r="C445" t="s">
        <v>33</v>
      </c>
      <c r="D445" t="s">
        <v>34</v>
      </c>
      <c r="E445" t="s">
        <v>309</v>
      </c>
      <c r="F445" t="s">
        <v>42</v>
      </c>
      <c r="G445" s="20" t="s">
        <v>43</v>
      </c>
      <c r="H445" t="s">
        <v>7</v>
      </c>
      <c r="I445" t="str">
        <f t="shared" si="11"/>
        <v>Tetragonula species</v>
      </c>
      <c r="J445" t="s">
        <v>42</v>
      </c>
      <c r="K445" t="s">
        <v>334</v>
      </c>
      <c r="L445" t="s">
        <v>44</v>
      </c>
      <c r="M445" t="s">
        <v>45</v>
      </c>
      <c r="N445">
        <v>308</v>
      </c>
      <c r="O445" t="s">
        <v>119</v>
      </c>
      <c r="P445" t="s">
        <v>30</v>
      </c>
      <c r="Q445" s="4">
        <v>44714</v>
      </c>
      <c r="R445">
        <v>0</v>
      </c>
      <c r="S445" t="s">
        <v>164</v>
      </c>
      <c r="T445" t="s">
        <v>107</v>
      </c>
      <c r="U445" t="s">
        <v>271</v>
      </c>
      <c r="V445">
        <v>0</v>
      </c>
      <c r="AD445">
        <v>1</v>
      </c>
      <c r="AF445">
        <v>13</v>
      </c>
      <c r="AI445">
        <v>211</v>
      </c>
    </row>
    <row r="446" spans="1:35" x14ac:dyDescent="0.35">
      <c r="A446" t="s">
        <v>91</v>
      </c>
      <c r="B446" t="s">
        <v>24</v>
      </c>
      <c r="C446" t="s">
        <v>33</v>
      </c>
      <c r="D446" t="s">
        <v>34</v>
      </c>
      <c r="E446" t="s">
        <v>309</v>
      </c>
      <c r="F446" t="s">
        <v>42</v>
      </c>
      <c r="G446" s="20" t="s">
        <v>43</v>
      </c>
      <c r="H446" t="s">
        <v>7</v>
      </c>
      <c r="I446" t="str">
        <f t="shared" si="11"/>
        <v>Tetragonula species</v>
      </c>
      <c r="J446" t="s">
        <v>42</v>
      </c>
      <c r="K446" t="s">
        <v>334</v>
      </c>
      <c r="L446" t="s">
        <v>44</v>
      </c>
      <c r="M446" t="s">
        <v>45</v>
      </c>
      <c r="N446">
        <v>309</v>
      </c>
      <c r="O446" t="s">
        <v>119</v>
      </c>
      <c r="P446" t="s">
        <v>30</v>
      </c>
      <c r="Q446" s="4">
        <v>44714</v>
      </c>
      <c r="R446">
        <v>0</v>
      </c>
      <c r="S446" t="s">
        <v>164</v>
      </c>
      <c r="T446" t="s">
        <v>107</v>
      </c>
      <c r="U446" t="s">
        <v>271</v>
      </c>
      <c r="V446">
        <v>0</v>
      </c>
      <c r="AD446">
        <v>1</v>
      </c>
      <c r="AF446">
        <v>23</v>
      </c>
      <c r="AI446">
        <v>212</v>
      </c>
    </row>
    <row r="447" spans="1:35" x14ac:dyDescent="0.35">
      <c r="A447" t="s">
        <v>91</v>
      </c>
      <c r="B447" t="s">
        <v>24</v>
      </c>
      <c r="C447" t="s">
        <v>33</v>
      </c>
      <c r="D447" t="s">
        <v>34</v>
      </c>
      <c r="E447" t="s">
        <v>309</v>
      </c>
      <c r="F447" t="s">
        <v>42</v>
      </c>
      <c r="G447" s="20" t="s">
        <v>43</v>
      </c>
      <c r="H447" t="s">
        <v>7</v>
      </c>
      <c r="I447" t="str">
        <f t="shared" si="11"/>
        <v>Tetragonula species</v>
      </c>
      <c r="J447" t="s">
        <v>42</v>
      </c>
      <c r="K447" t="s">
        <v>334</v>
      </c>
      <c r="L447" t="s">
        <v>44</v>
      </c>
      <c r="M447" t="s">
        <v>45</v>
      </c>
      <c r="N447">
        <v>310</v>
      </c>
      <c r="O447" t="s">
        <v>119</v>
      </c>
      <c r="P447" t="s">
        <v>30</v>
      </c>
      <c r="Q447" s="4">
        <v>44714</v>
      </c>
      <c r="R447">
        <v>0</v>
      </c>
      <c r="S447" t="s">
        <v>164</v>
      </c>
      <c r="T447" t="s">
        <v>107</v>
      </c>
      <c r="U447" t="s">
        <v>271</v>
      </c>
      <c r="V447">
        <v>0</v>
      </c>
      <c r="AD447">
        <v>1</v>
      </c>
      <c r="AF447">
        <v>23</v>
      </c>
      <c r="AI447">
        <v>213</v>
      </c>
    </row>
    <row r="448" spans="1:35" x14ac:dyDescent="0.35">
      <c r="A448" t="s">
        <v>91</v>
      </c>
      <c r="B448" t="s">
        <v>24</v>
      </c>
      <c r="C448" t="s">
        <v>33</v>
      </c>
      <c r="D448" t="s">
        <v>34</v>
      </c>
      <c r="E448" t="s">
        <v>309</v>
      </c>
      <c r="F448" t="s">
        <v>42</v>
      </c>
      <c r="G448" s="20" t="s">
        <v>43</v>
      </c>
      <c r="H448" t="s">
        <v>7</v>
      </c>
      <c r="I448" t="str">
        <f t="shared" si="11"/>
        <v>Tetragonula species</v>
      </c>
      <c r="J448" t="s">
        <v>42</v>
      </c>
      <c r="K448" t="s">
        <v>334</v>
      </c>
      <c r="L448" t="s">
        <v>44</v>
      </c>
      <c r="M448" t="s">
        <v>45</v>
      </c>
      <c r="N448">
        <v>311</v>
      </c>
      <c r="O448" t="s">
        <v>119</v>
      </c>
      <c r="P448" t="s">
        <v>30</v>
      </c>
      <c r="Q448" s="4">
        <v>44714</v>
      </c>
      <c r="R448">
        <v>1</v>
      </c>
      <c r="S448" t="s">
        <v>164</v>
      </c>
      <c r="T448" t="s">
        <v>107</v>
      </c>
      <c r="U448" t="s">
        <v>271</v>
      </c>
      <c r="V448">
        <v>0</v>
      </c>
      <c r="AD448">
        <v>1</v>
      </c>
      <c r="AF448">
        <v>23</v>
      </c>
      <c r="AI448">
        <v>214</v>
      </c>
    </row>
    <row r="449" spans="1:35" x14ac:dyDescent="0.35">
      <c r="A449" t="s">
        <v>91</v>
      </c>
      <c r="B449" t="s">
        <v>24</v>
      </c>
      <c r="C449" t="s">
        <v>33</v>
      </c>
      <c r="D449" t="s">
        <v>34</v>
      </c>
      <c r="E449" t="s">
        <v>309</v>
      </c>
      <c r="F449" t="s">
        <v>42</v>
      </c>
      <c r="G449" s="20" t="s">
        <v>43</v>
      </c>
      <c r="H449" t="s">
        <v>7</v>
      </c>
      <c r="I449" t="str">
        <f t="shared" si="11"/>
        <v>Tetragonula species</v>
      </c>
      <c r="J449" t="s">
        <v>42</v>
      </c>
      <c r="K449" t="s">
        <v>334</v>
      </c>
      <c r="L449" t="s">
        <v>44</v>
      </c>
      <c r="M449" t="s">
        <v>45</v>
      </c>
      <c r="N449">
        <v>312</v>
      </c>
      <c r="O449" t="s">
        <v>119</v>
      </c>
      <c r="P449" t="s">
        <v>30</v>
      </c>
      <c r="Q449" s="4">
        <v>44714</v>
      </c>
      <c r="R449">
        <v>0</v>
      </c>
      <c r="S449" t="s">
        <v>78</v>
      </c>
      <c r="T449" t="s">
        <v>78</v>
      </c>
      <c r="U449" t="s">
        <v>271</v>
      </c>
      <c r="V449">
        <v>0</v>
      </c>
      <c r="AD449">
        <v>1</v>
      </c>
      <c r="AF449">
        <v>23</v>
      </c>
      <c r="AI449">
        <v>215</v>
      </c>
    </row>
    <row r="450" spans="1:35" x14ac:dyDescent="0.35">
      <c r="A450" t="s">
        <v>91</v>
      </c>
      <c r="B450" t="s">
        <v>24</v>
      </c>
      <c r="C450" t="s">
        <v>33</v>
      </c>
      <c r="D450" t="s">
        <v>34</v>
      </c>
      <c r="E450" t="s">
        <v>309</v>
      </c>
      <c r="F450" t="s">
        <v>42</v>
      </c>
      <c r="G450" s="20" t="s">
        <v>43</v>
      </c>
      <c r="H450" t="s">
        <v>7</v>
      </c>
      <c r="I450" t="str">
        <f t="shared" si="11"/>
        <v>Tetragonula species</v>
      </c>
      <c r="J450" t="s">
        <v>42</v>
      </c>
      <c r="K450" t="s">
        <v>334</v>
      </c>
      <c r="L450" t="s">
        <v>44</v>
      </c>
      <c r="M450" t="s">
        <v>45</v>
      </c>
      <c r="N450">
        <v>313</v>
      </c>
      <c r="O450" t="s">
        <v>119</v>
      </c>
      <c r="P450" t="s">
        <v>30</v>
      </c>
      <c r="Q450" s="4">
        <v>44714</v>
      </c>
      <c r="R450">
        <v>0</v>
      </c>
      <c r="S450" t="s">
        <v>78</v>
      </c>
      <c r="T450" t="s">
        <v>78</v>
      </c>
      <c r="U450" t="s">
        <v>271</v>
      </c>
      <c r="V450">
        <v>0</v>
      </c>
      <c r="AD450">
        <v>1</v>
      </c>
      <c r="AF450">
        <v>23</v>
      </c>
      <c r="AI450">
        <v>216</v>
      </c>
    </row>
    <row r="451" spans="1:35" x14ac:dyDescent="0.35">
      <c r="A451" t="s">
        <v>91</v>
      </c>
      <c r="B451" t="s">
        <v>24</v>
      </c>
      <c r="C451" t="s">
        <v>33</v>
      </c>
      <c r="D451" t="s">
        <v>34</v>
      </c>
      <c r="E451" t="s">
        <v>309</v>
      </c>
      <c r="F451" t="s">
        <v>42</v>
      </c>
      <c r="G451" s="20" t="s">
        <v>43</v>
      </c>
      <c r="H451" t="s">
        <v>7</v>
      </c>
      <c r="I451" t="str">
        <f t="shared" si="11"/>
        <v>Tetragonula species</v>
      </c>
      <c r="J451" t="s">
        <v>42</v>
      </c>
      <c r="K451" t="s">
        <v>334</v>
      </c>
      <c r="L451" t="s">
        <v>44</v>
      </c>
      <c r="M451" t="s">
        <v>45</v>
      </c>
      <c r="N451">
        <v>314</v>
      </c>
      <c r="O451" t="s">
        <v>119</v>
      </c>
      <c r="P451" t="s">
        <v>30</v>
      </c>
      <c r="Q451" s="4">
        <v>44714</v>
      </c>
      <c r="R451">
        <v>0</v>
      </c>
      <c r="S451" t="s">
        <v>78</v>
      </c>
      <c r="T451" t="s">
        <v>78</v>
      </c>
      <c r="U451" t="s">
        <v>271</v>
      </c>
      <c r="V451">
        <v>0</v>
      </c>
      <c r="AD451">
        <v>1</v>
      </c>
      <c r="AF451">
        <v>23</v>
      </c>
      <c r="AI451">
        <v>217</v>
      </c>
    </row>
    <row r="452" spans="1:35" x14ac:dyDescent="0.35">
      <c r="A452" t="s">
        <v>91</v>
      </c>
      <c r="B452" t="s">
        <v>24</v>
      </c>
      <c r="C452" t="s">
        <v>33</v>
      </c>
      <c r="D452" t="s">
        <v>34</v>
      </c>
      <c r="E452" t="s">
        <v>309</v>
      </c>
      <c r="F452" t="s">
        <v>42</v>
      </c>
      <c r="G452" s="20" t="s">
        <v>43</v>
      </c>
      <c r="H452" t="s">
        <v>7</v>
      </c>
      <c r="I452" t="str">
        <f t="shared" si="11"/>
        <v>Tetragonula species</v>
      </c>
      <c r="J452" t="s">
        <v>42</v>
      </c>
      <c r="K452" t="s">
        <v>334</v>
      </c>
      <c r="L452" t="s">
        <v>44</v>
      </c>
      <c r="M452" t="s">
        <v>45</v>
      </c>
      <c r="N452">
        <v>315</v>
      </c>
      <c r="O452" t="s">
        <v>119</v>
      </c>
      <c r="P452" t="s">
        <v>30</v>
      </c>
      <c r="Q452" s="4">
        <v>44714</v>
      </c>
      <c r="R452">
        <v>0</v>
      </c>
      <c r="S452" t="s">
        <v>78</v>
      </c>
      <c r="T452" t="s">
        <v>78</v>
      </c>
      <c r="U452" t="s">
        <v>271</v>
      </c>
      <c r="V452">
        <v>0</v>
      </c>
      <c r="AD452">
        <v>1</v>
      </c>
      <c r="AF452">
        <v>23</v>
      </c>
      <c r="AI452">
        <v>218</v>
      </c>
    </row>
    <row r="453" spans="1:35" x14ac:dyDescent="0.35">
      <c r="A453" t="s">
        <v>91</v>
      </c>
      <c r="B453" t="s">
        <v>24</v>
      </c>
      <c r="C453" t="s">
        <v>33</v>
      </c>
      <c r="D453" t="s">
        <v>34</v>
      </c>
      <c r="E453" t="s">
        <v>309</v>
      </c>
      <c r="F453" t="s">
        <v>42</v>
      </c>
      <c r="G453" s="20" t="s">
        <v>43</v>
      </c>
      <c r="H453" t="s">
        <v>7</v>
      </c>
      <c r="I453" t="str">
        <f t="shared" si="11"/>
        <v>Tetragonula species</v>
      </c>
      <c r="J453" t="s">
        <v>42</v>
      </c>
      <c r="K453" t="s">
        <v>334</v>
      </c>
      <c r="L453" t="s">
        <v>44</v>
      </c>
      <c r="M453" t="s">
        <v>45</v>
      </c>
      <c r="N453">
        <v>316</v>
      </c>
      <c r="O453" t="s">
        <v>119</v>
      </c>
      <c r="P453" t="s">
        <v>30</v>
      </c>
      <c r="Q453" s="4">
        <v>44714</v>
      </c>
      <c r="R453">
        <v>0</v>
      </c>
      <c r="S453" t="s">
        <v>78</v>
      </c>
      <c r="T453" t="s">
        <v>78</v>
      </c>
      <c r="U453" t="s">
        <v>271</v>
      </c>
      <c r="V453">
        <v>0</v>
      </c>
      <c r="AD453">
        <v>1</v>
      </c>
      <c r="AF453">
        <v>23</v>
      </c>
      <c r="AI453">
        <v>219</v>
      </c>
    </row>
    <row r="454" spans="1:35" x14ac:dyDescent="0.35">
      <c r="A454" t="s">
        <v>91</v>
      </c>
      <c r="B454" t="s">
        <v>24</v>
      </c>
      <c r="C454" t="s">
        <v>33</v>
      </c>
      <c r="D454" t="s">
        <v>34</v>
      </c>
      <c r="E454" t="s">
        <v>309</v>
      </c>
      <c r="F454" t="s">
        <v>42</v>
      </c>
      <c r="G454" s="20" t="s">
        <v>43</v>
      </c>
      <c r="H454" t="s">
        <v>7</v>
      </c>
      <c r="I454" t="str">
        <f t="shared" si="11"/>
        <v>Tetragonula species</v>
      </c>
      <c r="J454" t="s">
        <v>42</v>
      </c>
      <c r="K454" t="s">
        <v>334</v>
      </c>
      <c r="L454" t="s">
        <v>44</v>
      </c>
      <c r="M454" t="s">
        <v>45</v>
      </c>
      <c r="N454">
        <v>317</v>
      </c>
      <c r="O454" t="s">
        <v>119</v>
      </c>
      <c r="P454" t="s">
        <v>30</v>
      </c>
      <c r="Q454" s="4">
        <v>44714</v>
      </c>
      <c r="R454">
        <v>0</v>
      </c>
      <c r="S454" t="s">
        <v>78</v>
      </c>
      <c r="T454" t="s">
        <v>78</v>
      </c>
      <c r="U454" t="s">
        <v>271</v>
      </c>
      <c r="V454">
        <v>0</v>
      </c>
      <c r="AD454">
        <v>1</v>
      </c>
      <c r="AF454">
        <v>23</v>
      </c>
      <c r="AI454">
        <v>220</v>
      </c>
    </row>
    <row r="455" spans="1:35" x14ac:dyDescent="0.35">
      <c r="A455" t="s">
        <v>91</v>
      </c>
      <c r="B455" t="s">
        <v>24</v>
      </c>
      <c r="C455" t="s">
        <v>33</v>
      </c>
      <c r="D455" t="s">
        <v>34</v>
      </c>
      <c r="E455" t="s">
        <v>309</v>
      </c>
      <c r="F455" t="s">
        <v>42</v>
      </c>
      <c r="G455" s="20" t="s">
        <v>43</v>
      </c>
      <c r="H455" t="s">
        <v>7</v>
      </c>
      <c r="I455" t="str">
        <f t="shared" si="11"/>
        <v>Tetragonula species</v>
      </c>
      <c r="J455" t="s">
        <v>42</v>
      </c>
      <c r="K455" t="s">
        <v>334</v>
      </c>
      <c r="L455" t="s">
        <v>44</v>
      </c>
      <c r="M455" t="s">
        <v>45</v>
      </c>
      <c r="N455">
        <v>318</v>
      </c>
      <c r="O455" t="s">
        <v>119</v>
      </c>
      <c r="P455" t="s">
        <v>30</v>
      </c>
      <c r="Q455" s="4">
        <v>44714</v>
      </c>
      <c r="R455">
        <v>0</v>
      </c>
      <c r="S455" t="s">
        <v>78</v>
      </c>
      <c r="T455" t="s">
        <v>78</v>
      </c>
      <c r="U455" t="s">
        <v>271</v>
      </c>
      <c r="V455">
        <v>0</v>
      </c>
      <c r="AD455">
        <v>1</v>
      </c>
      <c r="AF455">
        <v>23</v>
      </c>
      <c r="AI455">
        <v>221</v>
      </c>
    </row>
    <row r="456" spans="1:35" x14ac:dyDescent="0.35">
      <c r="A456" t="s">
        <v>91</v>
      </c>
      <c r="B456" t="s">
        <v>24</v>
      </c>
      <c r="C456" t="s">
        <v>33</v>
      </c>
      <c r="D456" t="s">
        <v>34</v>
      </c>
      <c r="E456" t="s">
        <v>309</v>
      </c>
      <c r="F456" t="s">
        <v>42</v>
      </c>
      <c r="G456" s="20" t="s">
        <v>43</v>
      </c>
      <c r="H456" t="s">
        <v>7</v>
      </c>
      <c r="I456" t="str">
        <f t="shared" si="11"/>
        <v>Tetragonula species</v>
      </c>
      <c r="J456" t="s">
        <v>42</v>
      </c>
      <c r="K456" t="s">
        <v>334</v>
      </c>
      <c r="L456" t="s">
        <v>44</v>
      </c>
      <c r="M456" t="s">
        <v>45</v>
      </c>
      <c r="N456">
        <v>319</v>
      </c>
      <c r="O456" t="s">
        <v>119</v>
      </c>
      <c r="P456" t="s">
        <v>30</v>
      </c>
      <c r="Q456" s="4">
        <v>44714</v>
      </c>
      <c r="R456">
        <v>1</v>
      </c>
      <c r="S456" t="s">
        <v>78</v>
      </c>
      <c r="T456" t="s">
        <v>78</v>
      </c>
      <c r="U456" t="s">
        <v>271</v>
      </c>
      <c r="V456">
        <v>0</v>
      </c>
      <c r="AD456">
        <v>1</v>
      </c>
      <c r="AF456">
        <v>23</v>
      </c>
      <c r="AI456">
        <v>222</v>
      </c>
    </row>
    <row r="457" spans="1:35" x14ac:dyDescent="0.35">
      <c r="A457" t="s">
        <v>91</v>
      </c>
      <c r="B457" t="s">
        <v>24</v>
      </c>
      <c r="C457" t="s">
        <v>33</v>
      </c>
      <c r="D457" t="s">
        <v>34</v>
      </c>
      <c r="E457" t="s">
        <v>309</v>
      </c>
      <c r="F457" t="s">
        <v>42</v>
      </c>
      <c r="G457" s="20" t="s">
        <v>43</v>
      </c>
      <c r="H457" t="s">
        <v>7</v>
      </c>
      <c r="I457" t="str">
        <f t="shared" si="11"/>
        <v>Tetragonula species</v>
      </c>
      <c r="J457" t="s">
        <v>42</v>
      </c>
      <c r="K457" t="s">
        <v>334</v>
      </c>
      <c r="L457" t="s">
        <v>44</v>
      </c>
      <c r="M457" t="s">
        <v>45</v>
      </c>
      <c r="N457">
        <v>320</v>
      </c>
      <c r="O457" t="s">
        <v>119</v>
      </c>
      <c r="P457" t="s">
        <v>30</v>
      </c>
      <c r="Q457" s="4">
        <v>44714</v>
      </c>
      <c r="R457">
        <v>0</v>
      </c>
      <c r="S457" t="s">
        <v>78</v>
      </c>
      <c r="T457" t="s">
        <v>78</v>
      </c>
      <c r="U457" t="s">
        <v>271</v>
      </c>
      <c r="V457">
        <v>0</v>
      </c>
      <c r="AD457">
        <v>1</v>
      </c>
      <c r="AF457">
        <v>23</v>
      </c>
      <c r="AI457">
        <v>223</v>
      </c>
    </row>
    <row r="458" spans="1:35" x14ac:dyDescent="0.35">
      <c r="A458" t="s">
        <v>91</v>
      </c>
      <c r="B458" t="s">
        <v>24</v>
      </c>
      <c r="C458" t="s">
        <v>33</v>
      </c>
      <c r="D458" t="s">
        <v>34</v>
      </c>
      <c r="E458" t="s">
        <v>309</v>
      </c>
      <c r="F458" t="s">
        <v>42</v>
      </c>
      <c r="G458" s="20" t="s">
        <v>43</v>
      </c>
      <c r="H458" t="s">
        <v>7</v>
      </c>
      <c r="I458" t="str">
        <f t="shared" si="11"/>
        <v>Tetragonula species</v>
      </c>
      <c r="J458" t="s">
        <v>42</v>
      </c>
      <c r="K458" t="s">
        <v>334</v>
      </c>
      <c r="L458" t="s">
        <v>44</v>
      </c>
      <c r="M458" t="s">
        <v>45</v>
      </c>
      <c r="N458">
        <v>321</v>
      </c>
      <c r="O458" t="s">
        <v>119</v>
      </c>
      <c r="P458" t="s">
        <v>30</v>
      </c>
      <c r="Q458" s="4">
        <v>44714</v>
      </c>
      <c r="R458">
        <v>1</v>
      </c>
      <c r="U458" t="s">
        <v>225</v>
      </c>
      <c r="V458">
        <v>0</v>
      </c>
      <c r="AD458">
        <v>1</v>
      </c>
      <c r="AF458">
        <v>13</v>
      </c>
      <c r="AI458">
        <v>224</v>
      </c>
    </row>
    <row r="459" spans="1:35" x14ac:dyDescent="0.35">
      <c r="A459" t="s">
        <v>91</v>
      </c>
      <c r="B459" t="s">
        <v>24</v>
      </c>
      <c r="C459" t="s">
        <v>33</v>
      </c>
      <c r="D459" t="s">
        <v>34</v>
      </c>
      <c r="E459" t="s">
        <v>309</v>
      </c>
      <c r="F459" t="s">
        <v>42</v>
      </c>
      <c r="G459" s="20" t="s">
        <v>43</v>
      </c>
      <c r="H459" t="s">
        <v>7</v>
      </c>
      <c r="I459" t="str">
        <f t="shared" si="11"/>
        <v>Tetragonula species</v>
      </c>
      <c r="J459" t="s">
        <v>42</v>
      </c>
      <c r="K459" t="s">
        <v>334</v>
      </c>
      <c r="L459" t="s">
        <v>44</v>
      </c>
      <c r="M459" t="s">
        <v>45</v>
      </c>
      <c r="N459">
        <v>322</v>
      </c>
      <c r="O459" t="s">
        <v>119</v>
      </c>
      <c r="P459" t="s">
        <v>30</v>
      </c>
      <c r="Q459" s="4">
        <v>44714</v>
      </c>
      <c r="R459">
        <v>0</v>
      </c>
      <c r="U459" t="s">
        <v>225</v>
      </c>
      <c r="V459">
        <v>0</v>
      </c>
      <c r="AD459">
        <v>1</v>
      </c>
      <c r="AF459">
        <v>13</v>
      </c>
      <c r="AI459">
        <v>225</v>
      </c>
    </row>
    <row r="460" spans="1:35" x14ac:dyDescent="0.35">
      <c r="A460" t="s">
        <v>91</v>
      </c>
      <c r="B460" t="s">
        <v>24</v>
      </c>
      <c r="C460" t="s">
        <v>33</v>
      </c>
      <c r="D460" t="s">
        <v>34</v>
      </c>
      <c r="E460" t="s">
        <v>309</v>
      </c>
      <c r="F460" t="s">
        <v>42</v>
      </c>
      <c r="G460" s="20" t="s">
        <v>43</v>
      </c>
      <c r="H460" t="s">
        <v>7</v>
      </c>
      <c r="I460" t="str">
        <f t="shared" si="11"/>
        <v>Tetragonula species</v>
      </c>
      <c r="J460" t="s">
        <v>42</v>
      </c>
      <c r="K460" t="s">
        <v>334</v>
      </c>
      <c r="L460" t="s">
        <v>44</v>
      </c>
      <c r="M460" t="s">
        <v>45</v>
      </c>
      <c r="N460">
        <v>323</v>
      </c>
      <c r="O460" t="s">
        <v>119</v>
      </c>
      <c r="P460" t="s">
        <v>30</v>
      </c>
      <c r="Q460" s="4">
        <v>44714</v>
      </c>
      <c r="R460">
        <v>0</v>
      </c>
      <c r="U460" t="s">
        <v>225</v>
      </c>
      <c r="V460">
        <v>0</v>
      </c>
      <c r="AD460">
        <v>1</v>
      </c>
      <c r="AF460">
        <v>13</v>
      </c>
      <c r="AI460">
        <v>226</v>
      </c>
    </row>
    <row r="461" spans="1:35" x14ac:dyDescent="0.35">
      <c r="A461" t="s">
        <v>91</v>
      </c>
      <c r="B461" t="s">
        <v>24</v>
      </c>
      <c r="C461" t="s">
        <v>33</v>
      </c>
      <c r="D461" t="s">
        <v>34</v>
      </c>
      <c r="E461" t="s">
        <v>309</v>
      </c>
      <c r="F461" t="s">
        <v>42</v>
      </c>
      <c r="G461" s="20" t="s">
        <v>43</v>
      </c>
      <c r="H461" t="s">
        <v>7</v>
      </c>
      <c r="I461" t="str">
        <f t="shared" si="11"/>
        <v>Tetragonula species</v>
      </c>
      <c r="J461" t="s">
        <v>42</v>
      </c>
      <c r="K461" t="s">
        <v>334</v>
      </c>
      <c r="L461" t="s">
        <v>44</v>
      </c>
      <c r="M461" t="s">
        <v>45</v>
      </c>
      <c r="N461">
        <v>324</v>
      </c>
      <c r="O461" t="s">
        <v>119</v>
      </c>
      <c r="P461" t="s">
        <v>30</v>
      </c>
      <c r="Q461" s="4">
        <v>44714</v>
      </c>
      <c r="R461">
        <v>1</v>
      </c>
      <c r="U461" t="s">
        <v>225</v>
      </c>
      <c r="V461">
        <v>0</v>
      </c>
      <c r="AD461">
        <v>1</v>
      </c>
      <c r="AF461">
        <v>15</v>
      </c>
      <c r="AI461">
        <v>227</v>
      </c>
    </row>
    <row r="462" spans="1:35" x14ac:dyDescent="0.35">
      <c r="A462" t="s">
        <v>91</v>
      </c>
      <c r="B462" t="s">
        <v>24</v>
      </c>
      <c r="C462" t="s">
        <v>33</v>
      </c>
      <c r="D462" t="s">
        <v>34</v>
      </c>
      <c r="E462" t="s">
        <v>309</v>
      </c>
      <c r="F462" t="s">
        <v>42</v>
      </c>
      <c r="G462" s="20" t="s">
        <v>43</v>
      </c>
      <c r="H462" t="s">
        <v>7</v>
      </c>
      <c r="I462" t="str">
        <f t="shared" si="11"/>
        <v>Tetragonula species</v>
      </c>
      <c r="J462" t="s">
        <v>42</v>
      </c>
      <c r="K462" t="s">
        <v>334</v>
      </c>
      <c r="L462" t="s">
        <v>44</v>
      </c>
      <c r="M462" t="s">
        <v>45</v>
      </c>
      <c r="N462">
        <v>325</v>
      </c>
      <c r="O462" t="s">
        <v>119</v>
      </c>
      <c r="P462" t="s">
        <v>30</v>
      </c>
      <c r="Q462" s="4">
        <v>44714</v>
      </c>
      <c r="R462">
        <v>0</v>
      </c>
      <c r="U462" t="s">
        <v>225</v>
      </c>
      <c r="V462">
        <v>0</v>
      </c>
      <c r="AD462">
        <v>1</v>
      </c>
      <c r="AF462">
        <v>15</v>
      </c>
      <c r="AI462">
        <v>228</v>
      </c>
    </row>
    <row r="463" spans="1:35" x14ac:dyDescent="0.35">
      <c r="A463" t="s">
        <v>91</v>
      </c>
      <c r="B463" t="s">
        <v>24</v>
      </c>
      <c r="C463" t="s">
        <v>33</v>
      </c>
      <c r="D463" t="s">
        <v>34</v>
      </c>
      <c r="E463" t="s">
        <v>309</v>
      </c>
      <c r="F463" t="s">
        <v>42</v>
      </c>
      <c r="G463" s="20" t="s">
        <v>43</v>
      </c>
      <c r="H463" t="s">
        <v>7</v>
      </c>
      <c r="I463" t="str">
        <f t="shared" si="11"/>
        <v>Tetragonula species</v>
      </c>
      <c r="J463" t="s">
        <v>42</v>
      </c>
      <c r="K463" t="s">
        <v>334</v>
      </c>
      <c r="L463" t="s">
        <v>44</v>
      </c>
      <c r="M463" t="s">
        <v>45</v>
      </c>
      <c r="N463">
        <v>326</v>
      </c>
      <c r="O463" t="s">
        <v>119</v>
      </c>
      <c r="P463" t="s">
        <v>30</v>
      </c>
      <c r="Q463" s="4">
        <v>44714</v>
      </c>
      <c r="R463">
        <v>0</v>
      </c>
      <c r="U463" t="s">
        <v>225</v>
      </c>
      <c r="V463">
        <v>0</v>
      </c>
      <c r="AD463">
        <v>1</v>
      </c>
      <c r="AF463">
        <v>15</v>
      </c>
      <c r="AI463">
        <v>229</v>
      </c>
    </row>
    <row r="464" spans="1:35" x14ac:dyDescent="0.35">
      <c r="A464" t="s">
        <v>91</v>
      </c>
      <c r="B464" t="s">
        <v>24</v>
      </c>
      <c r="C464" t="s">
        <v>33</v>
      </c>
      <c r="D464" t="s">
        <v>34</v>
      </c>
      <c r="E464" t="s">
        <v>309</v>
      </c>
      <c r="F464" t="s">
        <v>42</v>
      </c>
      <c r="G464" s="20" t="s">
        <v>43</v>
      </c>
      <c r="H464" t="s">
        <v>7</v>
      </c>
      <c r="I464" t="str">
        <f t="shared" si="11"/>
        <v>Tetragonula species</v>
      </c>
      <c r="J464" t="s">
        <v>42</v>
      </c>
      <c r="K464" t="s">
        <v>334</v>
      </c>
      <c r="L464" t="s">
        <v>44</v>
      </c>
      <c r="M464" t="s">
        <v>45</v>
      </c>
      <c r="N464">
        <v>327</v>
      </c>
      <c r="O464" t="s">
        <v>119</v>
      </c>
      <c r="P464" t="s">
        <v>30</v>
      </c>
      <c r="Q464" s="4">
        <v>44714</v>
      </c>
      <c r="R464">
        <v>1</v>
      </c>
      <c r="U464" t="s">
        <v>225</v>
      </c>
      <c r="V464">
        <v>0</v>
      </c>
      <c r="AD464">
        <v>1</v>
      </c>
      <c r="AF464">
        <v>15</v>
      </c>
      <c r="AI464">
        <v>230</v>
      </c>
    </row>
    <row r="465" spans="1:35" x14ac:dyDescent="0.35">
      <c r="A465" t="s">
        <v>91</v>
      </c>
      <c r="B465" t="s">
        <v>24</v>
      </c>
      <c r="C465" t="s">
        <v>33</v>
      </c>
      <c r="D465" t="s">
        <v>34</v>
      </c>
      <c r="E465" t="s">
        <v>309</v>
      </c>
      <c r="F465" t="s">
        <v>42</v>
      </c>
      <c r="G465" s="20" t="s">
        <v>43</v>
      </c>
      <c r="H465" t="s">
        <v>7</v>
      </c>
      <c r="I465" t="str">
        <f t="shared" si="11"/>
        <v>Tetragonula species</v>
      </c>
      <c r="J465" t="s">
        <v>42</v>
      </c>
      <c r="K465" t="s">
        <v>334</v>
      </c>
      <c r="L465" t="s">
        <v>44</v>
      </c>
      <c r="M465" t="s">
        <v>45</v>
      </c>
      <c r="N465">
        <v>328</v>
      </c>
      <c r="O465" t="s">
        <v>119</v>
      </c>
      <c r="P465" t="s">
        <v>30</v>
      </c>
      <c r="Q465" s="4">
        <v>44714</v>
      </c>
      <c r="R465">
        <v>0</v>
      </c>
      <c r="U465" t="s">
        <v>225</v>
      </c>
      <c r="V465">
        <v>0</v>
      </c>
      <c r="AD465">
        <v>1</v>
      </c>
      <c r="AF465">
        <v>15</v>
      </c>
      <c r="AI465">
        <v>231</v>
      </c>
    </row>
    <row r="466" spans="1:35" x14ac:dyDescent="0.35">
      <c r="A466" t="s">
        <v>91</v>
      </c>
      <c r="B466" t="s">
        <v>24</v>
      </c>
      <c r="C466" t="s">
        <v>33</v>
      </c>
      <c r="D466" t="s">
        <v>34</v>
      </c>
      <c r="E466" t="s">
        <v>309</v>
      </c>
      <c r="F466" t="s">
        <v>42</v>
      </c>
      <c r="G466" s="20" t="s">
        <v>43</v>
      </c>
      <c r="H466" t="s">
        <v>7</v>
      </c>
      <c r="I466" t="str">
        <f t="shared" si="11"/>
        <v>Tetragonula species</v>
      </c>
      <c r="J466" t="s">
        <v>42</v>
      </c>
      <c r="K466" t="s">
        <v>334</v>
      </c>
      <c r="L466" t="s">
        <v>44</v>
      </c>
      <c r="M466" t="s">
        <v>45</v>
      </c>
      <c r="N466">
        <v>329</v>
      </c>
      <c r="O466" t="s">
        <v>119</v>
      </c>
      <c r="P466" t="s">
        <v>30</v>
      </c>
      <c r="Q466" s="4">
        <v>44714</v>
      </c>
      <c r="R466">
        <v>0</v>
      </c>
      <c r="U466" t="s">
        <v>225</v>
      </c>
      <c r="V466">
        <v>0</v>
      </c>
      <c r="AD466">
        <v>1</v>
      </c>
      <c r="AF466">
        <v>15</v>
      </c>
      <c r="AI466">
        <v>232</v>
      </c>
    </row>
    <row r="467" spans="1:35" x14ac:dyDescent="0.35">
      <c r="A467" t="s">
        <v>91</v>
      </c>
      <c r="B467" t="s">
        <v>24</v>
      </c>
      <c r="C467" t="s">
        <v>33</v>
      </c>
      <c r="D467" t="s">
        <v>34</v>
      </c>
      <c r="E467" t="s">
        <v>309</v>
      </c>
      <c r="F467" t="s">
        <v>42</v>
      </c>
      <c r="G467" s="20" t="s">
        <v>43</v>
      </c>
      <c r="H467" t="s">
        <v>7</v>
      </c>
      <c r="I467" t="str">
        <f t="shared" si="11"/>
        <v>Tetragonula species</v>
      </c>
      <c r="J467" t="s">
        <v>42</v>
      </c>
      <c r="K467" t="s">
        <v>334</v>
      </c>
      <c r="L467" t="s">
        <v>44</v>
      </c>
      <c r="M467" t="s">
        <v>45</v>
      </c>
      <c r="N467">
        <v>330</v>
      </c>
      <c r="O467" t="s">
        <v>119</v>
      </c>
      <c r="P467" t="s">
        <v>30</v>
      </c>
      <c r="Q467" s="4">
        <v>44714</v>
      </c>
      <c r="R467">
        <v>0</v>
      </c>
      <c r="U467" t="s">
        <v>225</v>
      </c>
      <c r="V467">
        <v>0</v>
      </c>
      <c r="AD467">
        <v>1</v>
      </c>
      <c r="AF467">
        <v>15</v>
      </c>
      <c r="AI467">
        <v>233</v>
      </c>
    </row>
    <row r="468" spans="1:35" x14ac:dyDescent="0.35">
      <c r="A468" t="s">
        <v>91</v>
      </c>
      <c r="B468" t="s">
        <v>24</v>
      </c>
      <c r="C468" t="s">
        <v>33</v>
      </c>
      <c r="D468" t="s">
        <v>34</v>
      </c>
      <c r="E468" t="s">
        <v>309</v>
      </c>
      <c r="F468" t="s">
        <v>42</v>
      </c>
      <c r="G468" s="20" t="s">
        <v>43</v>
      </c>
      <c r="H468" t="s">
        <v>7</v>
      </c>
      <c r="I468" t="str">
        <f t="shared" si="11"/>
        <v>Tetragonula species</v>
      </c>
      <c r="J468" t="s">
        <v>42</v>
      </c>
      <c r="K468" t="s">
        <v>334</v>
      </c>
      <c r="L468" t="s">
        <v>44</v>
      </c>
      <c r="M468" t="s">
        <v>45</v>
      </c>
      <c r="N468">
        <v>331</v>
      </c>
      <c r="O468" t="s">
        <v>119</v>
      </c>
      <c r="P468" t="s">
        <v>30</v>
      </c>
      <c r="Q468" s="4">
        <v>44714</v>
      </c>
      <c r="R468">
        <v>0</v>
      </c>
      <c r="U468" t="s">
        <v>225</v>
      </c>
      <c r="V468">
        <v>0</v>
      </c>
      <c r="AD468">
        <v>1</v>
      </c>
      <c r="AF468">
        <v>15</v>
      </c>
      <c r="AI468">
        <v>234</v>
      </c>
    </row>
    <row r="469" spans="1:35" x14ac:dyDescent="0.35">
      <c r="A469" t="s">
        <v>91</v>
      </c>
      <c r="B469" t="s">
        <v>24</v>
      </c>
      <c r="C469" t="s">
        <v>33</v>
      </c>
      <c r="D469" t="s">
        <v>34</v>
      </c>
      <c r="E469" t="s">
        <v>309</v>
      </c>
      <c r="F469" t="s">
        <v>42</v>
      </c>
      <c r="G469" s="20" t="s">
        <v>43</v>
      </c>
      <c r="H469" t="s">
        <v>7</v>
      </c>
      <c r="I469" t="str">
        <f t="shared" si="11"/>
        <v>Tetragonula species</v>
      </c>
      <c r="J469" t="s">
        <v>42</v>
      </c>
      <c r="K469" t="s">
        <v>334</v>
      </c>
      <c r="L469" t="s">
        <v>44</v>
      </c>
      <c r="M469" t="s">
        <v>45</v>
      </c>
      <c r="N469">
        <v>332</v>
      </c>
      <c r="O469" t="s">
        <v>119</v>
      </c>
      <c r="P469" t="s">
        <v>30</v>
      </c>
      <c r="Q469" s="4">
        <v>44714</v>
      </c>
      <c r="R469">
        <v>0</v>
      </c>
      <c r="U469" t="s">
        <v>225</v>
      </c>
      <c r="V469">
        <v>0</v>
      </c>
      <c r="AD469">
        <v>1</v>
      </c>
      <c r="AF469">
        <v>15</v>
      </c>
      <c r="AI469">
        <v>235</v>
      </c>
    </row>
    <row r="470" spans="1:35" x14ac:dyDescent="0.35">
      <c r="A470" t="s">
        <v>91</v>
      </c>
      <c r="B470" t="s">
        <v>24</v>
      </c>
      <c r="C470" t="s">
        <v>33</v>
      </c>
      <c r="D470" t="s">
        <v>34</v>
      </c>
      <c r="E470" t="s">
        <v>309</v>
      </c>
      <c r="F470" t="s">
        <v>42</v>
      </c>
      <c r="G470" s="20" t="s">
        <v>43</v>
      </c>
      <c r="H470" t="s">
        <v>7</v>
      </c>
      <c r="I470" t="str">
        <f t="shared" si="11"/>
        <v>Tetragonula species</v>
      </c>
      <c r="J470" t="s">
        <v>42</v>
      </c>
      <c r="K470" t="s">
        <v>334</v>
      </c>
      <c r="L470" t="s">
        <v>44</v>
      </c>
      <c r="M470" t="s">
        <v>45</v>
      </c>
      <c r="N470">
        <v>333</v>
      </c>
      <c r="O470" t="s">
        <v>119</v>
      </c>
      <c r="P470" t="s">
        <v>30</v>
      </c>
      <c r="Q470" s="4">
        <v>44714</v>
      </c>
      <c r="R470">
        <v>0</v>
      </c>
      <c r="U470" t="s">
        <v>225</v>
      </c>
      <c r="V470">
        <v>0</v>
      </c>
      <c r="AD470">
        <v>1</v>
      </c>
      <c r="AF470">
        <v>15</v>
      </c>
      <c r="AI470">
        <v>236</v>
      </c>
    </row>
    <row r="471" spans="1:35" x14ac:dyDescent="0.35">
      <c r="A471" t="s">
        <v>91</v>
      </c>
      <c r="B471" t="s">
        <v>24</v>
      </c>
      <c r="C471" t="s">
        <v>33</v>
      </c>
      <c r="D471" t="s">
        <v>34</v>
      </c>
      <c r="E471" t="s">
        <v>309</v>
      </c>
      <c r="F471" t="s">
        <v>42</v>
      </c>
      <c r="G471" s="20" t="s">
        <v>43</v>
      </c>
      <c r="H471" t="s">
        <v>7</v>
      </c>
      <c r="I471" t="str">
        <f t="shared" si="11"/>
        <v>Tetragonula species</v>
      </c>
      <c r="J471" t="s">
        <v>42</v>
      </c>
      <c r="K471" t="s">
        <v>334</v>
      </c>
      <c r="L471" t="s">
        <v>44</v>
      </c>
      <c r="M471" t="s">
        <v>45</v>
      </c>
      <c r="N471">
        <v>334</v>
      </c>
      <c r="O471" t="s">
        <v>119</v>
      </c>
      <c r="P471" t="s">
        <v>30</v>
      </c>
      <c r="Q471" s="4">
        <v>44714</v>
      </c>
      <c r="R471">
        <v>1</v>
      </c>
      <c r="U471" t="s">
        <v>225</v>
      </c>
      <c r="V471">
        <v>0</v>
      </c>
      <c r="AD471">
        <v>1</v>
      </c>
      <c r="AF471">
        <v>15</v>
      </c>
      <c r="AI471">
        <v>237</v>
      </c>
    </row>
    <row r="472" spans="1:35" x14ac:dyDescent="0.35">
      <c r="A472" t="s">
        <v>91</v>
      </c>
      <c r="B472" t="s">
        <v>24</v>
      </c>
      <c r="C472" t="s">
        <v>33</v>
      </c>
      <c r="D472" t="s">
        <v>34</v>
      </c>
      <c r="E472" t="s">
        <v>309</v>
      </c>
      <c r="F472" t="s">
        <v>42</v>
      </c>
      <c r="G472" s="20" t="s">
        <v>43</v>
      </c>
      <c r="H472" t="s">
        <v>7</v>
      </c>
      <c r="I472" t="str">
        <f t="shared" si="11"/>
        <v>Tetragonula species</v>
      </c>
      <c r="J472" t="s">
        <v>42</v>
      </c>
      <c r="K472" t="s">
        <v>334</v>
      </c>
      <c r="L472" t="s">
        <v>44</v>
      </c>
      <c r="M472" t="s">
        <v>45</v>
      </c>
      <c r="N472">
        <v>335</v>
      </c>
      <c r="O472" t="s">
        <v>119</v>
      </c>
      <c r="P472" t="s">
        <v>30</v>
      </c>
      <c r="Q472" s="4">
        <v>44714</v>
      </c>
      <c r="R472">
        <v>0</v>
      </c>
      <c r="U472" t="s">
        <v>225</v>
      </c>
      <c r="V472">
        <v>0</v>
      </c>
      <c r="AD472">
        <v>1</v>
      </c>
      <c r="AF472">
        <v>15</v>
      </c>
      <c r="AI472">
        <v>238</v>
      </c>
    </row>
    <row r="473" spans="1:35" x14ac:dyDescent="0.35">
      <c r="A473" t="s">
        <v>91</v>
      </c>
      <c r="B473" t="s">
        <v>24</v>
      </c>
      <c r="C473" t="s">
        <v>33</v>
      </c>
      <c r="D473" t="s">
        <v>34</v>
      </c>
      <c r="E473" t="s">
        <v>309</v>
      </c>
      <c r="F473" t="s">
        <v>42</v>
      </c>
      <c r="G473" s="20" t="s">
        <v>43</v>
      </c>
      <c r="H473" t="s">
        <v>7</v>
      </c>
      <c r="I473" t="str">
        <f t="shared" si="11"/>
        <v>Tetragonula species</v>
      </c>
      <c r="J473" t="s">
        <v>42</v>
      </c>
      <c r="K473" t="s">
        <v>334</v>
      </c>
      <c r="L473" t="s">
        <v>44</v>
      </c>
      <c r="M473" t="s">
        <v>45</v>
      </c>
      <c r="N473">
        <v>336</v>
      </c>
      <c r="O473" t="s">
        <v>119</v>
      </c>
      <c r="P473" t="s">
        <v>30</v>
      </c>
      <c r="Q473" s="4">
        <v>44714</v>
      </c>
      <c r="R473">
        <v>1</v>
      </c>
      <c r="U473" t="s">
        <v>225</v>
      </c>
      <c r="V473">
        <v>0</v>
      </c>
      <c r="AD473">
        <v>1</v>
      </c>
      <c r="AF473">
        <v>15</v>
      </c>
      <c r="AI473">
        <v>239</v>
      </c>
    </row>
    <row r="474" spans="1:35" x14ac:dyDescent="0.35">
      <c r="A474" t="s">
        <v>91</v>
      </c>
      <c r="B474" t="s">
        <v>24</v>
      </c>
      <c r="C474" t="s">
        <v>33</v>
      </c>
      <c r="D474" t="s">
        <v>34</v>
      </c>
      <c r="E474" t="s">
        <v>309</v>
      </c>
      <c r="F474" t="s">
        <v>42</v>
      </c>
      <c r="G474" s="20" t="s">
        <v>43</v>
      </c>
      <c r="H474" t="s">
        <v>7</v>
      </c>
      <c r="I474" t="str">
        <f t="shared" si="11"/>
        <v>Tetragonula species</v>
      </c>
      <c r="J474" t="s">
        <v>42</v>
      </c>
      <c r="K474" t="s">
        <v>334</v>
      </c>
      <c r="L474" t="s">
        <v>44</v>
      </c>
      <c r="M474" t="s">
        <v>45</v>
      </c>
      <c r="N474">
        <v>337</v>
      </c>
      <c r="O474" t="s">
        <v>119</v>
      </c>
      <c r="P474" t="s">
        <v>30</v>
      </c>
      <c r="Q474" s="4">
        <v>44714</v>
      </c>
      <c r="R474">
        <v>1</v>
      </c>
      <c r="U474" t="s">
        <v>225</v>
      </c>
      <c r="V474">
        <v>0</v>
      </c>
      <c r="AD474">
        <v>1</v>
      </c>
      <c r="AF474">
        <v>15</v>
      </c>
      <c r="AI474">
        <v>240</v>
      </c>
    </row>
    <row r="475" spans="1:35" x14ac:dyDescent="0.35">
      <c r="A475" t="s">
        <v>91</v>
      </c>
      <c r="B475" t="s">
        <v>24</v>
      </c>
      <c r="C475" t="s">
        <v>33</v>
      </c>
      <c r="D475" t="s">
        <v>34</v>
      </c>
      <c r="E475" t="s">
        <v>309</v>
      </c>
      <c r="F475" t="s">
        <v>42</v>
      </c>
      <c r="G475" s="20" t="s">
        <v>43</v>
      </c>
      <c r="H475" t="s">
        <v>7</v>
      </c>
      <c r="I475" t="str">
        <f t="shared" si="11"/>
        <v>Tetragonula species</v>
      </c>
      <c r="J475" t="s">
        <v>42</v>
      </c>
      <c r="K475" t="s">
        <v>334</v>
      </c>
      <c r="L475" t="s">
        <v>44</v>
      </c>
      <c r="M475" t="s">
        <v>45</v>
      </c>
      <c r="N475">
        <v>338</v>
      </c>
      <c r="O475" t="s">
        <v>119</v>
      </c>
      <c r="P475" t="s">
        <v>56</v>
      </c>
      <c r="Q475" s="4">
        <v>44734</v>
      </c>
      <c r="R475">
        <v>1</v>
      </c>
      <c r="U475" t="s">
        <v>225</v>
      </c>
      <c r="V475">
        <v>0</v>
      </c>
      <c r="AD475">
        <v>1</v>
      </c>
      <c r="AF475">
        <v>13</v>
      </c>
      <c r="AI475">
        <v>241</v>
      </c>
    </row>
    <row r="476" spans="1:35" x14ac:dyDescent="0.35">
      <c r="A476" t="s">
        <v>91</v>
      </c>
      <c r="B476" t="s">
        <v>24</v>
      </c>
      <c r="C476" t="s">
        <v>33</v>
      </c>
      <c r="D476" t="s">
        <v>34</v>
      </c>
      <c r="E476" t="s">
        <v>320</v>
      </c>
      <c r="F476" t="s">
        <v>321</v>
      </c>
      <c r="G476" s="20" t="s">
        <v>46</v>
      </c>
      <c r="H476" t="s">
        <v>7</v>
      </c>
      <c r="I476" t="str">
        <f t="shared" si="11"/>
        <v>Xylocopa species</v>
      </c>
      <c r="J476" t="s">
        <v>255</v>
      </c>
      <c r="K476" t="s">
        <v>331</v>
      </c>
      <c r="L476" t="s">
        <v>47</v>
      </c>
      <c r="M476" t="s">
        <v>47</v>
      </c>
      <c r="N476">
        <v>339</v>
      </c>
      <c r="O476" t="s">
        <v>119</v>
      </c>
      <c r="P476" t="s">
        <v>37</v>
      </c>
      <c r="Q476" s="4">
        <v>44727</v>
      </c>
      <c r="R476">
        <v>1</v>
      </c>
      <c r="S476" t="s">
        <v>74</v>
      </c>
      <c r="T476" t="s">
        <v>229</v>
      </c>
      <c r="U476" t="s">
        <v>229</v>
      </c>
      <c r="V476">
        <v>0</v>
      </c>
      <c r="AD476">
        <v>1</v>
      </c>
      <c r="AF476">
        <v>6</v>
      </c>
      <c r="AI476">
        <v>243</v>
      </c>
    </row>
    <row r="477" spans="1:35" x14ac:dyDescent="0.35">
      <c r="A477" t="s">
        <v>91</v>
      </c>
      <c r="B477" t="s">
        <v>24</v>
      </c>
      <c r="C477" t="s">
        <v>33</v>
      </c>
      <c r="D477" t="s">
        <v>34</v>
      </c>
      <c r="E477" t="s">
        <v>320</v>
      </c>
      <c r="F477" t="s">
        <v>321</v>
      </c>
      <c r="G477" s="20" t="s">
        <v>46</v>
      </c>
      <c r="H477" t="s">
        <v>7</v>
      </c>
      <c r="I477" t="str">
        <f t="shared" si="11"/>
        <v>Xylocopa species</v>
      </c>
      <c r="J477" t="s">
        <v>255</v>
      </c>
      <c r="K477" t="s">
        <v>331</v>
      </c>
      <c r="L477" t="s">
        <v>47</v>
      </c>
      <c r="M477" t="s">
        <v>47</v>
      </c>
      <c r="N477">
        <v>340</v>
      </c>
      <c r="O477" t="s">
        <v>119</v>
      </c>
      <c r="P477" t="s">
        <v>37</v>
      </c>
      <c r="Q477" s="4">
        <v>44727</v>
      </c>
      <c r="R477">
        <v>1</v>
      </c>
      <c r="S477" t="s">
        <v>74</v>
      </c>
      <c r="T477" t="s">
        <v>229</v>
      </c>
      <c r="U477" t="s">
        <v>229</v>
      </c>
      <c r="V477">
        <v>0</v>
      </c>
      <c r="AD477">
        <v>1</v>
      </c>
      <c r="AF477">
        <v>6</v>
      </c>
      <c r="AI477">
        <v>244</v>
      </c>
    </row>
    <row r="478" spans="1:35" x14ac:dyDescent="0.35">
      <c r="A478" t="s">
        <v>91</v>
      </c>
      <c r="B478" t="s">
        <v>24</v>
      </c>
      <c r="C478" t="s">
        <v>33</v>
      </c>
      <c r="D478" t="s">
        <v>34</v>
      </c>
      <c r="E478" t="s">
        <v>320</v>
      </c>
      <c r="F478" t="s">
        <v>321</v>
      </c>
      <c r="G478" s="20" t="s">
        <v>46</v>
      </c>
      <c r="H478" t="s">
        <v>7</v>
      </c>
      <c r="I478" t="str">
        <f t="shared" si="11"/>
        <v>Xylocopa species</v>
      </c>
      <c r="J478" t="s">
        <v>255</v>
      </c>
      <c r="K478" t="s">
        <v>331</v>
      </c>
      <c r="L478" t="s">
        <v>47</v>
      </c>
      <c r="M478" t="s">
        <v>47</v>
      </c>
      <c r="N478">
        <v>341</v>
      </c>
      <c r="O478" t="s">
        <v>119</v>
      </c>
      <c r="P478" t="s">
        <v>37</v>
      </c>
      <c r="Q478" s="4">
        <v>44728</v>
      </c>
      <c r="R478">
        <v>1</v>
      </c>
      <c r="S478" t="s">
        <v>74</v>
      </c>
      <c r="T478" t="s">
        <v>229</v>
      </c>
      <c r="U478" t="s">
        <v>229</v>
      </c>
      <c r="V478">
        <v>0</v>
      </c>
      <c r="AD478">
        <v>1</v>
      </c>
      <c r="AF478">
        <v>7</v>
      </c>
      <c r="AI478">
        <v>245</v>
      </c>
    </row>
    <row r="479" spans="1:35" x14ac:dyDescent="0.35">
      <c r="A479" t="s">
        <v>91</v>
      </c>
      <c r="B479" t="s">
        <v>24</v>
      </c>
      <c r="C479" t="s">
        <v>33</v>
      </c>
      <c r="D479" t="s">
        <v>34</v>
      </c>
      <c r="E479" t="s">
        <v>320</v>
      </c>
      <c r="F479" t="s">
        <v>321</v>
      </c>
      <c r="G479" s="20" t="s">
        <v>46</v>
      </c>
      <c r="H479" t="s">
        <v>7</v>
      </c>
      <c r="I479" t="str">
        <f t="shared" si="11"/>
        <v>Xylocopa species</v>
      </c>
      <c r="J479" t="s">
        <v>255</v>
      </c>
      <c r="K479" t="s">
        <v>331</v>
      </c>
      <c r="L479" t="s">
        <v>47</v>
      </c>
      <c r="M479" t="s">
        <v>47</v>
      </c>
      <c r="N479">
        <v>342</v>
      </c>
      <c r="O479" t="s">
        <v>119</v>
      </c>
      <c r="P479" t="s">
        <v>37</v>
      </c>
      <c r="Q479" s="4">
        <v>44728</v>
      </c>
      <c r="R479">
        <v>0</v>
      </c>
      <c r="S479" t="s">
        <v>74</v>
      </c>
      <c r="T479" t="s">
        <v>229</v>
      </c>
      <c r="U479" t="s">
        <v>229</v>
      </c>
      <c r="V479">
        <v>0</v>
      </c>
      <c r="AD479">
        <v>1</v>
      </c>
      <c r="AF479">
        <v>7</v>
      </c>
      <c r="AI479">
        <v>246</v>
      </c>
    </row>
    <row r="480" spans="1:35" x14ac:dyDescent="0.35">
      <c r="A480" t="s">
        <v>91</v>
      </c>
      <c r="B480" t="s">
        <v>24</v>
      </c>
      <c r="C480" t="s">
        <v>33</v>
      </c>
      <c r="D480" t="s">
        <v>34</v>
      </c>
      <c r="E480" t="s">
        <v>320</v>
      </c>
      <c r="F480" t="s">
        <v>321</v>
      </c>
      <c r="G480" s="20" t="s">
        <v>46</v>
      </c>
      <c r="H480" t="s">
        <v>7</v>
      </c>
      <c r="I480" t="str">
        <f t="shared" si="11"/>
        <v>Xylocopa species</v>
      </c>
      <c r="J480" t="s">
        <v>255</v>
      </c>
      <c r="K480" t="s">
        <v>331</v>
      </c>
      <c r="L480" t="s">
        <v>47</v>
      </c>
      <c r="M480" t="s">
        <v>47</v>
      </c>
      <c r="N480">
        <v>343</v>
      </c>
      <c r="O480" t="s">
        <v>119</v>
      </c>
      <c r="P480" t="s">
        <v>37</v>
      </c>
      <c r="Q480" s="4">
        <v>44728</v>
      </c>
      <c r="S480" t="s">
        <v>74</v>
      </c>
      <c r="T480" t="s">
        <v>229</v>
      </c>
      <c r="U480" t="s">
        <v>229</v>
      </c>
      <c r="V480">
        <v>0</v>
      </c>
      <c r="AD480">
        <v>1</v>
      </c>
      <c r="AF480">
        <v>7</v>
      </c>
      <c r="AI480">
        <v>247</v>
      </c>
    </row>
    <row r="481" spans="1:35" x14ac:dyDescent="0.35">
      <c r="A481" t="s">
        <v>91</v>
      </c>
      <c r="B481" t="s">
        <v>24</v>
      </c>
      <c r="C481" t="s">
        <v>33</v>
      </c>
      <c r="D481" t="s">
        <v>34</v>
      </c>
      <c r="E481" t="s">
        <v>320</v>
      </c>
      <c r="F481" t="s">
        <v>321</v>
      </c>
      <c r="G481" s="20" t="s">
        <v>46</v>
      </c>
      <c r="H481" t="s">
        <v>7</v>
      </c>
      <c r="I481" t="str">
        <f t="shared" si="11"/>
        <v>Xylocopa species</v>
      </c>
      <c r="J481" t="s">
        <v>255</v>
      </c>
      <c r="K481" t="s">
        <v>331</v>
      </c>
      <c r="L481" t="s">
        <v>47</v>
      </c>
      <c r="M481" t="s">
        <v>47</v>
      </c>
      <c r="N481">
        <v>344</v>
      </c>
      <c r="O481" t="s">
        <v>119</v>
      </c>
      <c r="P481" t="s">
        <v>37</v>
      </c>
      <c r="Q481" s="4">
        <v>44728</v>
      </c>
      <c r="S481" t="s">
        <v>74</v>
      </c>
      <c r="T481" t="s">
        <v>229</v>
      </c>
      <c r="U481" t="s">
        <v>229</v>
      </c>
      <c r="V481">
        <v>0</v>
      </c>
      <c r="AD481">
        <v>1</v>
      </c>
      <c r="AF481">
        <v>7</v>
      </c>
      <c r="AI481">
        <v>248</v>
      </c>
    </row>
    <row r="482" spans="1:35" x14ac:dyDescent="0.35">
      <c r="A482" t="s">
        <v>91</v>
      </c>
      <c r="B482" t="s">
        <v>24</v>
      </c>
      <c r="C482" t="s">
        <v>33</v>
      </c>
      <c r="D482" t="s">
        <v>34</v>
      </c>
      <c r="E482" t="s">
        <v>320</v>
      </c>
      <c r="F482" t="s">
        <v>321</v>
      </c>
      <c r="G482" s="20" t="s">
        <v>46</v>
      </c>
      <c r="H482" t="s">
        <v>7</v>
      </c>
      <c r="I482" t="str">
        <f t="shared" si="11"/>
        <v>Xylocopa species</v>
      </c>
      <c r="J482" t="s">
        <v>255</v>
      </c>
      <c r="K482" t="s">
        <v>331</v>
      </c>
      <c r="L482" t="s">
        <v>47</v>
      </c>
      <c r="M482" t="s">
        <v>47</v>
      </c>
      <c r="N482">
        <v>345</v>
      </c>
      <c r="O482" t="s">
        <v>119</v>
      </c>
      <c r="P482" t="s">
        <v>30</v>
      </c>
      <c r="Q482" s="4">
        <v>44714</v>
      </c>
      <c r="S482" t="s">
        <v>74</v>
      </c>
      <c r="T482" t="s">
        <v>229</v>
      </c>
      <c r="U482" t="s">
        <v>229</v>
      </c>
      <c r="V482">
        <v>0</v>
      </c>
      <c r="AD482">
        <v>1</v>
      </c>
      <c r="AF482">
        <v>30</v>
      </c>
      <c r="AI482">
        <v>242</v>
      </c>
    </row>
    <row r="483" spans="1:35" x14ac:dyDescent="0.35">
      <c r="A483" t="s">
        <v>192</v>
      </c>
      <c r="B483" t="s">
        <v>24</v>
      </c>
      <c r="C483" t="s">
        <v>33</v>
      </c>
      <c r="D483" t="s">
        <v>34</v>
      </c>
      <c r="E483" t="s">
        <v>309</v>
      </c>
      <c r="F483" t="s">
        <v>310</v>
      </c>
      <c r="G483" s="20" t="s">
        <v>38</v>
      </c>
      <c r="H483" s="20" t="s">
        <v>39</v>
      </c>
      <c r="I483" t="str">
        <f t="shared" si="11"/>
        <v>Apis mellifera</v>
      </c>
      <c r="J483" t="s">
        <v>70</v>
      </c>
      <c r="K483" t="s">
        <v>332</v>
      </c>
      <c r="L483" t="s">
        <v>275</v>
      </c>
      <c r="M483" t="s">
        <v>157</v>
      </c>
      <c r="N483">
        <v>401</v>
      </c>
      <c r="O483" t="s">
        <v>155</v>
      </c>
      <c r="P483" t="s">
        <v>154</v>
      </c>
      <c r="Q483" s="6">
        <v>45216</v>
      </c>
      <c r="R483">
        <v>1</v>
      </c>
      <c r="U483" t="s">
        <v>225</v>
      </c>
      <c r="AD483">
        <v>2</v>
      </c>
      <c r="AE483" s="7" t="s">
        <v>177</v>
      </c>
      <c r="AF483">
        <v>33</v>
      </c>
      <c r="AG483">
        <v>42</v>
      </c>
      <c r="AH483">
        <v>2</v>
      </c>
      <c r="AI483">
        <v>262</v>
      </c>
    </row>
    <row r="484" spans="1:35" x14ac:dyDescent="0.35">
      <c r="A484" t="s">
        <v>192</v>
      </c>
      <c r="B484" t="s">
        <v>24</v>
      </c>
      <c r="C484" t="s">
        <v>33</v>
      </c>
      <c r="D484" t="s">
        <v>34</v>
      </c>
      <c r="E484" t="s">
        <v>309</v>
      </c>
      <c r="F484" t="s">
        <v>310</v>
      </c>
      <c r="G484" s="20" t="s">
        <v>38</v>
      </c>
      <c r="H484" s="20" t="s">
        <v>39</v>
      </c>
      <c r="I484" t="str">
        <f t="shared" si="11"/>
        <v>Apis mellifera</v>
      </c>
      <c r="J484" t="s">
        <v>70</v>
      </c>
      <c r="K484" t="s">
        <v>332</v>
      </c>
      <c r="L484" t="s">
        <v>275</v>
      </c>
      <c r="M484" t="s">
        <v>157</v>
      </c>
      <c r="N484">
        <v>402</v>
      </c>
      <c r="O484" t="s">
        <v>155</v>
      </c>
      <c r="P484" t="s">
        <v>154</v>
      </c>
      <c r="Q484" s="6">
        <v>45216</v>
      </c>
      <c r="R484">
        <v>1</v>
      </c>
      <c r="U484" t="s">
        <v>225</v>
      </c>
      <c r="AD484">
        <v>1</v>
      </c>
      <c r="AE484" s="7" t="s">
        <v>178</v>
      </c>
      <c r="AF484">
        <v>33</v>
      </c>
      <c r="AG484">
        <v>42</v>
      </c>
      <c r="AH484">
        <v>2</v>
      </c>
      <c r="AI484">
        <v>263</v>
      </c>
    </row>
    <row r="485" spans="1:35" x14ac:dyDescent="0.35">
      <c r="A485" t="s">
        <v>192</v>
      </c>
      <c r="B485" t="s">
        <v>24</v>
      </c>
      <c r="C485" t="s">
        <v>33</v>
      </c>
      <c r="D485" t="s">
        <v>34</v>
      </c>
      <c r="E485" t="s">
        <v>309</v>
      </c>
      <c r="F485" t="s">
        <v>310</v>
      </c>
      <c r="G485" s="20" t="s">
        <v>38</v>
      </c>
      <c r="H485" s="20" t="s">
        <v>39</v>
      </c>
      <c r="I485" t="str">
        <f t="shared" si="11"/>
        <v>Apis mellifera</v>
      </c>
      <c r="J485" t="s">
        <v>70</v>
      </c>
      <c r="K485" t="s">
        <v>332</v>
      </c>
      <c r="L485" t="s">
        <v>275</v>
      </c>
      <c r="M485" t="s">
        <v>157</v>
      </c>
      <c r="N485">
        <v>403</v>
      </c>
      <c r="O485" t="s">
        <v>155</v>
      </c>
      <c r="P485" t="s">
        <v>154</v>
      </c>
      <c r="Q485" s="6">
        <v>45216</v>
      </c>
      <c r="R485">
        <v>1</v>
      </c>
      <c r="U485" t="s">
        <v>225</v>
      </c>
      <c r="AD485">
        <v>2</v>
      </c>
      <c r="AE485" s="7" t="s">
        <v>179</v>
      </c>
      <c r="AF485">
        <v>33</v>
      </c>
      <c r="AG485">
        <v>42</v>
      </c>
      <c r="AH485">
        <v>2</v>
      </c>
      <c r="AI485">
        <v>264</v>
      </c>
    </row>
    <row r="486" spans="1:35" x14ac:dyDescent="0.35">
      <c r="A486" t="s">
        <v>192</v>
      </c>
      <c r="B486" t="s">
        <v>24</v>
      </c>
      <c r="C486" t="s">
        <v>33</v>
      </c>
      <c r="D486" t="s">
        <v>34</v>
      </c>
      <c r="E486" t="s">
        <v>309</v>
      </c>
      <c r="F486" t="s">
        <v>310</v>
      </c>
      <c r="G486" s="20" t="s">
        <v>38</v>
      </c>
      <c r="H486" s="20" t="s">
        <v>39</v>
      </c>
      <c r="I486" t="str">
        <f t="shared" ref="I486:I549" si="12">G486&amp;" "&amp;H486</f>
        <v>Apis mellifera</v>
      </c>
      <c r="J486" t="s">
        <v>70</v>
      </c>
      <c r="K486" t="s">
        <v>332</v>
      </c>
      <c r="L486" t="s">
        <v>275</v>
      </c>
      <c r="M486" t="s">
        <v>157</v>
      </c>
      <c r="N486">
        <v>404</v>
      </c>
      <c r="O486" t="s">
        <v>155</v>
      </c>
      <c r="P486" t="s">
        <v>154</v>
      </c>
      <c r="Q486" s="6">
        <v>45216</v>
      </c>
      <c r="R486">
        <v>1</v>
      </c>
      <c r="U486" t="s">
        <v>225</v>
      </c>
      <c r="AD486">
        <v>1</v>
      </c>
      <c r="AE486" s="7" t="s">
        <v>178</v>
      </c>
      <c r="AF486">
        <v>33</v>
      </c>
      <c r="AG486">
        <v>42</v>
      </c>
      <c r="AH486">
        <v>2</v>
      </c>
      <c r="AI486">
        <v>265</v>
      </c>
    </row>
    <row r="487" spans="1:35" x14ac:dyDescent="0.35">
      <c r="A487" t="s">
        <v>192</v>
      </c>
      <c r="B487" t="s">
        <v>24</v>
      </c>
      <c r="C487" t="s">
        <v>33</v>
      </c>
      <c r="D487" t="s">
        <v>34</v>
      </c>
      <c r="E487" t="s">
        <v>309</v>
      </c>
      <c r="F487" t="s">
        <v>310</v>
      </c>
      <c r="G487" s="20" t="s">
        <v>38</v>
      </c>
      <c r="H487" s="20" t="s">
        <v>39</v>
      </c>
      <c r="I487" t="str">
        <f t="shared" si="12"/>
        <v>Apis mellifera</v>
      </c>
      <c r="J487" t="s">
        <v>70</v>
      </c>
      <c r="K487" t="s">
        <v>332</v>
      </c>
      <c r="L487" t="s">
        <v>275</v>
      </c>
      <c r="M487" t="s">
        <v>157</v>
      </c>
      <c r="N487">
        <v>405</v>
      </c>
      <c r="O487" t="s">
        <v>155</v>
      </c>
      <c r="P487" t="s">
        <v>154</v>
      </c>
      <c r="Q487" s="6">
        <v>45216</v>
      </c>
      <c r="R487">
        <v>1</v>
      </c>
      <c r="U487" t="s">
        <v>225</v>
      </c>
      <c r="AD487">
        <v>2</v>
      </c>
      <c r="AE487" s="7" t="s">
        <v>178</v>
      </c>
      <c r="AF487">
        <v>33</v>
      </c>
      <c r="AG487">
        <v>42</v>
      </c>
      <c r="AH487">
        <v>2</v>
      </c>
      <c r="AI487">
        <v>266</v>
      </c>
    </row>
    <row r="488" spans="1:35" x14ac:dyDescent="0.35">
      <c r="A488" t="s">
        <v>192</v>
      </c>
      <c r="B488" t="s">
        <v>24</v>
      </c>
      <c r="C488" t="s">
        <v>33</v>
      </c>
      <c r="D488" t="s">
        <v>34</v>
      </c>
      <c r="E488" t="s">
        <v>309</v>
      </c>
      <c r="F488" t="s">
        <v>310</v>
      </c>
      <c r="G488" s="20" t="s">
        <v>38</v>
      </c>
      <c r="H488" s="20" t="s">
        <v>39</v>
      </c>
      <c r="I488" t="str">
        <f t="shared" si="12"/>
        <v>Apis mellifera</v>
      </c>
      <c r="J488" t="s">
        <v>70</v>
      </c>
      <c r="K488" t="s">
        <v>332</v>
      </c>
      <c r="L488" t="s">
        <v>275</v>
      </c>
      <c r="M488" t="s">
        <v>157</v>
      </c>
      <c r="N488">
        <v>406</v>
      </c>
      <c r="O488" t="s">
        <v>155</v>
      </c>
      <c r="P488" t="s">
        <v>154</v>
      </c>
      <c r="Q488" s="6">
        <v>45216</v>
      </c>
      <c r="R488">
        <v>1</v>
      </c>
      <c r="U488" t="s">
        <v>225</v>
      </c>
      <c r="AD488">
        <v>2</v>
      </c>
      <c r="AE488" s="7" t="s">
        <v>177</v>
      </c>
      <c r="AF488">
        <v>33</v>
      </c>
      <c r="AG488">
        <v>42</v>
      </c>
      <c r="AH488">
        <v>2</v>
      </c>
      <c r="AI488">
        <v>267</v>
      </c>
    </row>
    <row r="489" spans="1:35" x14ac:dyDescent="0.35">
      <c r="A489" t="s">
        <v>192</v>
      </c>
      <c r="B489" t="s">
        <v>24</v>
      </c>
      <c r="C489" t="s">
        <v>33</v>
      </c>
      <c r="D489" t="s">
        <v>34</v>
      </c>
      <c r="E489" t="s">
        <v>309</v>
      </c>
      <c r="F489" t="s">
        <v>310</v>
      </c>
      <c r="G489" s="20" t="s">
        <v>38</v>
      </c>
      <c r="H489" s="20" t="s">
        <v>39</v>
      </c>
      <c r="I489" t="str">
        <f t="shared" si="12"/>
        <v>Apis mellifera</v>
      </c>
      <c r="J489" t="s">
        <v>70</v>
      </c>
      <c r="K489" t="s">
        <v>332</v>
      </c>
      <c r="L489" t="s">
        <v>275</v>
      </c>
      <c r="M489" t="s">
        <v>157</v>
      </c>
      <c r="N489">
        <v>407</v>
      </c>
      <c r="O489" t="s">
        <v>155</v>
      </c>
      <c r="P489" t="s">
        <v>154</v>
      </c>
      <c r="Q489" s="6">
        <v>45216</v>
      </c>
      <c r="R489">
        <v>1</v>
      </c>
      <c r="U489" t="s">
        <v>225</v>
      </c>
      <c r="AD489">
        <v>1</v>
      </c>
      <c r="AE489" s="7" t="s">
        <v>178</v>
      </c>
      <c r="AF489">
        <v>33</v>
      </c>
      <c r="AG489">
        <v>42</v>
      </c>
      <c r="AH489">
        <v>2</v>
      </c>
      <c r="AI489">
        <v>268</v>
      </c>
    </row>
    <row r="490" spans="1:35" x14ac:dyDescent="0.35">
      <c r="A490" t="s">
        <v>192</v>
      </c>
      <c r="B490" t="s">
        <v>24</v>
      </c>
      <c r="C490" t="s">
        <v>33</v>
      </c>
      <c r="D490" t="s">
        <v>34</v>
      </c>
      <c r="E490" t="s">
        <v>309</v>
      </c>
      <c r="F490" t="s">
        <v>310</v>
      </c>
      <c r="G490" s="20" t="s">
        <v>38</v>
      </c>
      <c r="H490" s="20" t="s">
        <v>39</v>
      </c>
      <c r="I490" t="str">
        <f t="shared" si="12"/>
        <v>Apis mellifera</v>
      </c>
      <c r="J490" t="s">
        <v>70</v>
      </c>
      <c r="K490" t="s">
        <v>332</v>
      </c>
      <c r="L490" t="s">
        <v>275</v>
      </c>
      <c r="M490" t="s">
        <v>157</v>
      </c>
      <c r="N490">
        <v>408</v>
      </c>
      <c r="O490" t="s">
        <v>155</v>
      </c>
      <c r="P490" t="s">
        <v>154</v>
      </c>
      <c r="Q490" s="6">
        <v>45216</v>
      </c>
      <c r="R490">
        <v>1</v>
      </c>
      <c r="U490" t="s">
        <v>225</v>
      </c>
      <c r="AD490">
        <v>4</v>
      </c>
      <c r="AE490" s="7" t="s">
        <v>178</v>
      </c>
      <c r="AF490">
        <v>33</v>
      </c>
      <c r="AG490">
        <v>42</v>
      </c>
      <c r="AH490">
        <v>2</v>
      </c>
      <c r="AI490">
        <v>269</v>
      </c>
    </row>
    <row r="491" spans="1:35" x14ac:dyDescent="0.35">
      <c r="A491" t="s">
        <v>192</v>
      </c>
      <c r="B491" t="s">
        <v>24</v>
      </c>
      <c r="C491" t="s">
        <v>33</v>
      </c>
      <c r="D491" t="s">
        <v>34</v>
      </c>
      <c r="E491" t="s">
        <v>309</v>
      </c>
      <c r="F491" t="s">
        <v>310</v>
      </c>
      <c r="G491" s="20" t="s">
        <v>38</v>
      </c>
      <c r="H491" s="20" t="s">
        <v>39</v>
      </c>
      <c r="I491" t="str">
        <f t="shared" si="12"/>
        <v>Apis mellifera</v>
      </c>
      <c r="J491" t="s">
        <v>70</v>
      </c>
      <c r="K491" t="s">
        <v>332</v>
      </c>
      <c r="L491" t="s">
        <v>275</v>
      </c>
      <c r="M491" t="s">
        <v>157</v>
      </c>
      <c r="N491">
        <v>409</v>
      </c>
      <c r="O491" t="s">
        <v>155</v>
      </c>
      <c r="P491" t="s">
        <v>154</v>
      </c>
      <c r="Q491" s="6">
        <v>45216</v>
      </c>
      <c r="R491">
        <v>1</v>
      </c>
      <c r="U491" t="s">
        <v>225</v>
      </c>
      <c r="AD491">
        <v>2</v>
      </c>
      <c r="AE491" s="7" t="s">
        <v>178</v>
      </c>
      <c r="AF491">
        <v>33</v>
      </c>
      <c r="AG491">
        <v>42</v>
      </c>
      <c r="AH491">
        <v>2</v>
      </c>
      <c r="AI491">
        <v>270</v>
      </c>
    </row>
    <row r="492" spans="1:35" x14ac:dyDescent="0.35">
      <c r="A492" t="s">
        <v>192</v>
      </c>
      <c r="B492" t="s">
        <v>24</v>
      </c>
      <c r="C492" t="s">
        <v>33</v>
      </c>
      <c r="D492" t="s">
        <v>34</v>
      </c>
      <c r="E492" t="s">
        <v>309</v>
      </c>
      <c r="F492" t="s">
        <v>310</v>
      </c>
      <c r="G492" s="20" t="s">
        <v>38</v>
      </c>
      <c r="H492" s="20" t="s">
        <v>39</v>
      </c>
      <c r="I492" t="str">
        <f t="shared" si="12"/>
        <v>Apis mellifera</v>
      </c>
      <c r="J492" t="s">
        <v>70</v>
      </c>
      <c r="K492" t="s">
        <v>332</v>
      </c>
      <c r="L492" t="s">
        <v>275</v>
      </c>
      <c r="M492" t="s">
        <v>157</v>
      </c>
      <c r="N492">
        <v>410</v>
      </c>
      <c r="O492" t="s">
        <v>155</v>
      </c>
      <c r="P492" t="s">
        <v>154</v>
      </c>
      <c r="Q492" s="6">
        <v>45216</v>
      </c>
      <c r="R492">
        <v>1</v>
      </c>
      <c r="U492" t="s">
        <v>225</v>
      </c>
      <c r="AD492">
        <v>1</v>
      </c>
      <c r="AE492" s="7" t="s">
        <v>179</v>
      </c>
      <c r="AF492">
        <v>33</v>
      </c>
      <c r="AG492">
        <v>42</v>
      </c>
      <c r="AH492">
        <v>2</v>
      </c>
      <c r="AI492">
        <v>271</v>
      </c>
    </row>
    <row r="493" spans="1:35" x14ac:dyDescent="0.35">
      <c r="A493" t="s">
        <v>192</v>
      </c>
      <c r="B493" t="s">
        <v>24</v>
      </c>
      <c r="C493" t="s">
        <v>33</v>
      </c>
      <c r="D493" t="s">
        <v>34</v>
      </c>
      <c r="E493" t="s">
        <v>309</v>
      </c>
      <c r="F493" t="s">
        <v>310</v>
      </c>
      <c r="G493" s="20" t="s">
        <v>38</v>
      </c>
      <c r="H493" s="20" t="s">
        <v>39</v>
      </c>
      <c r="I493" t="str">
        <f t="shared" si="12"/>
        <v>Apis mellifera</v>
      </c>
      <c r="J493" t="s">
        <v>70</v>
      </c>
      <c r="K493" t="s">
        <v>332</v>
      </c>
      <c r="L493" t="s">
        <v>275</v>
      </c>
      <c r="M493" t="s">
        <v>157</v>
      </c>
      <c r="N493">
        <v>411</v>
      </c>
      <c r="O493" t="s">
        <v>155</v>
      </c>
      <c r="P493" t="s">
        <v>154</v>
      </c>
      <c r="Q493" s="6">
        <v>45216</v>
      </c>
      <c r="R493">
        <v>1</v>
      </c>
      <c r="U493" t="s">
        <v>225</v>
      </c>
      <c r="AD493">
        <v>1</v>
      </c>
      <c r="AE493" s="7" t="s">
        <v>179</v>
      </c>
      <c r="AF493">
        <v>33</v>
      </c>
      <c r="AG493">
        <v>42</v>
      </c>
      <c r="AH493">
        <v>2</v>
      </c>
      <c r="AI493">
        <v>272</v>
      </c>
    </row>
    <row r="494" spans="1:35" x14ac:dyDescent="0.35">
      <c r="A494" t="s">
        <v>192</v>
      </c>
      <c r="B494" t="s">
        <v>24</v>
      </c>
      <c r="C494" t="s">
        <v>33</v>
      </c>
      <c r="D494" t="s">
        <v>34</v>
      </c>
      <c r="E494" t="s">
        <v>309</v>
      </c>
      <c r="F494" t="s">
        <v>310</v>
      </c>
      <c r="G494" s="20" t="s">
        <v>38</v>
      </c>
      <c r="H494" s="20" t="s">
        <v>39</v>
      </c>
      <c r="I494" t="str">
        <f t="shared" si="12"/>
        <v>Apis mellifera</v>
      </c>
      <c r="J494" t="s">
        <v>70</v>
      </c>
      <c r="K494" t="s">
        <v>332</v>
      </c>
      <c r="L494" t="s">
        <v>275</v>
      </c>
      <c r="M494" t="s">
        <v>157</v>
      </c>
      <c r="N494">
        <v>412</v>
      </c>
      <c r="O494" t="s">
        <v>155</v>
      </c>
      <c r="P494" t="s">
        <v>154</v>
      </c>
      <c r="Q494" s="6">
        <v>45216</v>
      </c>
      <c r="R494">
        <v>1</v>
      </c>
      <c r="U494" t="s">
        <v>225</v>
      </c>
      <c r="AD494">
        <v>1</v>
      </c>
      <c r="AE494" s="7" t="s">
        <v>178</v>
      </c>
      <c r="AF494">
        <v>33</v>
      </c>
      <c r="AG494">
        <v>42</v>
      </c>
      <c r="AH494">
        <v>2</v>
      </c>
      <c r="AI494">
        <v>273</v>
      </c>
    </row>
    <row r="495" spans="1:35" x14ac:dyDescent="0.35">
      <c r="A495" t="s">
        <v>192</v>
      </c>
      <c r="B495" t="s">
        <v>24</v>
      </c>
      <c r="C495" t="s">
        <v>33</v>
      </c>
      <c r="D495" t="s">
        <v>34</v>
      </c>
      <c r="E495" t="s">
        <v>309</v>
      </c>
      <c r="F495" t="s">
        <v>310</v>
      </c>
      <c r="G495" s="20" t="s">
        <v>38</v>
      </c>
      <c r="H495" s="20" t="s">
        <v>39</v>
      </c>
      <c r="I495" t="str">
        <f t="shared" si="12"/>
        <v>Apis mellifera</v>
      </c>
      <c r="J495" t="s">
        <v>70</v>
      </c>
      <c r="K495" t="s">
        <v>332</v>
      </c>
      <c r="L495" t="s">
        <v>275</v>
      </c>
      <c r="M495" t="s">
        <v>157</v>
      </c>
      <c r="N495">
        <v>413</v>
      </c>
      <c r="O495" t="s">
        <v>155</v>
      </c>
      <c r="P495" t="s">
        <v>154</v>
      </c>
      <c r="Q495" s="6">
        <v>45216</v>
      </c>
      <c r="R495">
        <v>1</v>
      </c>
      <c r="U495" t="s">
        <v>225</v>
      </c>
      <c r="AD495">
        <v>3</v>
      </c>
      <c r="AE495" s="7" t="s">
        <v>180</v>
      </c>
      <c r="AF495">
        <v>33</v>
      </c>
      <c r="AG495">
        <v>42</v>
      </c>
      <c r="AH495">
        <v>2</v>
      </c>
      <c r="AI495">
        <v>274</v>
      </c>
    </row>
    <row r="496" spans="1:35" x14ac:dyDescent="0.35">
      <c r="A496" t="s">
        <v>192</v>
      </c>
      <c r="B496" t="s">
        <v>24</v>
      </c>
      <c r="C496" t="s">
        <v>33</v>
      </c>
      <c r="D496" t="s">
        <v>34</v>
      </c>
      <c r="E496" t="s">
        <v>309</v>
      </c>
      <c r="F496" t="s">
        <v>310</v>
      </c>
      <c r="G496" s="20" t="s">
        <v>38</v>
      </c>
      <c r="H496" s="20" t="s">
        <v>39</v>
      </c>
      <c r="I496" t="str">
        <f t="shared" si="12"/>
        <v>Apis mellifera</v>
      </c>
      <c r="J496" t="s">
        <v>70</v>
      </c>
      <c r="K496" t="s">
        <v>332</v>
      </c>
      <c r="L496" t="s">
        <v>275</v>
      </c>
      <c r="M496" t="s">
        <v>157</v>
      </c>
      <c r="N496">
        <v>414</v>
      </c>
      <c r="O496" t="s">
        <v>155</v>
      </c>
      <c r="P496" t="s">
        <v>154</v>
      </c>
      <c r="Q496" s="6">
        <v>45216</v>
      </c>
      <c r="R496">
        <v>1</v>
      </c>
      <c r="U496" t="s">
        <v>225</v>
      </c>
      <c r="AD496">
        <v>2</v>
      </c>
      <c r="AE496" s="7" t="s">
        <v>178</v>
      </c>
      <c r="AF496">
        <v>33</v>
      </c>
      <c r="AG496">
        <v>42</v>
      </c>
      <c r="AH496">
        <v>2</v>
      </c>
      <c r="AI496">
        <v>275</v>
      </c>
    </row>
    <row r="497" spans="1:35" x14ac:dyDescent="0.35">
      <c r="A497" t="s">
        <v>192</v>
      </c>
      <c r="B497" t="s">
        <v>24</v>
      </c>
      <c r="C497" t="s">
        <v>33</v>
      </c>
      <c r="D497" t="s">
        <v>34</v>
      </c>
      <c r="E497" t="s">
        <v>309</v>
      </c>
      <c r="F497" t="s">
        <v>310</v>
      </c>
      <c r="G497" s="20" t="s">
        <v>38</v>
      </c>
      <c r="H497" s="20" t="s">
        <v>39</v>
      </c>
      <c r="I497" t="str">
        <f t="shared" si="12"/>
        <v>Apis mellifera</v>
      </c>
      <c r="J497" t="s">
        <v>70</v>
      </c>
      <c r="K497" t="s">
        <v>332</v>
      </c>
      <c r="L497" t="s">
        <v>275</v>
      </c>
      <c r="M497" t="s">
        <v>157</v>
      </c>
      <c r="N497">
        <v>415</v>
      </c>
      <c r="O497" t="s">
        <v>155</v>
      </c>
      <c r="P497" t="s">
        <v>154</v>
      </c>
      <c r="Q497" s="6">
        <v>45216</v>
      </c>
      <c r="R497">
        <v>1</v>
      </c>
      <c r="U497" t="s">
        <v>225</v>
      </c>
      <c r="AD497">
        <v>1</v>
      </c>
      <c r="AE497" s="7" t="s">
        <v>178</v>
      </c>
      <c r="AF497">
        <v>33</v>
      </c>
      <c r="AG497">
        <v>42</v>
      </c>
      <c r="AH497">
        <v>2</v>
      </c>
      <c r="AI497">
        <v>276</v>
      </c>
    </row>
    <row r="498" spans="1:35" x14ac:dyDescent="0.35">
      <c r="A498" t="s">
        <v>192</v>
      </c>
      <c r="B498" t="s">
        <v>24</v>
      </c>
      <c r="C498" t="s">
        <v>33</v>
      </c>
      <c r="D498" t="s">
        <v>34</v>
      </c>
      <c r="E498" t="s">
        <v>309</v>
      </c>
      <c r="F498" t="s">
        <v>310</v>
      </c>
      <c r="G498" s="20" t="s">
        <v>38</v>
      </c>
      <c r="H498" s="20" t="s">
        <v>39</v>
      </c>
      <c r="I498" t="str">
        <f t="shared" si="12"/>
        <v>Apis mellifera</v>
      </c>
      <c r="J498" t="s">
        <v>70</v>
      </c>
      <c r="K498" t="s">
        <v>332</v>
      </c>
      <c r="L498" t="s">
        <v>275</v>
      </c>
      <c r="M498" t="s">
        <v>157</v>
      </c>
      <c r="N498">
        <v>416</v>
      </c>
      <c r="O498" t="s">
        <v>155</v>
      </c>
      <c r="P498" t="s">
        <v>154</v>
      </c>
      <c r="Q498" s="6">
        <v>45216</v>
      </c>
      <c r="R498">
        <v>1</v>
      </c>
      <c r="U498" t="s">
        <v>225</v>
      </c>
      <c r="AD498">
        <v>1</v>
      </c>
      <c r="AE498" s="7" t="s">
        <v>177</v>
      </c>
      <c r="AF498">
        <v>33</v>
      </c>
      <c r="AG498">
        <v>42</v>
      </c>
      <c r="AH498">
        <v>2</v>
      </c>
      <c r="AI498">
        <v>277</v>
      </c>
    </row>
    <row r="499" spans="1:35" x14ac:dyDescent="0.35">
      <c r="A499" t="s">
        <v>192</v>
      </c>
      <c r="B499" t="s">
        <v>24</v>
      </c>
      <c r="C499" t="s">
        <v>33</v>
      </c>
      <c r="D499" t="s">
        <v>34</v>
      </c>
      <c r="E499" t="s">
        <v>309</v>
      </c>
      <c r="F499" t="s">
        <v>310</v>
      </c>
      <c r="G499" s="20" t="s">
        <v>38</v>
      </c>
      <c r="H499" s="20" t="s">
        <v>39</v>
      </c>
      <c r="I499" t="str">
        <f t="shared" si="12"/>
        <v>Apis mellifera</v>
      </c>
      <c r="J499" t="s">
        <v>70</v>
      </c>
      <c r="K499" t="s">
        <v>332</v>
      </c>
      <c r="L499" t="s">
        <v>275</v>
      </c>
      <c r="M499" t="s">
        <v>157</v>
      </c>
      <c r="N499">
        <v>417</v>
      </c>
      <c r="O499" t="s">
        <v>155</v>
      </c>
      <c r="P499" t="s">
        <v>154</v>
      </c>
      <c r="Q499" s="6">
        <v>45216</v>
      </c>
      <c r="R499">
        <v>1</v>
      </c>
      <c r="U499" t="s">
        <v>225</v>
      </c>
      <c r="AD499">
        <v>1</v>
      </c>
      <c r="AE499" s="7" t="s">
        <v>180</v>
      </c>
      <c r="AF499">
        <v>33</v>
      </c>
      <c r="AG499">
        <v>42</v>
      </c>
      <c r="AH499">
        <v>2</v>
      </c>
      <c r="AI499">
        <v>278</v>
      </c>
    </row>
    <row r="500" spans="1:35" x14ac:dyDescent="0.35">
      <c r="A500" t="s">
        <v>192</v>
      </c>
      <c r="B500" t="s">
        <v>24</v>
      </c>
      <c r="C500" t="s">
        <v>33</v>
      </c>
      <c r="D500" t="s">
        <v>34</v>
      </c>
      <c r="E500" t="s">
        <v>309</v>
      </c>
      <c r="F500" t="s">
        <v>310</v>
      </c>
      <c r="G500" s="20" t="s">
        <v>38</v>
      </c>
      <c r="H500" s="20" t="s">
        <v>39</v>
      </c>
      <c r="I500" t="str">
        <f t="shared" si="12"/>
        <v>Apis mellifera</v>
      </c>
      <c r="J500" t="s">
        <v>70</v>
      </c>
      <c r="K500" t="s">
        <v>332</v>
      </c>
      <c r="L500" t="s">
        <v>275</v>
      </c>
      <c r="M500" t="s">
        <v>157</v>
      </c>
      <c r="N500">
        <v>418</v>
      </c>
      <c r="O500" t="s">
        <v>155</v>
      </c>
      <c r="P500" t="s">
        <v>154</v>
      </c>
      <c r="Q500" s="6">
        <v>45216</v>
      </c>
      <c r="R500">
        <v>1</v>
      </c>
      <c r="U500" t="s">
        <v>225</v>
      </c>
      <c r="AD500">
        <v>1</v>
      </c>
      <c r="AE500" s="7" t="s">
        <v>178</v>
      </c>
      <c r="AF500">
        <v>33</v>
      </c>
      <c r="AG500">
        <v>42</v>
      </c>
      <c r="AH500">
        <v>2</v>
      </c>
      <c r="AI500">
        <v>279</v>
      </c>
    </row>
    <row r="501" spans="1:35" x14ac:dyDescent="0.35">
      <c r="A501" t="s">
        <v>192</v>
      </c>
      <c r="B501" t="s">
        <v>24</v>
      </c>
      <c r="C501" t="s">
        <v>33</v>
      </c>
      <c r="D501" t="s">
        <v>34</v>
      </c>
      <c r="E501" t="s">
        <v>309</v>
      </c>
      <c r="F501" t="s">
        <v>310</v>
      </c>
      <c r="G501" s="20" t="s">
        <v>38</v>
      </c>
      <c r="H501" s="20" t="s">
        <v>39</v>
      </c>
      <c r="I501" t="str">
        <f t="shared" si="12"/>
        <v>Apis mellifera</v>
      </c>
      <c r="J501" t="s">
        <v>70</v>
      </c>
      <c r="K501" t="s">
        <v>332</v>
      </c>
      <c r="L501" t="s">
        <v>275</v>
      </c>
      <c r="M501" t="s">
        <v>157</v>
      </c>
      <c r="N501">
        <v>419</v>
      </c>
      <c r="O501" t="s">
        <v>155</v>
      </c>
      <c r="P501" t="s">
        <v>154</v>
      </c>
      <c r="Q501" s="6">
        <v>45216</v>
      </c>
      <c r="R501">
        <v>1</v>
      </c>
      <c r="U501" t="s">
        <v>225</v>
      </c>
      <c r="AD501">
        <v>1</v>
      </c>
      <c r="AE501" s="7" t="s">
        <v>178</v>
      </c>
      <c r="AF501">
        <v>33</v>
      </c>
      <c r="AG501">
        <v>42</v>
      </c>
      <c r="AH501">
        <v>2</v>
      </c>
      <c r="AI501">
        <v>280</v>
      </c>
    </row>
    <row r="502" spans="1:35" x14ac:dyDescent="0.35">
      <c r="A502" t="s">
        <v>192</v>
      </c>
      <c r="B502" t="s">
        <v>24</v>
      </c>
      <c r="C502" t="s">
        <v>33</v>
      </c>
      <c r="D502" t="s">
        <v>34</v>
      </c>
      <c r="E502" t="s">
        <v>309</v>
      </c>
      <c r="F502" t="s">
        <v>310</v>
      </c>
      <c r="G502" s="20" t="s">
        <v>38</v>
      </c>
      <c r="H502" s="20" t="s">
        <v>39</v>
      </c>
      <c r="I502" t="str">
        <f t="shared" si="12"/>
        <v>Apis mellifera</v>
      </c>
      <c r="J502" t="s">
        <v>70</v>
      </c>
      <c r="K502" t="s">
        <v>332</v>
      </c>
      <c r="L502" t="s">
        <v>275</v>
      </c>
      <c r="M502" t="s">
        <v>157</v>
      </c>
      <c r="N502">
        <v>420</v>
      </c>
      <c r="O502" t="s">
        <v>155</v>
      </c>
      <c r="P502" t="s">
        <v>154</v>
      </c>
      <c r="Q502" s="6">
        <v>45216</v>
      </c>
      <c r="R502">
        <v>1</v>
      </c>
      <c r="U502" t="s">
        <v>225</v>
      </c>
      <c r="AD502">
        <v>1</v>
      </c>
      <c r="AE502" s="7" t="s">
        <v>177</v>
      </c>
      <c r="AF502">
        <v>17</v>
      </c>
      <c r="AG502">
        <v>8</v>
      </c>
      <c r="AH502">
        <v>10</v>
      </c>
      <c r="AI502">
        <v>281</v>
      </c>
    </row>
    <row r="503" spans="1:35" x14ac:dyDescent="0.35">
      <c r="A503" t="s">
        <v>192</v>
      </c>
      <c r="B503" t="s">
        <v>24</v>
      </c>
      <c r="C503" t="s">
        <v>33</v>
      </c>
      <c r="D503" t="s">
        <v>34</v>
      </c>
      <c r="E503" t="s">
        <v>309</v>
      </c>
      <c r="F503" t="s">
        <v>310</v>
      </c>
      <c r="G503" s="20" t="s">
        <v>38</v>
      </c>
      <c r="H503" s="20" t="s">
        <v>39</v>
      </c>
      <c r="I503" t="str">
        <f t="shared" si="12"/>
        <v>Apis mellifera</v>
      </c>
      <c r="J503" t="s">
        <v>70</v>
      </c>
      <c r="K503" t="s">
        <v>332</v>
      </c>
      <c r="L503" t="s">
        <v>275</v>
      </c>
      <c r="M503" t="s">
        <v>157</v>
      </c>
      <c r="N503">
        <v>421</v>
      </c>
      <c r="O503" t="s">
        <v>155</v>
      </c>
      <c r="P503" t="s">
        <v>154</v>
      </c>
      <c r="Q503" s="6">
        <v>45216</v>
      </c>
      <c r="R503">
        <v>1</v>
      </c>
      <c r="U503" t="s">
        <v>225</v>
      </c>
      <c r="AD503">
        <v>1</v>
      </c>
      <c r="AE503" s="7" t="s">
        <v>177</v>
      </c>
      <c r="AF503">
        <v>35</v>
      </c>
      <c r="AG503">
        <v>24</v>
      </c>
      <c r="AH503">
        <v>0</v>
      </c>
      <c r="AI503">
        <v>282</v>
      </c>
    </row>
    <row r="504" spans="1:35" x14ac:dyDescent="0.35">
      <c r="A504" t="s">
        <v>192</v>
      </c>
      <c r="B504" t="s">
        <v>24</v>
      </c>
      <c r="C504" t="s">
        <v>33</v>
      </c>
      <c r="D504" t="s">
        <v>34</v>
      </c>
      <c r="E504" t="s">
        <v>309</v>
      </c>
      <c r="F504" t="s">
        <v>310</v>
      </c>
      <c r="G504" s="20" t="s">
        <v>38</v>
      </c>
      <c r="H504" s="20" t="s">
        <v>39</v>
      </c>
      <c r="I504" t="str">
        <f t="shared" si="12"/>
        <v>Apis mellifera</v>
      </c>
      <c r="J504" t="s">
        <v>70</v>
      </c>
      <c r="K504" t="s">
        <v>332</v>
      </c>
      <c r="L504" t="s">
        <v>275</v>
      </c>
      <c r="M504" t="s">
        <v>157</v>
      </c>
      <c r="N504">
        <v>422</v>
      </c>
      <c r="O504" t="s">
        <v>155</v>
      </c>
      <c r="P504" t="s">
        <v>154</v>
      </c>
      <c r="Q504" s="6">
        <v>45216</v>
      </c>
      <c r="R504">
        <v>1</v>
      </c>
      <c r="U504" t="s">
        <v>225</v>
      </c>
      <c r="AD504">
        <v>1</v>
      </c>
      <c r="AE504" s="7" t="s">
        <v>178</v>
      </c>
      <c r="AF504">
        <v>35</v>
      </c>
      <c r="AG504">
        <v>24</v>
      </c>
      <c r="AH504">
        <v>0</v>
      </c>
      <c r="AI504">
        <v>283</v>
      </c>
    </row>
    <row r="505" spans="1:35" x14ac:dyDescent="0.35">
      <c r="A505" t="s">
        <v>192</v>
      </c>
      <c r="B505" t="s">
        <v>24</v>
      </c>
      <c r="C505" t="s">
        <v>33</v>
      </c>
      <c r="D505" t="s">
        <v>34</v>
      </c>
      <c r="E505" t="s">
        <v>309</v>
      </c>
      <c r="F505" t="s">
        <v>310</v>
      </c>
      <c r="G505" s="20" t="s">
        <v>38</v>
      </c>
      <c r="H505" s="20" t="s">
        <v>39</v>
      </c>
      <c r="I505" t="str">
        <f t="shared" si="12"/>
        <v>Apis mellifera</v>
      </c>
      <c r="J505" t="s">
        <v>70</v>
      </c>
      <c r="K505" t="s">
        <v>332</v>
      </c>
      <c r="L505" t="s">
        <v>275</v>
      </c>
      <c r="M505" t="s">
        <v>157</v>
      </c>
      <c r="N505">
        <v>423</v>
      </c>
      <c r="O505" t="s">
        <v>155</v>
      </c>
      <c r="P505" t="s">
        <v>154</v>
      </c>
      <c r="Q505" s="6">
        <v>45216</v>
      </c>
      <c r="R505">
        <v>1</v>
      </c>
      <c r="U505" t="s">
        <v>225</v>
      </c>
      <c r="AD505">
        <v>1</v>
      </c>
      <c r="AE505" s="7" t="s">
        <v>178</v>
      </c>
      <c r="AF505">
        <v>35</v>
      </c>
      <c r="AG505">
        <v>24</v>
      </c>
      <c r="AH505">
        <v>0</v>
      </c>
      <c r="AI505">
        <v>284</v>
      </c>
    </row>
    <row r="506" spans="1:35" x14ac:dyDescent="0.35">
      <c r="A506" t="s">
        <v>192</v>
      </c>
      <c r="B506" t="s">
        <v>24</v>
      </c>
      <c r="C506" t="s">
        <v>33</v>
      </c>
      <c r="D506" t="s">
        <v>34</v>
      </c>
      <c r="E506" t="s">
        <v>309</v>
      </c>
      <c r="F506" t="s">
        <v>310</v>
      </c>
      <c r="G506" s="20" t="s">
        <v>38</v>
      </c>
      <c r="H506" s="20" t="s">
        <v>39</v>
      </c>
      <c r="I506" t="str">
        <f t="shared" si="12"/>
        <v>Apis mellifera</v>
      </c>
      <c r="J506" t="s">
        <v>70</v>
      </c>
      <c r="K506" t="s">
        <v>332</v>
      </c>
      <c r="L506" t="s">
        <v>275</v>
      </c>
      <c r="M506" t="s">
        <v>157</v>
      </c>
      <c r="N506">
        <v>424</v>
      </c>
      <c r="O506" t="s">
        <v>155</v>
      </c>
      <c r="P506" t="s">
        <v>154</v>
      </c>
      <c r="Q506" s="6">
        <v>45216</v>
      </c>
      <c r="R506">
        <v>1</v>
      </c>
      <c r="U506" t="s">
        <v>225</v>
      </c>
      <c r="AD506">
        <v>1</v>
      </c>
      <c r="AE506" s="7" t="s">
        <v>178</v>
      </c>
      <c r="AF506">
        <v>35</v>
      </c>
      <c r="AG506">
        <v>24</v>
      </c>
      <c r="AH506">
        <v>0</v>
      </c>
      <c r="AI506">
        <v>285</v>
      </c>
    </row>
    <row r="507" spans="1:35" x14ac:dyDescent="0.35">
      <c r="A507" t="s">
        <v>192</v>
      </c>
      <c r="B507" t="s">
        <v>24</v>
      </c>
      <c r="C507" t="s">
        <v>33</v>
      </c>
      <c r="D507" t="s">
        <v>34</v>
      </c>
      <c r="E507" t="s">
        <v>309</v>
      </c>
      <c r="F507" t="s">
        <v>310</v>
      </c>
      <c r="G507" s="20" t="s">
        <v>38</v>
      </c>
      <c r="H507" s="20" t="s">
        <v>39</v>
      </c>
      <c r="I507" t="str">
        <f t="shared" si="12"/>
        <v>Apis mellifera</v>
      </c>
      <c r="J507" t="s">
        <v>70</v>
      </c>
      <c r="K507" t="s">
        <v>332</v>
      </c>
      <c r="L507" t="s">
        <v>275</v>
      </c>
      <c r="M507" t="s">
        <v>157</v>
      </c>
      <c r="N507">
        <v>425</v>
      </c>
      <c r="O507" t="s">
        <v>155</v>
      </c>
      <c r="P507" t="s">
        <v>154</v>
      </c>
      <c r="Q507" s="6">
        <v>45216</v>
      </c>
      <c r="R507">
        <v>1</v>
      </c>
      <c r="U507" t="s">
        <v>225</v>
      </c>
      <c r="AD507">
        <v>1</v>
      </c>
      <c r="AE507" s="7" t="s">
        <v>178</v>
      </c>
      <c r="AF507">
        <v>35</v>
      </c>
      <c r="AG507">
        <v>24</v>
      </c>
      <c r="AH507">
        <v>0</v>
      </c>
      <c r="AI507">
        <v>286</v>
      </c>
    </row>
    <row r="508" spans="1:35" x14ac:dyDescent="0.35">
      <c r="A508" t="s">
        <v>192</v>
      </c>
      <c r="B508" t="s">
        <v>24</v>
      </c>
      <c r="C508" t="s">
        <v>33</v>
      </c>
      <c r="D508" t="s">
        <v>34</v>
      </c>
      <c r="E508" t="s">
        <v>309</v>
      </c>
      <c r="F508" t="s">
        <v>310</v>
      </c>
      <c r="G508" s="20" t="s">
        <v>38</v>
      </c>
      <c r="H508" s="20" t="s">
        <v>39</v>
      </c>
      <c r="I508" t="str">
        <f t="shared" si="12"/>
        <v>Apis mellifera</v>
      </c>
      <c r="J508" t="s">
        <v>70</v>
      </c>
      <c r="K508" t="s">
        <v>332</v>
      </c>
      <c r="L508" t="s">
        <v>275</v>
      </c>
      <c r="M508" t="s">
        <v>157</v>
      </c>
      <c r="N508">
        <v>426</v>
      </c>
      <c r="O508" t="s">
        <v>155</v>
      </c>
      <c r="P508" t="s">
        <v>154</v>
      </c>
      <c r="Q508" s="6">
        <v>45216</v>
      </c>
      <c r="R508">
        <v>1</v>
      </c>
      <c r="U508" t="s">
        <v>225</v>
      </c>
      <c r="AD508">
        <v>1</v>
      </c>
      <c r="AE508" s="7" t="s">
        <v>177</v>
      </c>
      <c r="AF508">
        <v>35</v>
      </c>
      <c r="AG508">
        <v>24</v>
      </c>
      <c r="AH508">
        <v>0</v>
      </c>
      <c r="AI508">
        <v>287</v>
      </c>
    </row>
    <row r="509" spans="1:35" x14ac:dyDescent="0.35">
      <c r="A509" t="s">
        <v>192</v>
      </c>
      <c r="B509" t="s">
        <v>24</v>
      </c>
      <c r="C509" t="s">
        <v>33</v>
      </c>
      <c r="D509" t="s">
        <v>34</v>
      </c>
      <c r="E509" t="s">
        <v>309</v>
      </c>
      <c r="F509" t="s">
        <v>310</v>
      </c>
      <c r="G509" s="20" t="s">
        <v>38</v>
      </c>
      <c r="H509" s="20" t="s">
        <v>39</v>
      </c>
      <c r="I509" t="str">
        <f t="shared" si="12"/>
        <v>Apis mellifera</v>
      </c>
      <c r="J509" t="s">
        <v>70</v>
      </c>
      <c r="K509" t="s">
        <v>332</v>
      </c>
      <c r="L509" t="s">
        <v>275</v>
      </c>
      <c r="M509" t="s">
        <v>157</v>
      </c>
      <c r="N509">
        <v>427</v>
      </c>
      <c r="O509" t="s">
        <v>155</v>
      </c>
      <c r="P509" t="s">
        <v>154</v>
      </c>
      <c r="Q509" s="6">
        <v>45216</v>
      </c>
      <c r="R509">
        <v>1</v>
      </c>
      <c r="U509" t="s">
        <v>225</v>
      </c>
      <c r="AD509">
        <v>1</v>
      </c>
      <c r="AE509" s="7" t="s">
        <v>180</v>
      </c>
      <c r="AF509">
        <v>35</v>
      </c>
      <c r="AG509">
        <v>24</v>
      </c>
      <c r="AH509">
        <v>0</v>
      </c>
      <c r="AI509">
        <v>288</v>
      </c>
    </row>
    <row r="510" spans="1:35" x14ac:dyDescent="0.35">
      <c r="A510" t="s">
        <v>192</v>
      </c>
      <c r="B510" t="s">
        <v>24</v>
      </c>
      <c r="C510" t="s">
        <v>33</v>
      </c>
      <c r="D510" t="s">
        <v>34</v>
      </c>
      <c r="E510" t="s">
        <v>309</v>
      </c>
      <c r="F510" t="s">
        <v>310</v>
      </c>
      <c r="G510" s="20" t="s">
        <v>38</v>
      </c>
      <c r="H510" s="20" t="s">
        <v>39</v>
      </c>
      <c r="I510" t="str">
        <f t="shared" si="12"/>
        <v>Apis mellifera</v>
      </c>
      <c r="J510" t="s">
        <v>70</v>
      </c>
      <c r="K510" t="s">
        <v>332</v>
      </c>
      <c r="L510" t="s">
        <v>275</v>
      </c>
      <c r="M510" t="s">
        <v>157</v>
      </c>
      <c r="N510">
        <v>428</v>
      </c>
      <c r="O510" t="s">
        <v>155</v>
      </c>
      <c r="P510" t="s">
        <v>154</v>
      </c>
      <c r="Q510" s="6">
        <v>45216</v>
      </c>
      <c r="R510">
        <v>1</v>
      </c>
      <c r="U510" t="s">
        <v>225</v>
      </c>
      <c r="AD510">
        <v>1</v>
      </c>
      <c r="AE510" s="7" t="s">
        <v>180</v>
      </c>
      <c r="AF510">
        <v>35</v>
      </c>
      <c r="AG510">
        <v>24</v>
      </c>
      <c r="AH510">
        <v>0</v>
      </c>
      <c r="AI510">
        <v>289</v>
      </c>
    </row>
    <row r="511" spans="1:35" x14ac:dyDescent="0.35">
      <c r="A511" t="s">
        <v>192</v>
      </c>
      <c r="B511" t="s">
        <v>24</v>
      </c>
      <c r="C511" t="s">
        <v>33</v>
      </c>
      <c r="D511" t="s">
        <v>34</v>
      </c>
      <c r="E511" t="s">
        <v>309</v>
      </c>
      <c r="F511" t="s">
        <v>310</v>
      </c>
      <c r="G511" s="20" t="s">
        <v>38</v>
      </c>
      <c r="H511" s="20" t="s">
        <v>39</v>
      </c>
      <c r="I511" t="str">
        <f t="shared" si="12"/>
        <v>Apis mellifera</v>
      </c>
      <c r="J511" t="s">
        <v>70</v>
      </c>
      <c r="K511" t="s">
        <v>332</v>
      </c>
      <c r="L511" t="s">
        <v>275</v>
      </c>
      <c r="M511" t="s">
        <v>157</v>
      </c>
      <c r="N511">
        <v>429</v>
      </c>
      <c r="O511" t="s">
        <v>155</v>
      </c>
      <c r="P511" t="s">
        <v>154</v>
      </c>
      <c r="Q511" s="6">
        <v>45216</v>
      </c>
      <c r="R511">
        <v>1</v>
      </c>
      <c r="U511" t="s">
        <v>225</v>
      </c>
      <c r="AD511">
        <v>1</v>
      </c>
      <c r="AE511" s="7" t="s">
        <v>178</v>
      </c>
      <c r="AF511">
        <v>35</v>
      </c>
      <c r="AG511">
        <v>24</v>
      </c>
      <c r="AH511">
        <v>0</v>
      </c>
      <c r="AI511">
        <v>290</v>
      </c>
    </row>
    <row r="512" spans="1:35" x14ac:dyDescent="0.35">
      <c r="A512" t="s">
        <v>192</v>
      </c>
      <c r="B512" t="s">
        <v>24</v>
      </c>
      <c r="C512" t="s">
        <v>33</v>
      </c>
      <c r="D512" t="s">
        <v>34</v>
      </c>
      <c r="E512" t="s">
        <v>309</v>
      </c>
      <c r="F512" t="s">
        <v>310</v>
      </c>
      <c r="G512" s="20" t="s">
        <v>38</v>
      </c>
      <c r="H512" s="20" t="s">
        <v>39</v>
      </c>
      <c r="I512" t="str">
        <f t="shared" si="12"/>
        <v>Apis mellifera</v>
      </c>
      <c r="J512" t="s">
        <v>70</v>
      </c>
      <c r="K512" t="s">
        <v>332</v>
      </c>
      <c r="L512" t="s">
        <v>275</v>
      </c>
      <c r="M512" t="s">
        <v>157</v>
      </c>
      <c r="N512">
        <v>430</v>
      </c>
      <c r="O512" t="s">
        <v>155</v>
      </c>
      <c r="P512" t="s">
        <v>154</v>
      </c>
      <c r="Q512" s="6">
        <v>45216</v>
      </c>
      <c r="R512">
        <v>1</v>
      </c>
      <c r="U512" t="s">
        <v>225</v>
      </c>
      <c r="AD512">
        <v>1</v>
      </c>
      <c r="AE512" s="7" t="s">
        <v>179</v>
      </c>
      <c r="AF512">
        <v>35</v>
      </c>
      <c r="AG512">
        <v>24</v>
      </c>
      <c r="AH512">
        <v>0</v>
      </c>
      <c r="AI512">
        <v>291</v>
      </c>
    </row>
    <row r="513" spans="1:35" x14ac:dyDescent="0.35">
      <c r="A513" t="s">
        <v>192</v>
      </c>
      <c r="B513" t="s">
        <v>24</v>
      </c>
      <c r="C513" t="s">
        <v>33</v>
      </c>
      <c r="D513" t="s">
        <v>34</v>
      </c>
      <c r="E513" t="s">
        <v>309</v>
      </c>
      <c r="F513" t="s">
        <v>310</v>
      </c>
      <c r="G513" s="20" t="s">
        <v>38</v>
      </c>
      <c r="H513" s="20" t="s">
        <v>39</v>
      </c>
      <c r="I513" t="str">
        <f t="shared" si="12"/>
        <v>Apis mellifera</v>
      </c>
      <c r="J513" t="s">
        <v>70</v>
      </c>
      <c r="K513" t="s">
        <v>332</v>
      </c>
      <c r="L513" t="s">
        <v>275</v>
      </c>
      <c r="M513" t="s">
        <v>157</v>
      </c>
      <c r="N513">
        <v>431</v>
      </c>
      <c r="O513" t="s">
        <v>155</v>
      </c>
      <c r="P513" t="s">
        <v>154</v>
      </c>
      <c r="Q513" s="6">
        <v>45216</v>
      </c>
      <c r="R513">
        <v>1</v>
      </c>
      <c r="U513" t="s">
        <v>225</v>
      </c>
      <c r="AD513">
        <v>3</v>
      </c>
      <c r="AE513" s="7" t="s">
        <v>180</v>
      </c>
      <c r="AF513">
        <v>35</v>
      </c>
      <c r="AG513">
        <v>24</v>
      </c>
      <c r="AH513">
        <v>0</v>
      </c>
      <c r="AI513">
        <v>292</v>
      </c>
    </row>
    <row r="514" spans="1:35" x14ac:dyDescent="0.35">
      <c r="A514" t="s">
        <v>192</v>
      </c>
      <c r="B514" t="s">
        <v>24</v>
      </c>
      <c r="C514" t="s">
        <v>33</v>
      </c>
      <c r="D514" t="s">
        <v>34</v>
      </c>
      <c r="E514" t="s">
        <v>309</v>
      </c>
      <c r="F514" t="s">
        <v>310</v>
      </c>
      <c r="G514" s="20" t="s">
        <v>38</v>
      </c>
      <c r="H514" s="20" t="s">
        <v>39</v>
      </c>
      <c r="I514" t="str">
        <f t="shared" si="12"/>
        <v>Apis mellifera</v>
      </c>
      <c r="J514" t="s">
        <v>70</v>
      </c>
      <c r="K514" t="s">
        <v>332</v>
      </c>
      <c r="L514" t="s">
        <v>275</v>
      </c>
      <c r="M514" t="s">
        <v>157</v>
      </c>
      <c r="N514">
        <v>432</v>
      </c>
      <c r="O514" t="s">
        <v>155</v>
      </c>
      <c r="P514" t="s">
        <v>154</v>
      </c>
      <c r="Q514" s="6">
        <v>45216</v>
      </c>
      <c r="R514">
        <v>1</v>
      </c>
      <c r="U514" t="s">
        <v>225</v>
      </c>
      <c r="AD514">
        <v>1</v>
      </c>
      <c r="AE514" s="7" t="s">
        <v>178</v>
      </c>
      <c r="AF514">
        <v>35</v>
      </c>
      <c r="AG514">
        <v>24</v>
      </c>
      <c r="AH514">
        <v>0</v>
      </c>
      <c r="AI514">
        <v>293</v>
      </c>
    </row>
    <row r="515" spans="1:35" x14ac:dyDescent="0.35">
      <c r="A515" t="s">
        <v>192</v>
      </c>
      <c r="B515" t="s">
        <v>24</v>
      </c>
      <c r="C515" t="s">
        <v>33</v>
      </c>
      <c r="D515" t="s">
        <v>34</v>
      </c>
      <c r="E515" t="s">
        <v>309</v>
      </c>
      <c r="F515" t="s">
        <v>310</v>
      </c>
      <c r="G515" s="20" t="s">
        <v>38</v>
      </c>
      <c r="H515" s="20" t="s">
        <v>39</v>
      </c>
      <c r="I515" t="str">
        <f t="shared" si="12"/>
        <v>Apis mellifera</v>
      </c>
      <c r="J515" t="s">
        <v>70</v>
      </c>
      <c r="K515" t="s">
        <v>332</v>
      </c>
      <c r="L515" t="s">
        <v>275</v>
      </c>
      <c r="M515" t="s">
        <v>157</v>
      </c>
      <c r="N515">
        <v>433</v>
      </c>
      <c r="O515" t="s">
        <v>155</v>
      </c>
      <c r="P515" t="s">
        <v>154</v>
      </c>
      <c r="Q515" s="6">
        <v>45216</v>
      </c>
      <c r="R515">
        <v>1</v>
      </c>
      <c r="U515" t="s">
        <v>225</v>
      </c>
      <c r="AD515">
        <v>2</v>
      </c>
      <c r="AE515" s="7" t="s">
        <v>177</v>
      </c>
      <c r="AF515">
        <v>35</v>
      </c>
      <c r="AG515">
        <v>24</v>
      </c>
      <c r="AH515">
        <v>0</v>
      </c>
      <c r="AI515">
        <v>294</v>
      </c>
    </row>
    <row r="516" spans="1:35" x14ac:dyDescent="0.35">
      <c r="A516" t="s">
        <v>192</v>
      </c>
      <c r="B516" t="s">
        <v>24</v>
      </c>
      <c r="C516" t="s">
        <v>33</v>
      </c>
      <c r="D516" t="s">
        <v>34</v>
      </c>
      <c r="E516" t="s">
        <v>309</v>
      </c>
      <c r="F516" t="s">
        <v>310</v>
      </c>
      <c r="G516" s="20" t="s">
        <v>38</v>
      </c>
      <c r="H516" s="20" t="s">
        <v>39</v>
      </c>
      <c r="I516" t="str">
        <f t="shared" si="12"/>
        <v>Apis mellifera</v>
      </c>
      <c r="J516" t="s">
        <v>70</v>
      </c>
      <c r="K516" t="s">
        <v>332</v>
      </c>
      <c r="L516" t="s">
        <v>275</v>
      </c>
      <c r="M516" t="s">
        <v>157</v>
      </c>
      <c r="N516">
        <v>434</v>
      </c>
      <c r="O516" t="s">
        <v>155</v>
      </c>
      <c r="P516" t="s">
        <v>154</v>
      </c>
      <c r="Q516" s="6">
        <v>45216</v>
      </c>
      <c r="R516">
        <v>1</v>
      </c>
      <c r="U516" t="s">
        <v>225</v>
      </c>
      <c r="AD516">
        <v>1</v>
      </c>
      <c r="AE516" s="7" t="s">
        <v>178</v>
      </c>
      <c r="AF516">
        <v>35</v>
      </c>
      <c r="AG516">
        <v>24</v>
      </c>
      <c r="AH516">
        <v>0</v>
      </c>
      <c r="AI516">
        <v>295</v>
      </c>
    </row>
    <row r="517" spans="1:35" x14ac:dyDescent="0.35">
      <c r="A517" t="s">
        <v>192</v>
      </c>
      <c r="B517" t="s">
        <v>24</v>
      </c>
      <c r="C517" t="s">
        <v>33</v>
      </c>
      <c r="D517" t="s">
        <v>34</v>
      </c>
      <c r="E517" t="s">
        <v>309</v>
      </c>
      <c r="F517" t="s">
        <v>310</v>
      </c>
      <c r="G517" s="20" t="s">
        <v>38</v>
      </c>
      <c r="H517" s="20" t="s">
        <v>39</v>
      </c>
      <c r="I517" t="str">
        <f t="shared" si="12"/>
        <v>Apis mellifera</v>
      </c>
      <c r="J517" t="s">
        <v>70</v>
      </c>
      <c r="K517" t="s">
        <v>332</v>
      </c>
      <c r="L517" t="s">
        <v>275</v>
      </c>
      <c r="M517" t="s">
        <v>157</v>
      </c>
      <c r="N517">
        <v>435</v>
      </c>
      <c r="O517" t="s">
        <v>155</v>
      </c>
      <c r="P517" t="s">
        <v>154</v>
      </c>
      <c r="Q517" s="6">
        <v>45216</v>
      </c>
      <c r="R517">
        <v>1</v>
      </c>
      <c r="U517" t="s">
        <v>225</v>
      </c>
      <c r="AD517">
        <v>1</v>
      </c>
      <c r="AE517" s="7" t="s">
        <v>178</v>
      </c>
      <c r="AF517">
        <v>35</v>
      </c>
      <c r="AG517">
        <v>24</v>
      </c>
      <c r="AH517">
        <v>0</v>
      </c>
      <c r="AI517">
        <v>296</v>
      </c>
    </row>
    <row r="518" spans="1:35" x14ac:dyDescent="0.35">
      <c r="A518" t="s">
        <v>192</v>
      </c>
      <c r="B518" t="s">
        <v>24</v>
      </c>
      <c r="C518" t="s">
        <v>33</v>
      </c>
      <c r="D518" t="s">
        <v>34</v>
      </c>
      <c r="E518" t="s">
        <v>309</v>
      </c>
      <c r="F518" t="s">
        <v>310</v>
      </c>
      <c r="G518" s="20" t="s">
        <v>38</v>
      </c>
      <c r="H518" s="20" t="s">
        <v>39</v>
      </c>
      <c r="I518" t="str">
        <f t="shared" si="12"/>
        <v>Apis mellifera</v>
      </c>
      <c r="J518" t="s">
        <v>70</v>
      </c>
      <c r="K518" t="s">
        <v>332</v>
      </c>
      <c r="L518" t="s">
        <v>275</v>
      </c>
      <c r="M518" t="s">
        <v>157</v>
      </c>
      <c r="N518">
        <v>436</v>
      </c>
      <c r="O518" t="s">
        <v>155</v>
      </c>
      <c r="P518" t="s">
        <v>154</v>
      </c>
      <c r="Q518" s="6">
        <v>45216</v>
      </c>
      <c r="R518">
        <v>1</v>
      </c>
      <c r="U518" t="s">
        <v>225</v>
      </c>
      <c r="AD518">
        <v>1</v>
      </c>
      <c r="AE518" s="7" t="s">
        <v>178</v>
      </c>
      <c r="AF518">
        <v>35</v>
      </c>
      <c r="AG518">
        <v>24</v>
      </c>
      <c r="AH518">
        <v>0</v>
      </c>
      <c r="AI518">
        <v>297</v>
      </c>
    </row>
    <row r="519" spans="1:35" x14ac:dyDescent="0.35">
      <c r="A519" t="s">
        <v>192</v>
      </c>
      <c r="B519" t="s">
        <v>24</v>
      </c>
      <c r="C519" t="s">
        <v>33</v>
      </c>
      <c r="D519" t="s">
        <v>34</v>
      </c>
      <c r="E519" t="s">
        <v>309</v>
      </c>
      <c r="F519" t="s">
        <v>310</v>
      </c>
      <c r="G519" s="20" t="s">
        <v>38</v>
      </c>
      <c r="H519" s="20" t="s">
        <v>39</v>
      </c>
      <c r="I519" t="str">
        <f t="shared" si="12"/>
        <v>Apis mellifera</v>
      </c>
      <c r="J519" t="s">
        <v>70</v>
      </c>
      <c r="K519" t="s">
        <v>332</v>
      </c>
      <c r="L519" t="s">
        <v>275</v>
      </c>
      <c r="M519" t="s">
        <v>157</v>
      </c>
      <c r="N519">
        <v>437</v>
      </c>
      <c r="O519" t="s">
        <v>155</v>
      </c>
      <c r="P519" t="s">
        <v>154</v>
      </c>
      <c r="Q519" s="6">
        <v>45216</v>
      </c>
      <c r="R519">
        <v>1</v>
      </c>
      <c r="U519" t="s">
        <v>225</v>
      </c>
      <c r="AD519">
        <v>2</v>
      </c>
      <c r="AE519" s="7" t="s">
        <v>179</v>
      </c>
      <c r="AF519">
        <v>35</v>
      </c>
      <c r="AG519">
        <v>24</v>
      </c>
      <c r="AH519">
        <v>0</v>
      </c>
      <c r="AI519">
        <v>298</v>
      </c>
    </row>
    <row r="520" spans="1:35" x14ac:dyDescent="0.35">
      <c r="A520" t="s">
        <v>192</v>
      </c>
      <c r="B520" t="s">
        <v>24</v>
      </c>
      <c r="C520" t="s">
        <v>33</v>
      </c>
      <c r="D520" t="s">
        <v>34</v>
      </c>
      <c r="E520" t="s">
        <v>309</v>
      </c>
      <c r="F520" t="s">
        <v>310</v>
      </c>
      <c r="G520" s="20" t="s">
        <v>38</v>
      </c>
      <c r="H520" s="20" t="s">
        <v>39</v>
      </c>
      <c r="I520" t="str">
        <f t="shared" si="12"/>
        <v>Apis mellifera</v>
      </c>
      <c r="J520" t="s">
        <v>70</v>
      </c>
      <c r="K520" t="s">
        <v>332</v>
      </c>
      <c r="L520" t="s">
        <v>275</v>
      </c>
      <c r="M520" t="s">
        <v>157</v>
      </c>
      <c r="N520">
        <v>438</v>
      </c>
      <c r="O520" t="s">
        <v>155</v>
      </c>
      <c r="P520" t="s">
        <v>154</v>
      </c>
      <c r="Q520" s="6">
        <v>45216</v>
      </c>
      <c r="R520">
        <v>1</v>
      </c>
      <c r="U520" t="s">
        <v>225</v>
      </c>
      <c r="AD520">
        <v>1</v>
      </c>
      <c r="AE520" s="7" t="s">
        <v>178</v>
      </c>
      <c r="AF520">
        <v>35</v>
      </c>
      <c r="AG520">
        <v>24</v>
      </c>
      <c r="AH520">
        <v>0</v>
      </c>
      <c r="AI520">
        <v>299</v>
      </c>
    </row>
    <row r="521" spans="1:35" x14ac:dyDescent="0.35">
      <c r="A521" t="s">
        <v>192</v>
      </c>
      <c r="B521" t="s">
        <v>24</v>
      </c>
      <c r="C521" t="s">
        <v>33</v>
      </c>
      <c r="D521" t="s">
        <v>34</v>
      </c>
      <c r="E521" t="s">
        <v>309</v>
      </c>
      <c r="F521" t="s">
        <v>310</v>
      </c>
      <c r="G521" s="20" t="s">
        <v>38</v>
      </c>
      <c r="H521" s="20" t="s">
        <v>39</v>
      </c>
      <c r="I521" t="str">
        <f t="shared" si="12"/>
        <v>Apis mellifera</v>
      </c>
      <c r="J521" t="s">
        <v>70</v>
      </c>
      <c r="K521" t="s">
        <v>332</v>
      </c>
      <c r="L521" t="s">
        <v>275</v>
      </c>
      <c r="M521" t="s">
        <v>157</v>
      </c>
      <c r="N521">
        <v>439</v>
      </c>
      <c r="O521" t="s">
        <v>155</v>
      </c>
      <c r="P521" t="s">
        <v>154</v>
      </c>
      <c r="Q521" s="6">
        <v>45216</v>
      </c>
      <c r="R521">
        <v>1</v>
      </c>
      <c r="U521" t="s">
        <v>225</v>
      </c>
      <c r="AD521">
        <v>1</v>
      </c>
      <c r="AE521" s="7" t="s">
        <v>179</v>
      </c>
      <c r="AF521">
        <v>35</v>
      </c>
      <c r="AG521">
        <v>24</v>
      </c>
      <c r="AH521">
        <v>0</v>
      </c>
      <c r="AI521">
        <v>300</v>
      </c>
    </row>
    <row r="522" spans="1:35" x14ac:dyDescent="0.35">
      <c r="A522" t="s">
        <v>192</v>
      </c>
      <c r="B522" t="s">
        <v>24</v>
      </c>
      <c r="C522" t="s">
        <v>33</v>
      </c>
      <c r="D522" t="s">
        <v>34</v>
      </c>
      <c r="E522" t="s">
        <v>309</v>
      </c>
      <c r="F522" t="s">
        <v>310</v>
      </c>
      <c r="G522" s="20" t="s">
        <v>38</v>
      </c>
      <c r="H522" s="20" t="s">
        <v>39</v>
      </c>
      <c r="I522" t="str">
        <f t="shared" si="12"/>
        <v>Apis mellifera</v>
      </c>
      <c r="J522" t="s">
        <v>70</v>
      </c>
      <c r="K522" t="s">
        <v>332</v>
      </c>
      <c r="L522" t="s">
        <v>275</v>
      </c>
      <c r="M522" t="s">
        <v>157</v>
      </c>
      <c r="N522">
        <v>440</v>
      </c>
      <c r="O522" t="s">
        <v>155</v>
      </c>
      <c r="P522" t="s">
        <v>154</v>
      </c>
      <c r="Q522" s="6">
        <v>45216</v>
      </c>
      <c r="R522">
        <v>1</v>
      </c>
      <c r="U522" t="s">
        <v>225</v>
      </c>
      <c r="AD522">
        <v>1</v>
      </c>
      <c r="AE522" s="7" t="s">
        <v>178</v>
      </c>
      <c r="AF522">
        <v>35</v>
      </c>
      <c r="AG522">
        <v>24</v>
      </c>
      <c r="AH522">
        <v>0</v>
      </c>
      <c r="AI522">
        <v>301</v>
      </c>
    </row>
    <row r="523" spans="1:35" x14ac:dyDescent="0.35">
      <c r="A523" t="s">
        <v>192</v>
      </c>
      <c r="B523" t="s">
        <v>24</v>
      </c>
      <c r="C523" t="s">
        <v>33</v>
      </c>
      <c r="D523" t="s">
        <v>34</v>
      </c>
      <c r="E523" t="s">
        <v>309</v>
      </c>
      <c r="F523" t="s">
        <v>310</v>
      </c>
      <c r="G523" s="20" t="s">
        <v>38</v>
      </c>
      <c r="H523" s="20" t="s">
        <v>39</v>
      </c>
      <c r="I523" t="str">
        <f t="shared" si="12"/>
        <v>Apis mellifera</v>
      </c>
      <c r="J523" t="s">
        <v>70</v>
      </c>
      <c r="K523" t="s">
        <v>332</v>
      </c>
      <c r="L523" t="s">
        <v>275</v>
      </c>
      <c r="M523" t="s">
        <v>157</v>
      </c>
      <c r="N523">
        <v>441</v>
      </c>
      <c r="O523" t="s">
        <v>155</v>
      </c>
      <c r="P523" t="s">
        <v>154</v>
      </c>
      <c r="Q523" s="6">
        <v>45216</v>
      </c>
      <c r="R523">
        <v>1</v>
      </c>
      <c r="U523" t="s">
        <v>225</v>
      </c>
      <c r="AD523">
        <v>1</v>
      </c>
      <c r="AE523" s="7" t="s">
        <v>179</v>
      </c>
      <c r="AF523">
        <v>35</v>
      </c>
      <c r="AG523">
        <v>24</v>
      </c>
      <c r="AH523">
        <v>0</v>
      </c>
      <c r="AI523">
        <v>302</v>
      </c>
    </row>
    <row r="524" spans="1:35" x14ac:dyDescent="0.35">
      <c r="A524" t="s">
        <v>192</v>
      </c>
      <c r="B524" t="s">
        <v>24</v>
      </c>
      <c r="C524" t="s">
        <v>33</v>
      </c>
      <c r="D524" t="s">
        <v>34</v>
      </c>
      <c r="E524" t="s">
        <v>309</v>
      </c>
      <c r="F524" t="s">
        <v>310</v>
      </c>
      <c r="G524" s="20" t="s">
        <v>38</v>
      </c>
      <c r="H524" s="20" t="s">
        <v>39</v>
      </c>
      <c r="I524" t="str">
        <f t="shared" si="12"/>
        <v>Apis mellifera</v>
      </c>
      <c r="J524" t="s">
        <v>70</v>
      </c>
      <c r="K524" t="s">
        <v>332</v>
      </c>
      <c r="L524" t="s">
        <v>275</v>
      </c>
      <c r="M524" t="s">
        <v>157</v>
      </c>
      <c r="N524">
        <v>442</v>
      </c>
      <c r="O524" t="s">
        <v>155</v>
      </c>
      <c r="P524" t="s">
        <v>154</v>
      </c>
      <c r="Q524" s="6">
        <v>45216</v>
      </c>
      <c r="R524">
        <v>1</v>
      </c>
      <c r="U524" t="s">
        <v>225</v>
      </c>
      <c r="AD524">
        <v>1</v>
      </c>
      <c r="AE524" s="7" t="s">
        <v>178</v>
      </c>
      <c r="AF524">
        <v>35</v>
      </c>
      <c r="AG524">
        <v>24</v>
      </c>
      <c r="AH524">
        <v>0</v>
      </c>
      <c r="AI524">
        <v>303</v>
      </c>
    </row>
    <row r="525" spans="1:35" x14ac:dyDescent="0.35">
      <c r="A525" t="s">
        <v>192</v>
      </c>
      <c r="B525" t="s">
        <v>24</v>
      </c>
      <c r="C525" t="s">
        <v>33</v>
      </c>
      <c r="D525" t="s">
        <v>34</v>
      </c>
      <c r="E525" t="s">
        <v>309</v>
      </c>
      <c r="F525" t="s">
        <v>310</v>
      </c>
      <c r="G525" s="20" t="s">
        <v>38</v>
      </c>
      <c r="H525" s="20" t="s">
        <v>39</v>
      </c>
      <c r="I525" t="str">
        <f t="shared" si="12"/>
        <v>Apis mellifera</v>
      </c>
      <c r="J525" t="s">
        <v>70</v>
      </c>
      <c r="K525" t="s">
        <v>332</v>
      </c>
      <c r="L525" t="s">
        <v>275</v>
      </c>
      <c r="M525" t="s">
        <v>157</v>
      </c>
      <c r="N525">
        <v>443</v>
      </c>
      <c r="O525" t="s">
        <v>155</v>
      </c>
      <c r="P525" t="s">
        <v>154</v>
      </c>
      <c r="Q525" s="6">
        <v>45216</v>
      </c>
      <c r="R525">
        <v>1</v>
      </c>
      <c r="U525" t="s">
        <v>225</v>
      </c>
      <c r="AD525">
        <v>1</v>
      </c>
      <c r="AE525" s="7" t="s">
        <v>178</v>
      </c>
      <c r="AF525">
        <v>33</v>
      </c>
      <c r="AG525">
        <v>23</v>
      </c>
      <c r="AH525">
        <v>0</v>
      </c>
      <c r="AI525">
        <v>304</v>
      </c>
    </row>
    <row r="526" spans="1:35" x14ac:dyDescent="0.35">
      <c r="A526" t="s">
        <v>192</v>
      </c>
      <c r="B526" t="s">
        <v>24</v>
      </c>
      <c r="C526" t="s">
        <v>33</v>
      </c>
      <c r="D526" t="s">
        <v>34</v>
      </c>
      <c r="E526" t="s">
        <v>309</v>
      </c>
      <c r="F526" t="s">
        <v>310</v>
      </c>
      <c r="G526" s="20" t="s">
        <v>38</v>
      </c>
      <c r="H526" s="20" t="s">
        <v>39</v>
      </c>
      <c r="I526" t="str">
        <f t="shared" si="12"/>
        <v>Apis mellifera</v>
      </c>
      <c r="J526" t="s">
        <v>70</v>
      </c>
      <c r="K526" t="s">
        <v>332</v>
      </c>
      <c r="L526" t="s">
        <v>275</v>
      </c>
      <c r="M526" t="s">
        <v>157</v>
      </c>
      <c r="N526">
        <v>444</v>
      </c>
      <c r="O526" t="s">
        <v>155</v>
      </c>
      <c r="P526" t="s">
        <v>154</v>
      </c>
      <c r="Q526" s="6">
        <v>45216</v>
      </c>
      <c r="R526">
        <v>1</v>
      </c>
      <c r="U526" t="s">
        <v>225</v>
      </c>
      <c r="AD526">
        <v>1</v>
      </c>
      <c r="AE526" s="7" t="s">
        <v>178</v>
      </c>
      <c r="AF526">
        <v>33</v>
      </c>
      <c r="AG526">
        <v>23</v>
      </c>
      <c r="AH526">
        <v>0</v>
      </c>
      <c r="AI526">
        <v>305</v>
      </c>
    </row>
    <row r="527" spans="1:35" x14ac:dyDescent="0.35">
      <c r="A527" t="s">
        <v>192</v>
      </c>
      <c r="B527" t="s">
        <v>24</v>
      </c>
      <c r="C527" t="s">
        <v>33</v>
      </c>
      <c r="D527" t="s">
        <v>34</v>
      </c>
      <c r="E527" t="s">
        <v>309</v>
      </c>
      <c r="F527" t="s">
        <v>310</v>
      </c>
      <c r="G527" s="20" t="s">
        <v>38</v>
      </c>
      <c r="H527" s="20" t="s">
        <v>39</v>
      </c>
      <c r="I527" t="str">
        <f t="shared" si="12"/>
        <v>Apis mellifera</v>
      </c>
      <c r="J527" t="s">
        <v>70</v>
      </c>
      <c r="K527" t="s">
        <v>332</v>
      </c>
      <c r="L527" t="s">
        <v>275</v>
      </c>
      <c r="M527" t="s">
        <v>157</v>
      </c>
      <c r="N527">
        <v>445</v>
      </c>
      <c r="O527" t="s">
        <v>155</v>
      </c>
      <c r="P527" t="s">
        <v>154</v>
      </c>
      <c r="Q527" s="6">
        <v>45216</v>
      </c>
      <c r="R527">
        <v>1</v>
      </c>
      <c r="U527" t="s">
        <v>225</v>
      </c>
      <c r="AD527">
        <v>1</v>
      </c>
      <c r="AE527" s="7" t="s">
        <v>177</v>
      </c>
      <c r="AF527">
        <v>33</v>
      </c>
      <c r="AG527">
        <v>23</v>
      </c>
      <c r="AH527">
        <v>0</v>
      </c>
      <c r="AI527">
        <v>306</v>
      </c>
    </row>
    <row r="528" spans="1:35" x14ac:dyDescent="0.35">
      <c r="A528" t="s">
        <v>192</v>
      </c>
      <c r="B528" t="s">
        <v>24</v>
      </c>
      <c r="C528" t="s">
        <v>33</v>
      </c>
      <c r="D528" t="s">
        <v>34</v>
      </c>
      <c r="E528" t="s">
        <v>309</v>
      </c>
      <c r="F528" t="s">
        <v>310</v>
      </c>
      <c r="G528" s="20" t="s">
        <v>38</v>
      </c>
      <c r="H528" s="20" t="s">
        <v>39</v>
      </c>
      <c r="I528" t="str">
        <f t="shared" si="12"/>
        <v>Apis mellifera</v>
      </c>
      <c r="J528" t="s">
        <v>70</v>
      </c>
      <c r="K528" t="s">
        <v>332</v>
      </c>
      <c r="L528" t="s">
        <v>275</v>
      </c>
      <c r="M528" t="s">
        <v>157</v>
      </c>
      <c r="N528">
        <v>446</v>
      </c>
      <c r="O528" t="s">
        <v>155</v>
      </c>
      <c r="P528" t="s">
        <v>154</v>
      </c>
      <c r="Q528" s="6">
        <v>45216</v>
      </c>
      <c r="R528">
        <v>1</v>
      </c>
      <c r="U528" t="s">
        <v>225</v>
      </c>
      <c r="AD528">
        <v>1</v>
      </c>
      <c r="AE528" s="7" t="s">
        <v>180</v>
      </c>
      <c r="AF528">
        <v>33</v>
      </c>
      <c r="AG528">
        <v>23</v>
      </c>
      <c r="AH528">
        <v>0</v>
      </c>
      <c r="AI528">
        <v>307</v>
      </c>
    </row>
    <row r="529" spans="1:35" x14ac:dyDescent="0.35">
      <c r="A529" t="s">
        <v>192</v>
      </c>
      <c r="B529" t="s">
        <v>24</v>
      </c>
      <c r="C529" t="s">
        <v>33</v>
      </c>
      <c r="D529" t="s">
        <v>34</v>
      </c>
      <c r="E529" t="s">
        <v>309</v>
      </c>
      <c r="F529" t="s">
        <v>310</v>
      </c>
      <c r="G529" s="20" t="s">
        <v>38</v>
      </c>
      <c r="H529" s="20" t="s">
        <v>39</v>
      </c>
      <c r="I529" t="str">
        <f t="shared" si="12"/>
        <v>Apis mellifera</v>
      </c>
      <c r="J529" t="s">
        <v>70</v>
      </c>
      <c r="K529" t="s">
        <v>332</v>
      </c>
      <c r="L529" t="s">
        <v>275</v>
      </c>
      <c r="M529" t="s">
        <v>157</v>
      </c>
      <c r="N529">
        <v>447</v>
      </c>
      <c r="O529" t="s">
        <v>155</v>
      </c>
      <c r="P529" t="s">
        <v>154</v>
      </c>
      <c r="Q529" s="6">
        <v>45216</v>
      </c>
      <c r="R529">
        <v>1</v>
      </c>
      <c r="U529" t="s">
        <v>225</v>
      </c>
      <c r="AD529">
        <v>1</v>
      </c>
      <c r="AE529" s="7" t="s">
        <v>178</v>
      </c>
      <c r="AF529">
        <v>33</v>
      </c>
      <c r="AG529">
        <v>23</v>
      </c>
      <c r="AH529">
        <v>0</v>
      </c>
      <c r="AI529">
        <v>308</v>
      </c>
    </row>
    <row r="530" spans="1:35" x14ac:dyDescent="0.35">
      <c r="A530" t="s">
        <v>192</v>
      </c>
      <c r="B530" t="s">
        <v>24</v>
      </c>
      <c r="C530" t="s">
        <v>33</v>
      </c>
      <c r="D530" t="s">
        <v>34</v>
      </c>
      <c r="E530" t="s">
        <v>309</v>
      </c>
      <c r="F530" t="s">
        <v>310</v>
      </c>
      <c r="G530" s="20" t="s">
        <v>38</v>
      </c>
      <c r="H530" s="20" t="s">
        <v>39</v>
      </c>
      <c r="I530" t="str">
        <f t="shared" si="12"/>
        <v>Apis mellifera</v>
      </c>
      <c r="J530" t="s">
        <v>70</v>
      </c>
      <c r="K530" t="s">
        <v>332</v>
      </c>
      <c r="L530" t="s">
        <v>275</v>
      </c>
      <c r="M530" t="s">
        <v>157</v>
      </c>
      <c r="N530">
        <v>448</v>
      </c>
      <c r="O530" t="s">
        <v>155</v>
      </c>
      <c r="P530" t="s">
        <v>154</v>
      </c>
      <c r="Q530" s="6">
        <v>45216</v>
      </c>
      <c r="R530">
        <v>1</v>
      </c>
      <c r="U530" t="s">
        <v>225</v>
      </c>
      <c r="AD530">
        <v>6</v>
      </c>
      <c r="AE530" s="7" t="s">
        <v>180</v>
      </c>
      <c r="AF530">
        <v>33</v>
      </c>
      <c r="AG530">
        <v>23</v>
      </c>
      <c r="AH530">
        <v>0</v>
      </c>
      <c r="AI530">
        <v>309</v>
      </c>
    </row>
    <row r="531" spans="1:35" x14ac:dyDescent="0.35">
      <c r="A531" t="s">
        <v>192</v>
      </c>
      <c r="B531" t="s">
        <v>24</v>
      </c>
      <c r="C531" t="s">
        <v>33</v>
      </c>
      <c r="D531" t="s">
        <v>34</v>
      </c>
      <c r="E531" t="s">
        <v>309</v>
      </c>
      <c r="F531" t="s">
        <v>310</v>
      </c>
      <c r="G531" s="20" t="s">
        <v>38</v>
      </c>
      <c r="H531" s="20" t="s">
        <v>39</v>
      </c>
      <c r="I531" t="str">
        <f t="shared" si="12"/>
        <v>Apis mellifera</v>
      </c>
      <c r="J531" t="s">
        <v>70</v>
      </c>
      <c r="K531" t="s">
        <v>332</v>
      </c>
      <c r="L531" t="s">
        <v>275</v>
      </c>
      <c r="M531" t="s">
        <v>157</v>
      </c>
      <c r="N531">
        <v>449</v>
      </c>
      <c r="O531" t="s">
        <v>155</v>
      </c>
      <c r="P531" t="s">
        <v>154</v>
      </c>
      <c r="Q531" s="6">
        <v>45216</v>
      </c>
      <c r="R531">
        <v>1</v>
      </c>
      <c r="U531" t="s">
        <v>225</v>
      </c>
      <c r="AD531">
        <v>1</v>
      </c>
      <c r="AE531" s="7" t="s">
        <v>177</v>
      </c>
      <c r="AF531">
        <v>33</v>
      </c>
      <c r="AG531">
        <v>23</v>
      </c>
      <c r="AH531">
        <v>0</v>
      </c>
      <c r="AI531">
        <v>310</v>
      </c>
    </row>
    <row r="532" spans="1:35" x14ac:dyDescent="0.35">
      <c r="A532" t="s">
        <v>192</v>
      </c>
      <c r="B532" t="s">
        <v>24</v>
      </c>
      <c r="C532" t="s">
        <v>33</v>
      </c>
      <c r="D532" t="s">
        <v>34</v>
      </c>
      <c r="E532" t="s">
        <v>309</v>
      </c>
      <c r="F532" t="s">
        <v>310</v>
      </c>
      <c r="G532" s="20" t="s">
        <v>38</v>
      </c>
      <c r="H532" s="20" t="s">
        <v>39</v>
      </c>
      <c r="I532" t="str">
        <f t="shared" si="12"/>
        <v>Apis mellifera</v>
      </c>
      <c r="J532" t="s">
        <v>70</v>
      </c>
      <c r="K532" t="s">
        <v>332</v>
      </c>
      <c r="L532" t="s">
        <v>275</v>
      </c>
      <c r="M532" t="s">
        <v>157</v>
      </c>
      <c r="N532">
        <v>450</v>
      </c>
      <c r="O532" t="s">
        <v>155</v>
      </c>
      <c r="P532" t="s">
        <v>154</v>
      </c>
      <c r="Q532" s="6">
        <v>45216</v>
      </c>
      <c r="R532">
        <v>1</v>
      </c>
      <c r="U532" t="s">
        <v>225</v>
      </c>
      <c r="AD532">
        <v>1</v>
      </c>
      <c r="AE532" s="7" t="s">
        <v>177</v>
      </c>
      <c r="AF532">
        <v>33</v>
      </c>
      <c r="AG532">
        <v>23</v>
      </c>
      <c r="AH532">
        <v>0</v>
      </c>
      <c r="AI532">
        <v>311</v>
      </c>
    </row>
    <row r="533" spans="1:35" x14ac:dyDescent="0.35">
      <c r="A533" t="s">
        <v>192</v>
      </c>
      <c r="B533" t="s">
        <v>24</v>
      </c>
      <c r="C533" t="s">
        <v>33</v>
      </c>
      <c r="D533" t="s">
        <v>34</v>
      </c>
      <c r="E533" t="s">
        <v>309</v>
      </c>
      <c r="F533" t="s">
        <v>310</v>
      </c>
      <c r="G533" s="20" t="s">
        <v>38</v>
      </c>
      <c r="H533" s="20" t="s">
        <v>39</v>
      </c>
      <c r="I533" t="str">
        <f t="shared" si="12"/>
        <v>Apis mellifera</v>
      </c>
      <c r="J533" t="s">
        <v>70</v>
      </c>
      <c r="K533" t="s">
        <v>332</v>
      </c>
      <c r="L533" t="s">
        <v>275</v>
      </c>
      <c r="M533" t="s">
        <v>157</v>
      </c>
      <c r="N533">
        <v>451</v>
      </c>
      <c r="O533" t="s">
        <v>155</v>
      </c>
      <c r="P533" t="s">
        <v>154</v>
      </c>
      <c r="Q533" s="6">
        <v>45216</v>
      </c>
      <c r="R533">
        <v>1</v>
      </c>
      <c r="U533" t="s">
        <v>225</v>
      </c>
      <c r="AD533">
        <v>1</v>
      </c>
      <c r="AE533" s="7" t="s">
        <v>180</v>
      </c>
      <c r="AF533">
        <v>33</v>
      </c>
      <c r="AG533">
        <v>23</v>
      </c>
      <c r="AH533">
        <v>0</v>
      </c>
      <c r="AI533">
        <v>312</v>
      </c>
    </row>
    <row r="534" spans="1:35" x14ac:dyDescent="0.35">
      <c r="A534" t="s">
        <v>192</v>
      </c>
      <c r="B534" t="s">
        <v>24</v>
      </c>
      <c r="C534" t="s">
        <v>33</v>
      </c>
      <c r="D534" t="s">
        <v>34</v>
      </c>
      <c r="E534" t="s">
        <v>309</v>
      </c>
      <c r="F534" t="s">
        <v>310</v>
      </c>
      <c r="G534" s="20" t="s">
        <v>38</v>
      </c>
      <c r="H534" s="20" t="s">
        <v>39</v>
      </c>
      <c r="I534" t="str">
        <f t="shared" si="12"/>
        <v>Apis mellifera</v>
      </c>
      <c r="J534" t="s">
        <v>70</v>
      </c>
      <c r="K534" t="s">
        <v>332</v>
      </c>
      <c r="L534" t="s">
        <v>275</v>
      </c>
      <c r="M534" t="s">
        <v>157</v>
      </c>
      <c r="N534">
        <v>452</v>
      </c>
      <c r="O534" t="s">
        <v>155</v>
      </c>
      <c r="P534" t="s">
        <v>154</v>
      </c>
      <c r="Q534" s="6">
        <v>45216</v>
      </c>
      <c r="R534">
        <v>1</v>
      </c>
      <c r="U534" t="s">
        <v>225</v>
      </c>
      <c r="AD534">
        <v>2</v>
      </c>
      <c r="AE534" s="7" t="s">
        <v>180</v>
      </c>
      <c r="AF534">
        <v>36</v>
      </c>
      <c r="AG534">
        <v>47</v>
      </c>
      <c r="AH534">
        <v>0</v>
      </c>
      <c r="AI534">
        <v>313</v>
      </c>
    </row>
    <row r="535" spans="1:35" x14ac:dyDescent="0.35">
      <c r="A535" t="s">
        <v>192</v>
      </c>
      <c r="B535" t="s">
        <v>24</v>
      </c>
      <c r="C535" t="s">
        <v>33</v>
      </c>
      <c r="D535" t="s">
        <v>34</v>
      </c>
      <c r="E535" t="s">
        <v>309</v>
      </c>
      <c r="F535" t="s">
        <v>310</v>
      </c>
      <c r="G535" s="20" t="s">
        <v>38</v>
      </c>
      <c r="H535" s="20" t="s">
        <v>39</v>
      </c>
      <c r="I535" t="str">
        <f t="shared" si="12"/>
        <v>Apis mellifera</v>
      </c>
      <c r="J535" t="s">
        <v>70</v>
      </c>
      <c r="K535" t="s">
        <v>332</v>
      </c>
      <c r="L535" t="s">
        <v>275</v>
      </c>
      <c r="M535" t="s">
        <v>157</v>
      </c>
      <c r="N535">
        <v>453</v>
      </c>
      <c r="O535" t="s">
        <v>155</v>
      </c>
      <c r="P535" t="s">
        <v>154</v>
      </c>
      <c r="Q535" s="6">
        <v>45216</v>
      </c>
      <c r="R535">
        <v>1</v>
      </c>
      <c r="U535" t="s">
        <v>225</v>
      </c>
      <c r="AD535">
        <v>3</v>
      </c>
      <c r="AE535" s="7" t="s">
        <v>178</v>
      </c>
      <c r="AF535">
        <v>36</v>
      </c>
      <c r="AG535">
        <v>47</v>
      </c>
      <c r="AH535">
        <v>0</v>
      </c>
      <c r="AI535">
        <v>314</v>
      </c>
    </row>
    <row r="536" spans="1:35" x14ac:dyDescent="0.35">
      <c r="A536" t="s">
        <v>192</v>
      </c>
      <c r="B536" t="s">
        <v>24</v>
      </c>
      <c r="C536" t="s">
        <v>33</v>
      </c>
      <c r="D536" t="s">
        <v>34</v>
      </c>
      <c r="E536" t="s">
        <v>309</v>
      </c>
      <c r="F536" t="s">
        <v>310</v>
      </c>
      <c r="G536" s="20" t="s">
        <v>38</v>
      </c>
      <c r="H536" s="20" t="s">
        <v>39</v>
      </c>
      <c r="I536" t="str">
        <f t="shared" si="12"/>
        <v>Apis mellifera</v>
      </c>
      <c r="J536" t="s">
        <v>70</v>
      </c>
      <c r="K536" t="s">
        <v>332</v>
      </c>
      <c r="L536" t="s">
        <v>275</v>
      </c>
      <c r="M536" t="s">
        <v>157</v>
      </c>
      <c r="N536">
        <v>454</v>
      </c>
      <c r="O536" t="s">
        <v>155</v>
      </c>
      <c r="P536" t="s">
        <v>154</v>
      </c>
      <c r="Q536" s="6">
        <v>45216</v>
      </c>
      <c r="R536">
        <v>1</v>
      </c>
      <c r="U536" t="s">
        <v>225</v>
      </c>
      <c r="AD536">
        <v>1</v>
      </c>
      <c r="AE536" s="7" t="s">
        <v>177</v>
      </c>
      <c r="AF536">
        <v>36</v>
      </c>
      <c r="AG536">
        <v>47</v>
      </c>
      <c r="AH536">
        <v>0</v>
      </c>
      <c r="AI536">
        <v>315</v>
      </c>
    </row>
    <row r="537" spans="1:35" x14ac:dyDescent="0.35">
      <c r="A537" t="s">
        <v>192</v>
      </c>
      <c r="B537" t="s">
        <v>24</v>
      </c>
      <c r="C537" t="s">
        <v>33</v>
      </c>
      <c r="D537" t="s">
        <v>34</v>
      </c>
      <c r="E537" t="s">
        <v>309</v>
      </c>
      <c r="F537" t="s">
        <v>310</v>
      </c>
      <c r="G537" s="20" t="s">
        <v>38</v>
      </c>
      <c r="H537" s="20" t="s">
        <v>39</v>
      </c>
      <c r="I537" t="str">
        <f t="shared" si="12"/>
        <v>Apis mellifera</v>
      </c>
      <c r="J537" t="s">
        <v>70</v>
      </c>
      <c r="K537" t="s">
        <v>332</v>
      </c>
      <c r="L537" t="s">
        <v>275</v>
      </c>
      <c r="M537" t="s">
        <v>157</v>
      </c>
      <c r="N537">
        <v>455</v>
      </c>
      <c r="O537" t="s">
        <v>155</v>
      </c>
      <c r="P537" t="s">
        <v>154</v>
      </c>
      <c r="Q537" s="6">
        <v>45216</v>
      </c>
      <c r="R537">
        <v>1</v>
      </c>
      <c r="U537" t="s">
        <v>225</v>
      </c>
      <c r="AD537">
        <v>3</v>
      </c>
      <c r="AE537" s="7" t="s">
        <v>178</v>
      </c>
      <c r="AF537">
        <v>36</v>
      </c>
      <c r="AG537">
        <v>47</v>
      </c>
      <c r="AH537">
        <v>0</v>
      </c>
      <c r="AI537">
        <v>316</v>
      </c>
    </row>
    <row r="538" spans="1:35" x14ac:dyDescent="0.35">
      <c r="A538" t="s">
        <v>192</v>
      </c>
      <c r="B538" t="s">
        <v>24</v>
      </c>
      <c r="C538" t="s">
        <v>33</v>
      </c>
      <c r="D538" t="s">
        <v>34</v>
      </c>
      <c r="E538" t="s">
        <v>309</v>
      </c>
      <c r="F538" t="s">
        <v>310</v>
      </c>
      <c r="G538" s="20" t="s">
        <v>38</v>
      </c>
      <c r="H538" s="20" t="s">
        <v>39</v>
      </c>
      <c r="I538" t="str">
        <f t="shared" si="12"/>
        <v>Apis mellifera</v>
      </c>
      <c r="J538" t="s">
        <v>70</v>
      </c>
      <c r="K538" t="s">
        <v>332</v>
      </c>
      <c r="L538" t="s">
        <v>275</v>
      </c>
      <c r="M538" t="s">
        <v>157</v>
      </c>
      <c r="N538">
        <v>456</v>
      </c>
      <c r="O538" t="s">
        <v>155</v>
      </c>
      <c r="P538" t="s">
        <v>154</v>
      </c>
      <c r="Q538" s="6">
        <v>45216</v>
      </c>
      <c r="R538">
        <v>1</v>
      </c>
      <c r="U538" t="s">
        <v>225</v>
      </c>
      <c r="AD538">
        <v>3</v>
      </c>
      <c r="AE538" s="7" t="s">
        <v>178</v>
      </c>
      <c r="AF538">
        <v>36</v>
      </c>
      <c r="AG538">
        <v>47</v>
      </c>
      <c r="AH538">
        <v>0</v>
      </c>
      <c r="AI538">
        <v>317</v>
      </c>
    </row>
    <row r="539" spans="1:35" x14ac:dyDescent="0.35">
      <c r="A539" t="s">
        <v>192</v>
      </c>
      <c r="B539" t="s">
        <v>24</v>
      </c>
      <c r="C539" t="s">
        <v>33</v>
      </c>
      <c r="D539" t="s">
        <v>34</v>
      </c>
      <c r="E539" t="s">
        <v>309</v>
      </c>
      <c r="F539" t="s">
        <v>310</v>
      </c>
      <c r="G539" s="20" t="s">
        <v>38</v>
      </c>
      <c r="H539" s="20" t="s">
        <v>39</v>
      </c>
      <c r="I539" t="str">
        <f t="shared" si="12"/>
        <v>Apis mellifera</v>
      </c>
      <c r="J539" t="s">
        <v>70</v>
      </c>
      <c r="K539" t="s">
        <v>332</v>
      </c>
      <c r="L539" t="s">
        <v>275</v>
      </c>
      <c r="M539" t="s">
        <v>157</v>
      </c>
      <c r="N539">
        <v>457</v>
      </c>
      <c r="O539" t="s">
        <v>155</v>
      </c>
      <c r="P539" t="s">
        <v>154</v>
      </c>
      <c r="Q539" s="6">
        <v>45216</v>
      </c>
      <c r="R539">
        <v>1</v>
      </c>
      <c r="U539" t="s">
        <v>225</v>
      </c>
      <c r="AD539">
        <v>3</v>
      </c>
      <c r="AE539" s="7" t="s">
        <v>178</v>
      </c>
      <c r="AF539">
        <v>36</v>
      </c>
      <c r="AG539">
        <v>47</v>
      </c>
      <c r="AH539">
        <v>0</v>
      </c>
      <c r="AI539">
        <v>318</v>
      </c>
    </row>
    <row r="540" spans="1:35" x14ac:dyDescent="0.35">
      <c r="A540" t="s">
        <v>192</v>
      </c>
      <c r="B540" t="s">
        <v>24</v>
      </c>
      <c r="C540" t="s">
        <v>33</v>
      </c>
      <c r="D540" t="s">
        <v>34</v>
      </c>
      <c r="E540" t="s">
        <v>309</v>
      </c>
      <c r="F540" t="s">
        <v>310</v>
      </c>
      <c r="G540" s="20" t="s">
        <v>38</v>
      </c>
      <c r="H540" s="20" t="s">
        <v>39</v>
      </c>
      <c r="I540" t="str">
        <f t="shared" si="12"/>
        <v>Apis mellifera</v>
      </c>
      <c r="J540" t="s">
        <v>70</v>
      </c>
      <c r="K540" t="s">
        <v>332</v>
      </c>
      <c r="L540" t="s">
        <v>275</v>
      </c>
      <c r="M540" t="s">
        <v>157</v>
      </c>
      <c r="N540">
        <v>458</v>
      </c>
      <c r="O540" t="s">
        <v>155</v>
      </c>
      <c r="P540" t="s">
        <v>154</v>
      </c>
      <c r="Q540" s="6">
        <v>45216</v>
      </c>
      <c r="R540">
        <v>1</v>
      </c>
      <c r="U540" t="s">
        <v>225</v>
      </c>
      <c r="AD540">
        <v>2</v>
      </c>
      <c r="AE540" s="7" t="s">
        <v>177</v>
      </c>
      <c r="AF540">
        <v>36</v>
      </c>
      <c r="AG540">
        <v>47</v>
      </c>
      <c r="AH540">
        <v>0</v>
      </c>
      <c r="AI540">
        <v>319</v>
      </c>
    </row>
    <row r="541" spans="1:35" x14ac:dyDescent="0.35">
      <c r="A541" t="s">
        <v>192</v>
      </c>
      <c r="B541" t="s">
        <v>24</v>
      </c>
      <c r="C541" t="s">
        <v>33</v>
      </c>
      <c r="D541" t="s">
        <v>34</v>
      </c>
      <c r="E541" t="s">
        <v>309</v>
      </c>
      <c r="F541" t="s">
        <v>310</v>
      </c>
      <c r="G541" s="20" t="s">
        <v>38</v>
      </c>
      <c r="H541" s="20" t="s">
        <v>39</v>
      </c>
      <c r="I541" t="str">
        <f t="shared" si="12"/>
        <v>Apis mellifera</v>
      </c>
      <c r="J541" t="s">
        <v>70</v>
      </c>
      <c r="K541" t="s">
        <v>332</v>
      </c>
      <c r="L541" t="s">
        <v>275</v>
      </c>
      <c r="M541" t="s">
        <v>157</v>
      </c>
      <c r="N541">
        <v>459</v>
      </c>
      <c r="O541" t="s">
        <v>155</v>
      </c>
      <c r="P541" t="s">
        <v>154</v>
      </c>
      <c r="Q541" s="6">
        <v>45216</v>
      </c>
      <c r="R541">
        <v>1</v>
      </c>
      <c r="U541" t="s">
        <v>225</v>
      </c>
      <c r="AD541">
        <v>2</v>
      </c>
      <c r="AE541" s="7" t="s">
        <v>178</v>
      </c>
      <c r="AF541">
        <v>36</v>
      </c>
      <c r="AG541">
        <v>47</v>
      </c>
      <c r="AH541">
        <v>0</v>
      </c>
      <c r="AI541">
        <v>320</v>
      </c>
    </row>
    <row r="542" spans="1:35" x14ac:dyDescent="0.35">
      <c r="A542" t="s">
        <v>192</v>
      </c>
      <c r="B542" t="s">
        <v>24</v>
      </c>
      <c r="C542" t="s">
        <v>33</v>
      </c>
      <c r="D542" t="s">
        <v>34</v>
      </c>
      <c r="E542" t="s">
        <v>309</v>
      </c>
      <c r="F542" t="s">
        <v>310</v>
      </c>
      <c r="G542" s="20" t="s">
        <v>38</v>
      </c>
      <c r="H542" s="20" t="s">
        <v>39</v>
      </c>
      <c r="I542" t="str">
        <f t="shared" si="12"/>
        <v>Apis mellifera</v>
      </c>
      <c r="J542" t="s">
        <v>70</v>
      </c>
      <c r="K542" t="s">
        <v>332</v>
      </c>
      <c r="L542" t="s">
        <v>275</v>
      </c>
      <c r="M542" t="s">
        <v>157</v>
      </c>
      <c r="N542">
        <v>460</v>
      </c>
      <c r="O542" t="s">
        <v>155</v>
      </c>
      <c r="P542" t="s">
        <v>154</v>
      </c>
      <c r="Q542" s="6">
        <v>45216</v>
      </c>
      <c r="R542">
        <v>1</v>
      </c>
      <c r="U542" t="s">
        <v>225</v>
      </c>
      <c r="AD542">
        <v>3</v>
      </c>
      <c r="AE542" s="7" t="s">
        <v>180</v>
      </c>
      <c r="AF542">
        <v>36</v>
      </c>
      <c r="AG542">
        <v>47</v>
      </c>
      <c r="AH542">
        <v>0</v>
      </c>
      <c r="AI542">
        <v>321</v>
      </c>
    </row>
    <row r="543" spans="1:35" x14ac:dyDescent="0.35">
      <c r="A543" t="s">
        <v>192</v>
      </c>
      <c r="B543" t="s">
        <v>24</v>
      </c>
      <c r="C543" t="s">
        <v>33</v>
      </c>
      <c r="D543" t="s">
        <v>34</v>
      </c>
      <c r="E543" t="s">
        <v>309</v>
      </c>
      <c r="F543" t="s">
        <v>310</v>
      </c>
      <c r="G543" s="20" t="s">
        <v>38</v>
      </c>
      <c r="H543" s="20" t="s">
        <v>39</v>
      </c>
      <c r="I543" t="str">
        <f t="shared" si="12"/>
        <v>Apis mellifera</v>
      </c>
      <c r="J543" t="s">
        <v>70</v>
      </c>
      <c r="K543" t="s">
        <v>332</v>
      </c>
      <c r="L543" t="s">
        <v>275</v>
      </c>
      <c r="M543" t="s">
        <v>157</v>
      </c>
      <c r="N543">
        <v>461</v>
      </c>
      <c r="O543" t="s">
        <v>155</v>
      </c>
      <c r="P543" t="s">
        <v>154</v>
      </c>
      <c r="Q543" s="6">
        <v>45216</v>
      </c>
      <c r="R543">
        <v>1</v>
      </c>
      <c r="U543" t="s">
        <v>225</v>
      </c>
      <c r="AD543">
        <v>3</v>
      </c>
      <c r="AE543" s="7" t="s">
        <v>180</v>
      </c>
      <c r="AF543">
        <v>36</v>
      </c>
      <c r="AG543">
        <v>47</v>
      </c>
      <c r="AH543">
        <v>0</v>
      </c>
      <c r="AI543">
        <v>322</v>
      </c>
    </row>
    <row r="544" spans="1:35" x14ac:dyDescent="0.35">
      <c r="A544" t="s">
        <v>192</v>
      </c>
      <c r="B544" t="s">
        <v>24</v>
      </c>
      <c r="C544" t="s">
        <v>33</v>
      </c>
      <c r="D544" t="s">
        <v>34</v>
      </c>
      <c r="E544" t="s">
        <v>309</v>
      </c>
      <c r="F544" t="s">
        <v>310</v>
      </c>
      <c r="G544" s="20" t="s">
        <v>38</v>
      </c>
      <c r="H544" s="20" t="s">
        <v>39</v>
      </c>
      <c r="I544" t="str">
        <f t="shared" si="12"/>
        <v>Apis mellifera</v>
      </c>
      <c r="J544" t="s">
        <v>70</v>
      </c>
      <c r="K544" t="s">
        <v>332</v>
      </c>
      <c r="L544" t="s">
        <v>275</v>
      </c>
      <c r="M544" t="s">
        <v>157</v>
      </c>
      <c r="N544">
        <v>462</v>
      </c>
      <c r="O544" t="s">
        <v>155</v>
      </c>
      <c r="P544" t="s">
        <v>154</v>
      </c>
      <c r="Q544" s="6">
        <v>45216</v>
      </c>
      <c r="R544">
        <v>1</v>
      </c>
      <c r="U544" t="s">
        <v>225</v>
      </c>
      <c r="AD544">
        <v>1</v>
      </c>
      <c r="AE544" s="7" t="s">
        <v>180</v>
      </c>
      <c r="AF544">
        <v>36</v>
      </c>
      <c r="AG544">
        <v>47</v>
      </c>
      <c r="AH544">
        <v>0</v>
      </c>
      <c r="AI544">
        <v>323</v>
      </c>
    </row>
    <row r="545" spans="1:35" x14ac:dyDescent="0.35">
      <c r="A545" t="s">
        <v>192</v>
      </c>
      <c r="B545" t="s">
        <v>24</v>
      </c>
      <c r="C545" t="s">
        <v>33</v>
      </c>
      <c r="D545" t="s">
        <v>34</v>
      </c>
      <c r="E545" t="s">
        <v>309</v>
      </c>
      <c r="F545" t="s">
        <v>310</v>
      </c>
      <c r="G545" s="20" t="s">
        <v>38</v>
      </c>
      <c r="H545" s="20" t="s">
        <v>39</v>
      </c>
      <c r="I545" t="str">
        <f t="shared" si="12"/>
        <v>Apis mellifera</v>
      </c>
      <c r="J545" t="s">
        <v>70</v>
      </c>
      <c r="K545" t="s">
        <v>332</v>
      </c>
      <c r="L545" t="s">
        <v>275</v>
      </c>
      <c r="M545" t="s">
        <v>157</v>
      </c>
      <c r="N545">
        <v>463</v>
      </c>
      <c r="O545" t="s">
        <v>155</v>
      </c>
      <c r="P545" t="s">
        <v>154</v>
      </c>
      <c r="Q545" s="6">
        <v>45216</v>
      </c>
      <c r="R545">
        <v>1</v>
      </c>
      <c r="U545" t="s">
        <v>225</v>
      </c>
      <c r="AD545">
        <v>1</v>
      </c>
      <c r="AE545" s="7" t="s">
        <v>180</v>
      </c>
      <c r="AF545">
        <v>36</v>
      </c>
      <c r="AG545">
        <v>47</v>
      </c>
      <c r="AH545">
        <v>0</v>
      </c>
      <c r="AI545">
        <v>324</v>
      </c>
    </row>
    <row r="546" spans="1:35" x14ac:dyDescent="0.35">
      <c r="A546" t="s">
        <v>192</v>
      </c>
      <c r="B546" t="s">
        <v>24</v>
      </c>
      <c r="C546" t="s">
        <v>33</v>
      </c>
      <c r="D546" t="s">
        <v>34</v>
      </c>
      <c r="E546" t="s">
        <v>309</v>
      </c>
      <c r="F546" t="s">
        <v>310</v>
      </c>
      <c r="G546" s="20" t="s">
        <v>38</v>
      </c>
      <c r="H546" s="20" t="s">
        <v>39</v>
      </c>
      <c r="I546" t="str">
        <f t="shared" si="12"/>
        <v>Apis mellifera</v>
      </c>
      <c r="J546" t="s">
        <v>70</v>
      </c>
      <c r="K546" t="s">
        <v>332</v>
      </c>
      <c r="L546" t="s">
        <v>275</v>
      </c>
      <c r="M546" t="s">
        <v>157</v>
      </c>
      <c r="N546">
        <v>464</v>
      </c>
      <c r="O546" t="s">
        <v>155</v>
      </c>
      <c r="P546" t="s">
        <v>154</v>
      </c>
      <c r="Q546" s="6">
        <v>45216</v>
      </c>
      <c r="R546">
        <v>1</v>
      </c>
      <c r="U546" t="s">
        <v>225</v>
      </c>
      <c r="AD546">
        <v>2</v>
      </c>
      <c r="AE546" s="7" t="s">
        <v>179</v>
      </c>
      <c r="AF546">
        <v>36</v>
      </c>
      <c r="AG546">
        <v>47</v>
      </c>
      <c r="AH546">
        <v>0</v>
      </c>
      <c r="AI546">
        <v>325</v>
      </c>
    </row>
    <row r="547" spans="1:35" x14ac:dyDescent="0.35">
      <c r="A547" t="s">
        <v>192</v>
      </c>
      <c r="B547" t="s">
        <v>24</v>
      </c>
      <c r="C547" t="s">
        <v>33</v>
      </c>
      <c r="D547" t="s">
        <v>34</v>
      </c>
      <c r="E547" t="s">
        <v>309</v>
      </c>
      <c r="F547" t="s">
        <v>310</v>
      </c>
      <c r="G547" s="20" t="s">
        <v>38</v>
      </c>
      <c r="H547" s="20" t="s">
        <v>39</v>
      </c>
      <c r="I547" t="str">
        <f t="shared" si="12"/>
        <v>Apis mellifera</v>
      </c>
      <c r="J547" t="s">
        <v>70</v>
      </c>
      <c r="K547" t="s">
        <v>332</v>
      </c>
      <c r="L547" t="s">
        <v>275</v>
      </c>
      <c r="M547" t="s">
        <v>157</v>
      </c>
      <c r="N547">
        <v>465</v>
      </c>
      <c r="O547" t="s">
        <v>155</v>
      </c>
      <c r="P547" t="s">
        <v>154</v>
      </c>
      <c r="Q547" s="6">
        <v>45216</v>
      </c>
      <c r="R547">
        <v>1</v>
      </c>
      <c r="U547" t="s">
        <v>225</v>
      </c>
      <c r="AD547">
        <v>2</v>
      </c>
      <c r="AE547" s="7" t="s">
        <v>180</v>
      </c>
      <c r="AF547">
        <v>36</v>
      </c>
      <c r="AG547">
        <v>47</v>
      </c>
      <c r="AH547">
        <v>0</v>
      </c>
      <c r="AI547">
        <v>326</v>
      </c>
    </row>
    <row r="548" spans="1:35" x14ac:dyDescent="0.35">
      <c r="A548" t="s">
        <v>192</v>
      </c>
      <c r="B548" t="s">
        <v>24</v>
      </c>
      <c r="C548" t="s">
        <v>33</v>
      </c>
      <c r="D548" t="s">
        <v>34</v>
      </c>
      <c r="E548" t="s">
        <v>309</v>
      </c>
      <c r="F548" t="s">
        <v>310</v>
      </c>
      <c r="G548" s="20" t="s">
        <v>38</v>
      </c>
      <c r="H548" s="20" t="s">
        <v>39</v>
      </c>
      <c r="I548" t="str">
        <f t="shared" si="12"/>
        <v>Apis mellifera</v>
      </c>
      <c r="J548" t="s">
        <v>70</v>
      </c>
      <c r="K548" t="s">
        <v>332</v>
      </c>
      <c r="L548" t="s">
        <v>275</v>
      </c>
      <c r="M548" t="s">
        <v>157</v>
      </c>
      <c r="N548">
        <v>466</v>
      </c>
      <c r="O548" t="s">
        <v>155</v>
      </c>
      <c r="P548" t="s">
        <v>154</v>
      </c>
      <c r="Q548" s="6">
        <v>45216</v>
      </c>
      <c r="R548">
        <v>1</v>
      </c>
      <c r="U548" t="s">
        <v>225</v>
      </c>
      <c r="AD548">
        <v>2</v>
      </c>
      <c r="AE548" s="7" t="s">
        <v>178</v>
      </c>
      <c r="AF548">
        <v>36</v>
      </c>
      <c r="AG548">
        <v>47</v>
      </c>
      <c r="AH548">
        <v>0</v>
      </c>
      <c r="AI548">
        <v>327</v>
      </c>
    </row>
    <row r="549" spans="1:35" x14ac:dyDescent="0.35">
      <c r="A549" t="s">
        <v>192</v>
      </c>
      <c r="B549" t="s">
        <v>24</v>
      </c>
      <c r="C549" t="s">
        <v>33</v>
      </c>
      <c r="D549" t="s">
        <v>34</v>
      </c>
      <c r="E549" t="s">
        <v>309</v>
      </c>
      <c r="F549" t="s">
        <v>310</v>
      </c>
      <c r="G549" s="20" t="s">
        <v>38</v>
      </c>
      <c r="H549" s="20" t="s">
        <v>39</v>
      </c>
      <c r="I549" t="str">
        <f t="shared" si="12"/>
        <v>Apis mellifera</v>
      </c>
      <c r="J549" t="s">
        <v>70</v>
      </c>
      <c r="K549" t="s">
        <v>332</v>
      </c>
      <c r="L549" t="s">
        <v>275</v>
      </c>
      <c r="M549" t="s">
        <v>157</v>
      </c>
      <c r="N549">
        <v>467</v>
      </c>
      <c r="O549" t="s">
        <v>155</v>
      </c>
      <c r="P549" t="s">
        <v>154</v>
      </c>
      <c r="Q549" s="6">
        <v>45216</v>
      </c>
      <c r="U549" t="s">
        <v>225</v>
      </c>
      <c r="AF549">
        <v>36</v>
      </c>
      <c r="AG549">
        <v>47</v>
      </c>
      <c r="AH549">
        <v>0</v>
      </c>
      <c r="AI549">
        <v>328</v>
      </c>
    </row>
    <row r="550" spans="1:35" x14ac:dyDescent="0.35">
      <c r="A550" t="s">
        <v>192</v>
      </c>
      <c r="B550" t="s">
        <v>24</v>
      </c>
      <c r="C550" t="s">
        <v>33</v>
      </c>
      <c r="D550" t="s">
        <v>34</v>
      </c>
      <c r="E550" t="s">
        <v>309</v>
      </c>
      <c r="F550" t="s">
        <v>310</v>
      </c>
      <c r="G550" s="20" t="s">
        <v>38</v>
      </c>
      <c r="H550" s="20" t="s">
        <v>39</v>
      </c>
      <c r="I550" t="str">
        <f t="shared" ref="I550:I613" si="13">G550&amp;" "&amp;H550</f>
        <v>Apis mellifera</v>
      </c>
      <c r="J550" t="s">
        <v>70</v>
      </c>
      <c r="K550" t="s">
        <v>332</v>
      </c>
      <c r="L550" t="s">
        <v>275</v>
      </c>
      <c r="M550" t="s">
        <v>157</v>
      </c>
      <c r="N550">
        <v>468</v>
      </c>
      <c r="O550" t="s">
        <v>155</v>
      </c>
      <c r="P550" t="s">
        <v>154</v>
      </c>
      <c r="Q550" s="6">
        <v>45216</v>
      </c>
      <c r="U550" t="s">
        <v>225</v>
      </c>
      <c r="AF550">
        <v>36</v>
      </c>
      <c r="AG550">
        <v>47</v>
      </c>
      <c r="AH550">
        <v>0</v>
      </c>
      <c r="AI550">
        <v>329</v>
      </c>
    </row>
    <row r="551" spans="1:35" x14ac:dyDescent="0.35">
      <c r="A551" t="s">
        <v>192</v>
      </c>
      <c r="B551" t="s">
        <v>24</v>
      </c>
      <c r="C551" t="s">
        <v>33</v>
      </c>
      <c r="D551" t="s">
        <v>34</v>
      </c>
      <c r="E551" t="s">
        <v>309</v>
      </c>
      <c r="F551" t="s">
        <v>310</v>
      </c>
      <c r="G551" s="20" t="s">
        <v>38</v>
      </c>
      <c r="H551" s="20" t="s">
        <v>39</v>
      </c>
      <c r="I551" t="str">
        <f t="shared" si="13"/>
        <v>Apis mellifera</v>
      </c>
      <c r="J551" t="s">
        <v>70</v>
      </c>
      <c r="K551" t="s">
        <v>332</v>
      </c>
      <c r="L551" t="s">
        <v>275</v>
      </c>
      <c r="M551" t="s">
        <v>157</v>
      </c>
      <c r="N551">
        <v>469</v>
      </c>
      <c r="O551" t="s">
        <v>155</v>
      </c>
      <c r="P551" t="s">
        <v>154</v>
      </c>
      <c r="Q551" s="6">
        <v>45216</v>
      </c>
      <c r="U551" t="s">
        <v>225</v>
      </c>
      <c r="AF551">
        <v>36</v>
      </c>
      <c r="AG551">
        <v>47</v>
      </c>
      <c r="AH551">
        <v>0</v>
      </c>
      <c r="AI551">
        <v>330</v>
      </c>
    </row>
    <row r="552" spans="1:35" x14ac:dyDescent="0.35">
      <c r="A552" t="s">
        <v>192</v>
      </c>
      <c r="B552" t="s">
        <v>24</v>
      </c>
      <c r="C552" t="s">
        <v>33</v>
      </c>
      <c r="D552" t="s">
        <v>34</v>
      </c>
      <c r="E552" t="s">
        <v>309</v>
      </c>
      <c r="F552" t="s">
        <v>310</v>
      </c>
      <c r="G552" s="20" t="s">
        <v>38</v>
      </c>
      <c r="H552" s="20" t="s">
        <v>39</v>
      </c>
      <c r="I552" t="str">
        <f t="shared" si="13"/>
        <v>Apis mellifera</v>
      </c>
      <c r="J552" t="s">
        <v>70</v>
      </c>
      <c r="K552" t="s">
        <v>332</v>
      </c>
      <c r="L552" t="s">
        <v>275</v>
      </c>
      <c r="M552" t="s">
        <v>157</v>
      </c>
      <c r="N552">
        <v>470</v>
      </c>
      <c r="O552" t="s">
        <v>155</v>
      </c>
      <c r="P552" t="s">
        <v>154</v>
      </c>
      <c r="Q552" s="6">
        <v>45216</v>
      </c>
      <c r="U552" t="s">
        <v>225</v>
      </c>
      <c r="AF552">
        <v>36</v>
      </c>
      <c r="AG552">
        <v>47</v>
      </c>
      <c r="AH552">
        <v>0</v>
      </c>
      <c r="AI552">
        <v>331</v>
      </c>
    </row>
    <row r="553" spans="1:35" x14ac:dyDescent="0.35">
      <c r="A553" t="s">
        <v>192</v>
      </c>
      <c r="B553" t="s">
        <v>24</v>
      </c>
      <c r="C553" t="s">
        <v>33</v>
      </c>
      <c r="D553" t="s">
        <v>34</v>
      </c>
      <c r="E553" t="s">
        <v>309</v>
      </c>
      <c r="F553" t="s">
        <v>310</v>
      </c>
      <c r="G553" s="20" t="s">
        <v>38</v>
      </c>
      <c r="H553" s="20" t="s">
        <v>39</v>
      </c>
      <c r="I553" t="str">
        <f t="shared" si="13"/>
        <v>Apis mellifera</v>
      </c>
      <c r="J553" t="s">
        <v>70</v>
      </c>
      <c r="K553" t="s">
        <v>332</v>
      </c>
      <c r="L553" t="s">
        <v>275</v>
      </c>
      <c r="M553" t="s">
        <v>157</v>
      </c>
      <c r="N553">
        <v>471</v>
      </c>
      <c r="O553" t="s">
        <v>155</v>
      </c>
      <c r="P553" t="s">
        <v>154</v>
      </c>
      <c r="Q553" s="6">
        <v>45216</v>
      </c>
      <c r="U553" t="s">
        <v>225</v>
      </c>
      <c r="AF553">
        <v>36</v>
      </c>
      <c r="AG553">
        <v>47</v>
      </c>
      <c r="AH553">
        <v>0</v>
      </c>
      <c r="AI553">
        <v>332</v>
      </c>
    </row>
    <row r="554" spans="1:35" x14ac:dyDescent="0.35">
      <c r="A554" t="s">
        <v>192</v>
      </c>
      <c r="B554" t="s">
        <v>24</v>
      </c>
      <c r="C554" t="s">
        <v>33</v>
      </c>
      <c r="D554" t="s">
        <v>34</v>
      </c>
      <c r="E554" t="s">
        <v>309</v>
      </c>
      <c r="F554" t="s">
        <v>310</v>
      </c>
      <c r="G554" s="20" t="s">
        <v>38</v>
      </c>
      <c r="H554" s="20" t="s">
        <v>39</v>
      </c>
      <c r="I554" t="str">
        <f t="shared" si="13"/>
        <v>Apis mellifera</v>
      </c>
      <c r="J554" t="s">
        <v>70</v>
      </c>
      <c r="K554" t="s">
        <v>332</v>
      </c>
      <c r="L554" t="s">
        <v>275</v>
      </c>
      <c r="M554" t="s">
        <v>157</v>
      </c>
      <c r="N554">
        <v>472</v>
      </c>
      <c r="O554" t="s">
        <v>155</v>
      </c>
      <c r="P554" t="s">
        <v>154</v>
      </c>
      <c r="Q554" s="6">
        <v>45216</v>
      </c>
      <c r="U554" t="s">
        <v>225</v>
      </c>
      <c r="AF554">
        <v>36</v>
      </c>
      <c r="AG554">
        <v>47</v>
      </c>
      <c r="AH554">
        <v>0</v>
      </c>
      <c r="AI554">
        <v>333</v>
      </c>
    </row>
    <row r="555" spans="1:35" x14ac:dyDescent="0.35">
      <c r="A555" t="s">
        <v>192</v>
      </c>
      <c r="B555" t="s">
        <v>24</v>
      </c>
      <c r="C555" t="s">
        <v>33</v>
      </c>
      <c r="D555" t="s">
        <v>34</v>
      </c>
      <c r="E555" t="s">
        <v>309</v>
      </c>
      <c r="F555" t="s">
        <v>310</v>
      </c>
      <c r="G555" s="20" t="s">
        <v>38</v>
      </c>
      <c r="H555" s="20" t="s">
        <v>39</v>
      </c>
      <c r="I555" t="str">
        <f t="shared" si="13"/>
        <v>Apis mellifera</v>
      </c>
      <c r="J555" t="s">
        <v>70</v>
      </c>
      <c r="K555" t="s">
        <v>332</v>
      </c>
      <c r="L555" t="s">
        <v>275</v>
      </c>
      <c r="M555" t="s">
        <v>157</v>
      </c>
      <c r="N555">
        <v>473</v>
      </c>
      <c r="O555" t="s">
        <v>155</v>
      </c>
      <c r="P555" t="s">
        <v>154</v>
      </c>
      <c r="Q555" s="6">
        <v>45216</v>
      </c>
      <c r="U555" t="s">
        <v>225</v>
      </c>
      <c r="AF555">
        <v>36</v>
      </c>
      <c r="AG555">
        <v>47</v>
      </c>
      <c r="AH555">
        <v>0</v>
      </c>
      <c r="AI555">
        <v>334</v>
      </c>
    </row>
    <row r="556" spans="1:35" x14ac:dyDescent="0.35">
      <c r="A556" t="s">
        <v>192</v>
      </c>
      <c r="B556" t="s">
        <v>24</v>
      </c>
      <c r="C556" t="s">
        <v>33</v>
      </c>
      <c r="D556" t="s">
        <v>34</v>
      </c>
      <c r="E556" t="s">
        <v>309</v>
      </c>
      <c r="F556" t="s">
        <v>310</v>
      </c>
      <c r="G556" s="20" t="s">
        <v>38</v>
      </c>
      <c r="H556" s="20" t="s">
        <v>39</v>
      </c>
      <c r="I556" t="str">
        <f t="shared" si="13"/>
        <v>Apis mellifera</v>
      </c>
      <c r="J556" t="s">
        <v>70</v>
      </c>
      <c r="K556" t="s">
        <v>332</v>
      </c>
      <c r="L556" t="s">
        <v>275</v>
      </c>
      <c r="M556" t="s">
        <v>157</v>
      </c>
      <c r="N556">
        <v>474</v>
      </c>
      <c r="O556" t="s">
        <v>155</v>
      </c>
      <c r="P556" t="s">
        <v>154</v>
      </c>
      <c r="Q556" s="6">
        <v>45216</v>
      </c>
      <c r="U556" t="s">
        <v>225</v>
      </c>
      <c r="AF556">
        <v>36</v>
      </c>
      <c r="AG556">
        <v>47</v>
      </c>
      <c r="AH556">
        <v>0</v>
      </c>
      <c r="AI556">
        <v>335</v>
      </c>
    </row>
    <row r="557" spans="1:35" x14ac:dyDescent="0.35">
      <c r="A557" t="s">
        <v>192</v>
      </c>
      <c r="B557" t="s">
        <v>24</v>
      </c>
      <c r="C557" t="s">
        <v>33</v>
      </c>
      <c r="D557" t="s">
        <v>34</v>
      </c>
      <c r="E557" t="s">
        <v>309</v>
      </c>
      <c r="F557" t="s">
        <v>310</v>
      </c>
      <c r="G557" s="20" t="s">
        <v>38</v>
      </c>
      <c r="H557" s="20" t="s">
        <v>39</v>
      </c>
      <c r="I557" t="str">
        <f t="shared" si="13"/>
        <v>Apis mellifera</v>
      </c>
      <c r="J557" t="s">
        <v>70</v>
      </c>
      <c r="K557" t="s">
        <v>332</v>
      </c>
      <c r="L557" t="s">
        <v>275</v>
      </c>
      <c r="M557" t="s">
        <v>157</v>
      </c>
      <c r="N557">
        <v>475</v>
      </c>
      <c r="O557" t="s">
        <v>155</v>
      </c>
      <c r="P557" t="s">
        <v>154</v>
      </c>
      <c r="Q557" s="6">
        <v>45216</v>
      </c>
      <c r="U557" t="s">
        <v>225</v>
      </c>
      <c r="AF557">
        <v>36</v>
      </c>
      <c r="AG557">
        <v>47</v>
      </c>
      <c r="AH557">
        <v>0</v>
      </c>
      <c r="AI557">
        <v>336</v>
      </c>
    </row>
    <row r="558" spans="1:35" x14ac:dyDescent="0.35">
      <c r="A558" t="s">
        <v>192</v>
      </c>
      <c r="B558" t="s">
        <v>24</v>
      </c>
      <c r="C558" t="s">
        <v>33</v>
      </c>
      <c r="D558" t="s">
        <v>34</v>
      </c>
      <c r="E558" t="s">
        <v>309</v>
      </c>
      <c r="F558" t="s">
        <v>310</v>
      </c>
      <c r="G558" s="20" t="s">
        <v>38</v>
      </c>
      <c r="H558" s="20" t="s">
        <v>39</v>
      </c>
      <c r="I558" t="str">
        <f t="shared" si="13"/>
        <v>Apis mellifera</v>
      </c>
      <c r="J558" t="s">
        <v>70</v>
      </c>
      <c r="K558" t="s">
        <v>332</v>
      </c>
      <c r="L558" t="s">
        <v>275</v>
      </c>
      <c r="M558" t="s">
        <v>157</v>
      </c>
      <c r="N558">
        <v>476</v>
      </c>
      <c r="O558" t="s">
        <v>155</v>
      </c>
      <c r="P558" t="s">
        <v>154</v>
      </c>
      <c r="Q558" s="6">
        <v>45216</v>
      </c>
      <c r="U558" t="s">
        <v>225</v>
      </c>
      <c r="AF558">
        <v>36</v>
      </c>
      <c r="AG558">
        <v>47</v>
      </c>
      <c r="AH558">
        <v>0</v>
      </c>
      <c r="AI558">
        <v>337</v>
      </c>
    </row>
    <row r="559" spans="1:35" x14ac:dyDescent="0.35">
      <c r="A559" t="s">
        <v>192</v>
      </c>
      <c r="B559" t="s">
        <v>24</v>
      </c>
      <c r="C559" t="s">
        <v>33</v>
      </c>
      <c r="D559" t="s">
        <v>34</v>
      </c>
      <c r="E559" t="s">
        <v>309</v>
      </c>
      <c r="F559" t="s">
        <v>310</v>
      </c>
      <c r="G559" s="20" t="s">
        <v>38</v>
      </c>
      <c r="H559" s="20" t="s">
        <v>39</v>
      </c>
      <c r="I559" t="str">
        <f t="shared" si="13"/>
        <v>Apis mellifera</v>
      </c>
      <c r="J559" t="s">
        <v>70</v>
      </c>
      <c r="K559" t="s">
        <v>332</v>
      </c>
      <c r="L559" t="s">
        <v>275</v>
      </c>
      <c r="M559" t="s">
        <v>157</v>
      </c>
      <c r="N559">
        <v>477</v>
      </c>
      <c r="O559" t="s">
        <v>155</v>
      </c>
      <c r="P559" t="s">
        <v>154</v>
      </c>
      <c r="Q559" s="6">
        <v>45216</v>
      </c>
      <c r="U559" t="s">
        <v>225</v>
      </c>
      <c r="AF559">
        <v>36</v>
      </c>
      <c r="AG559">
        <v>47</v>
      </c>
      <c r="AH559">
        <v>0</v>
      </c>
      <c r="AI559">
        <v>338</v>
      </c>
    </row>
    <row r="560" spans="1:35" x14ac:dyDescent="0.35">
      <c r="A560" t="s">
        <v>192</v>
      </c>
      <c r="B560" t="s">
        <v>24</v>
      </c>
      <c r="C560" t="s">
        <v>33</v>
      </c>
      <c r="D560" t="s">
        <v>34</v>
      </c>
      <c r="E560" t="s">
        <v>309</v>
      </c>
      <c r="F560" t="s">
        <v>310</v>
      </c>
      <c r="G560" s="20" t="s">
        <v>38</v>
      </c>
      <c r="H560" s="20" t="s">
        <v>39</v>
      </c>
      <c r="I560" t="str">
        <f t="shared" si="13"/>
        <v>Apis mellifera</v>
      </c>
      <c r="J560" t="s">
        <v>70</v>
      </c>
      <c r="K560" t="s">
        <v>332</v>
      </c>
      <c r="L560" t="s">
        <v>275</v>
      </c>
      <c r="M560" t="s">
        <v>157</v>
      </c>
      <c r="N560">
        <v>478</v>
      </c>
      <c r="O560" t="s">
        <v>155</v>
      </c>
      <c r="P560" t="s">
        <v>154</v>
      </c>
      <c r="Q560" s="6">
        <v>45216</v>
      </c>
      <c r="U560" t="s">
        <v>225</v>
      </c>
      <c r="AF560">
        <v>36</v>
      </c>
      <c r="AG560">
        <v>47</v>
      </c>
      <c r="AH560">
        <v>0</v>
      </c>
      <c r="AI560">
        <v>339</v>
      </c>
    </row>
    <row r="561" spans="1:35" x14ac:dyDescent="0.35">
      <c r="A561" t="s">
        <v>192</v>
      </c>
      <c r="B561" t="s">
        <v>24</v>
      </c>
      <c r="C561" t="s">
        <v>33</v>
      </c>
      <c r="D561" t="s">
        <v>34</v>
      </c>
      <c r="E561" t="s">
        <v>309</v>
      </c>
      <c r="F561" t="s">
        <v>310</v>
      </c>
      <c r="G561" s="20" t="s">
        <v>38</v>
      </c>
      <c r="H561" s="20" t="s">
        <v>39</v>
      </c>
      <c r="I561" t="str">
        <f t="shared" si="13"/>
        <v>Apis mellifera</v>
      </c>
      <c r="J561" t="s">
        <v>70</v>
      </c>
      <c r="K561" t="s">
        <v>332</v>
      </c>
      <c r="L561" t="s">
        <v>275</v>
      </c>
      <c r="M561" t="s">
        <v>157</v>
      </c>
      <c r="N561">
        <v>479</v>
      </c>
      <c r="O561" t="s">
        <v>155</v>
      </c>
      <c r="P561" t="s">
        <v>154</v>
      </c>
      <c r="Q561" s="6">
        <v>45216</v>
      </c>
      <c r="U561" t="s">
        <v>225</v>
      </c>
      <c r="AF561">
        <v>36</v>
      </c>
      <c r="AG561">
        <v>47</v>
      </c>
      <c r="AH561">
        <v>0</v>
      </c>
      <c r="AI561">
        <v>340</v>
      </c>
    </row>
    <row r="562" spans="1:35" x14ac:dyDescent="0.35">
      <c r="A562" t="s">
        <v>192</v>
      </c>
      <c r="B562" t="s">
        <v>24</v>
      </c>
      <c r="C562" t="s">
        <v>33</v>
      </c>
      <c r="D562" t="s">
        <v>34</v>
      </c>
      <c r="E562" t="s">
        <v>309</v>
      </c>
      <c r="F562" t="s">
        <v>310</v>
      </c>
      <c r="G562" s="20" t="s">
        <v>38</v>
      </c>
      <c r="H562" s="20" t="s">
        <v>39</v>
      </c>
      <c r="I562" t="str">
        <f t="shared" si="13"/>
        <v>Apis mellifera</v>
      </c>
      <c r="J562" t="s">
        <v>70</v>
      </c>
      <c r="K562" t="s">
        <v>332</v>
      </c>
      <c r="L562" t="s">
        <v>275</v>
      </c>
      <c r="M562" t="s">
        <v>157</v>
      </c>
      <c r="N562">
        <v>480</v>
      </c>
      <c r="O562" t="s">
        <v>155</v>
      </c>
      <c r="P562" t="s">
        <v>154</v>
      </c>
      <c r="Q562" s="6">
        <v>45216</v>
      </c>
      <c r="R562">
        <v>1</v>
      </c>
      <c r="U562" t="s">
        <v>225</v>
      </c>
      <c r="AD562">
        <v>4</v>
      </c>
      <c r="AE562" s="7" t="s">
        <v>178</v>
      </c>
      <c r="AF562">
        <v>57</v>
      </c>
      <c r="AG562">
        <v>12</v>
      </c>
      <c r="AH562">
        <v>20</v>
      </c>
      <c r="AI562">
        <v>341</v>
      </c>
    </row>
    <row r="563" spans="1:35" x14ac:dyDescent="0.35">
      <c r="A563" t="s">
        <v>192</v>
      </c>
      <c r="B563" t="s">
        <v>24</v>
      </c>
      <c r="C563" t="s">
        <v>33</v>
      </c>
      <c r="D563" t="s">
        <v>34</v>
      </c>
      <c r="E563" t="s">
        <v>309</v>
      </c>
      <c r="F563" t="s">
        <v>310</v>
      </c>
      <c r="G563" s="20" t="s">
        <v>38</v>
      </c>
      <c r="H563" s="20" t="s">
        <v>39</v>
      </c>
      <c r="I563" t="str">
        <f t="shared" si="13"/>
        <v>Apis mellifera</v>
      </c>
      <c r="J563" t="s">
        <v>70</v>
      </c>
      <c r="K563" t="s">
        <v>332</v>
      </c>
      <c r="L563" t="s">
        <v>275</v>
      </c>
      <c r="M563" t="s">
        <v>157</v>
      </c>
      <c r="N563">
        <v>481</v>
      </c>
      <c r="O563" t="s">
        <v>155</v>
      </c>
      <c r="P563" t="s">
        <v>154</v>
      </c>
      <c r="Q563" s="6">
        <v>45216</v>
      </c>
      <c r="R563">
        <v>1</v>
      </c>
      <c r="U563" t="s">
        <v>225</v>
      </c>
      <c r="AD563">
        <v>3</v>
      </c>
      <c r="AE563" s="7" t="s">
        <v>179</v>
      </c>
      <c r="AF563">
        <v>57</v>
      </c>
      <c r="AG563">
        <v>12</v>
      </c>
      <c r="AH563">
        <v>20</v>
      </c>
      <c r="AI563">
        <v>342</v>
      </c>
    </row>
    <row r="564" spans="1:35" x14ac:dyDescent="0.35">
      <c r="A564" t="s">
        <v>192</v>
      </c>
      <c r="B564" t="s">
        <v>24</v>
      </c>
      <c r="C564" t="s">
        <v>33</v>
      </c>
      <c r="D564" t="s">
        <v>34</v>
      </c>
      <c r="E564" t="s">
        <v>309</v>
      </c>
      <c r="F564" t="s">
        <v>310</v>
      </c>
      <c r="G564" s="20" t="s">
        <v>38</v>
      </c>
      <c r="H564" s="20" t="s">
        <v>39</v>
      </c>
      <c r="I564" t="str">
        <f t="shared" si="13"/>
        <v>Apis mellifera</v>
      </c>
      <c r="J564" t="s">
        <v>70</v>
      </c>
      <c r="K564" t="s">
        <v>332</v>
      </c>
      <c r="L564" t="s">
        <v>275</v>
      </c>
      <c r="M564" t="s">
        <v>157</v>
      </c>
      <c r="N564">
        <v>482</v>
      </c>
      <c r="O564" t="s">
        <v>155</v>
      </c>
      <c r="P564" t="s">
        <v>154</v>
      </c>
      <c r="Q564" s="6">
        <v>45216</v>
      </c>
      <c r="R564">
        <v>1</v>
      </c>
      <c r="U564" t="s">
        <v>225</v>
      </c>
      <c r="AD564">
        <v>2</v>
      </c>
      <c r="AE564" s="7" t="s">
        <v>178</v>
      </c>
      <c r="AF564">
        <v>57</v>
      </c>
      <c r="AG564">
        <v>12</v>
      </c>
      <c r="AH564">
        <v>20</v>
      </c>
      <c r="AI564">
        <v>343</v>
      </c>
    </row>
    <row r="565" spans="1:35" x14ac:dyDescent="0.35">
      <c r="A565" t="s">
        <v>192</v>
      </c>
      <c r="B565" t="s">
        <v>24</v>
      </c>
      <c r="C565" t="s">
        <v>33</v>
      </c>
      <c r="D565" t="s">
        <v>34</v>
      </c>
      <c r="E565" t="s">
        <v>309</v>
      </c>
      <c r="F565" t="s">
        <v>310</v>
      </c>
      <c r="G565" s="20" t="s">
        <v>38</v>
      </c>
      <c r="H565" s="20" t="s">
        <v>39</v>
      </c>
      <c r="I565" t="str">
        <f t="shared" si="13"/>
        <v>Apis mellifera</v>
      </c>
      <c r="J565" t="s">
        <v>70</v>
      </c>
      <c r="K565" t="s">
        <v>332</v>
      </c>
      <c r="L565" t="s">
        <v>275</v>
      </c>
      <c r="M565" t="s">
        <v>157</v>
      </c>
      <c r="N565">
        <v>483</v>
      </c>
      <c r="O565" t="s">
        <v>155</v>
      </c>
      <c r="P565" t="s">
        <v>154</v>
      </c>
      <c r="Q565" s="6">
        <v>45216</v>
      </c>
      <c r="R565">
        <v>1</v>
      </c>
      <c r="U565" t="s">
        <v>225</v>
      </c>
      <c r="AD565">
        <v>2</v>
      </c>
      <c r="AE565" s="7" t="s">
        <v>179</v>
      </c>
      <c r="AF565">
        <v>57</v>
      </c>
      <c r="AG565">
        <v>12</v>
      </c>
      <c r="AH565">
        <v>20</v>
      </c>
      <c r="AI565">
        <v>344</v>
      </c>
    </row>
    <row r="566" spans="1:35" x14ac:dyDescent="0.35">
      <c r="A566" t="s">
        <v>192</v>
      </c>
      <c r="B566" t="s">
        <v>24</v>
      </c>
      <c r="C566" t="s">
        <v>33</v>
      </c>
      <c r="D566" t="s">
        <v>34</v>
      </c>
      <c r="E566" t="s">
        <v>309</v>
      </c>
      <c r="F566" t="s">
        <v>310</v>
      </c>
      <c r="G566" s="20" t="s">
        <v>38</v>
      </c>
      <c r="H566" s="20" t="s">
        <v>39</v>
      </c>
      <c r="I566" t="str">
        <f t="shared" si="13"/>
        <v>Apis mellifera</v>
      </c>
      <c r="J566" t="s">
        <v>70</v>
      </c>
      <c r="K566" t="s">
        <v>332</v>
      </c>
      <c r="L566" t="s">
        <v>275</v>
      </c>
      <c r="M566" t="s">
        <v>157</v>
      </c>
      <c r="N566">
        <v>484</v>
      </c>
      <c r="O566" t="s">
        <v>155</v>
      </c>
      <c r="P566" t="s">
        <v>154</v>
      </c>
      <c r="Q566" s="6">
        <v>45216</v>
      </c>
      <c r="R566">
        <v>1</v>
      </c>
      <c r="U566" t="s">
        <v>225</v>
      </c>
      <c r="AD566">
        <v>2</v>
      </c>
      <c r="AE566" s="7" t="s">
        <v>178</v>
      </c>
      <c r="AF566">
        <v>57</v>
      </c>
      <c r="AG566">
        <v>12</v>
      </c>
      <c r="AH566">
        <v>20</v>
      </c>
      <c r="AI566">
        <v>345</v>
      </c>
    </row>
    <row r="567" spans="1:35" x14ac:dyDescent="0.35">
      <c r="A567" t="s">
        <v>192</v>
      </c>
      <c r="B567" t="s">
        <v>24</v>
      </c>
      <c r="C567" t="s">
        <v>33</v>
      </c>
      <c r="D567" t="s">
        <v>34</v>
      </c>
      <c r="E567" t="s">
        <v>309</v>
      </c>
      <c r="F567" t="s">
        <v>310</v>
      </c>
      <c r="G567" s="20" t="s">
        <v>38</v>
      </c>
      <c r="H567" s="20" t="s">
        <v>39</v>
      </c>
      <c r="I567" t="str">
        <f t="shared" si="13"/>
        <v>Apis mellifera</v>
      </c>
      <c r="J567" t="s">
        <v>70</v>
      </c>
      <c r="K567" t="s">
        <v>332</v>
      </c>
      <c r="L567" t="s">
        <v>275</v>
      </c>
      <c r="M567" t="s">
        <v>157</v>
      </c>
      <c r="N567">
        <v>485</v>
      </c>
      <c r="O567" t="s">
        <v>155</v>
      </c>
      <c r="P567" t="s">
        <v>154</v>
      </c>
      <c r="Q567" s="6">
        <v>45216</v>
      </c>
      <c r="R567">
        <v>1</v>
      </c>
      <c r="U567" t="s">
        <v>225</v>
      </c>
      <c r="AD567">
        <v>3</v>
      </c>
      <c r="AE567" s="7" t="s">
        <v>178</v>
      </c>
      <c r="AF567">
        <v>57</v>
      </c>
      <c r="AG567">
        <v>12</v>
      </c>
      <c r="AH567">
        <v>20</v>
      </c>
      <c r="AI567">
        <v>346</v>
      </c>
    </row>
    <row r="568" spans="1:35" x14ac:dyDescent="0.35">
      <c r="A568" t="s">
        <v>192</v>
      </c>
      <c r="B568" t="s">
        <v>24</v>
      </c>
      <c r="C568" t="s">
        <v>33</v>
      </c>
      <c r="D568" t="s">
        <v>34</v>
      </c>
      <c r="E568" t="s">
        <v>309</v>
      </c>
      <c r="F568" t="s">
        <v>310</v>
      </c>
      <c r="G568" s="20" t="s">
        <v>38</v>
      </c>
      <c r="H568" s="20" t="s">
        <v>39</v>
      </c>
      <c r="I568" t="str">
        <f t="shared" si="13"/>
        <v>Apis mellifera</v>
      </c>
      <c r="J568" t="s">
        <v>70</v>
      </c>
      <c r="K568" t="s">
        <v>332</v>
      </c>
      <c r="L568" t="s">
        <v>275</v>
      </c>
      <c r="M568" t="s">
        <v>157</v>
      </c>
      <c r="N568">
        <v>486</v>
      </c>
      <c r="O568" t="s">
        <v>155</v>
      </c>
      <c r="P568" t="s">
        <v>154</v>
      </c>
      <c r="Q568" s="6">
        <v>45216</v>
      </c>
      <c r="R568">
        <v>1</v>
      </c>
      <c r="U568" t="s">
        <v>225</v>
      </c>
      <c r="AD568">
        <v>2</v>
      </c>
      <c r="AE568" s="7" t="s">
        <v>180</v>
      </c>
      <c r="AF568">
        <v>57</v>
      </c>
      <c r="AG568">
        <v>12</v>
      </c>
      <c r="AH568">
        <v>20</v>
      </c>
      <c r="AI568">
        <v>347</v>
      </c>
    </row>
    <row r="569" spans="1:35" x14ac:dyDescent="0.35">
      <c r="A569" t="s">
        <v>192</v>
      </c>
      <c r="B569" t="s">
        <v>24</v>
      </c>
      <c r="C569" t="s">
        <v>33</v>
      </c>
      <c r="D569" t="s">
        <v>34</v>
      </c>
      <c r="E569" t="s">
        <v>309</v>
      </c>
      <c r="F569" t="s">
        <v>310</v>
      </c>
      <c r="G569" s="20" t="s">
        <v>38</v>
      </c>
      <c r="H569" s="20" t="s">
        <v>39</v>
      </c>
      <c r="I569" t="str">
        <f t="shared" si="13"/>
        <v>Apis mellifera</v>
      </c>
      <c r="J569" t="s">
        <v>70</v>
      </c>
      <c r="K569" t="s">
        <v>332</v>
      </c>
      <c r="L569" t="s">
        <v>275</v>
      </c>
      <c r="M569" t="s">
        <v>157</v>
      </c>
      <c r="N569">
        <v>487</v>
      </c>
      <c r="O569" t="s">
        <v>155</v>
      </c>
      <c r="P569" t="s">
        <v>154</v>
      </c>
      <c r="Q569" s="6">
        <v>45216</v>
      </c>
      <c r="R569">
        <v>1</v>
      </c>
      <c r="U569" t="s">
        <v>225</v>
      </c>
      <c r="AD569">
        <v>2</v>
      </c>
      <c r="AE569" s="7" t="s">
        <v>178</v>
      </c>
      <c r="AF569">
        <v>57</v>
      </c>
      <c r="AG569">
        <v>12</v>
      </c>
      <c r="AH569">
        <v>20</v>
      </c>
      <c r="AI569">
        <v>348</v>
      </c>
    </row>
    <row r="570" spans="1:35" x14ac:dyDescent="0.35">
      <c r="A570" t="s">
        <v>192</v>
      </c>
      <c r="B570" t="s">
        <v>24</v>
      </c>
      <c r="C570" t="s">
        <v>33</v>
      </c>
      <c r="D570" t="s">
        <v>34</v>
      </c>
      <c r="E570" t="s">
        <v>309</v>
      </c>
      <c r="F570" t="s">
        <v>310</v>
      </c>
      <c r="G570" s="20" t="s">
        <v>38</v>
      </c>
      <c r="H570" s="20" t="s">
        <v>39</v>
      </c>
      <c r="I570" t="str">
        <f t="shared" si="13"/>
        <v>Apis mellifera</v>
      </c>
      <c r="J570" t="s">
        <v>70</v>
      </c>
      <c r="K570" t="s">
        <v>332</v>
      </c>
      <c r="L570" t="s">
        <v>275</v>
      </c>
      <c r="M570" t="s">
        <v>157</v>
      </c>
      <c r="N570">
        <v>488</v>
      </c>
      <c r="O570" t="s">
        <v>155</v>
      </c>
      <c r="P570" t="s">
        <v>154</v>
      </c>
      <c r="Q570" s="6">
        <v>45216</v>
      </c>
      <c r="R570">
        <v>1</v>
      </c>
      <c r="U570" t="s">
        <v>225</v>
      </c>
      <c r="AD570">
        <v>1</v>
      </c>
      <c r="AE570" s="7" t="s">
        <v>180</v>
      </c>
      <c r="AF570">
        <v>57</v>
      </c>
      <c r="AG570">
        <v>12</v>
      </c>
      <c r="AH570">
        <v>20</v>
      </c>
      <c r="AI570">
        <v>349</v>
      </c>
    </row>
    <row r="571" spans="1:35" x14ac:dyDescent="0.35">
      <c r="A571" t="s">
        <v>192</v>
      </c>
      <c r="B571" t="s">
        <v>24</v>
      </c>
      <c r="C571" t="s">
        <v>33</v>
      </c>
      <c r="D571" t="s">
        <v>34</v>
      </c>
      <c r="E571" t="s">
        <v>309</v>
      </c>
      <c r="F571" t="s">
        <v>310</v>
      </c>
      <c r="G571" s="20" t="s">
        <v>38</v>
      </c>
      <c r="H571" s="20" t="s">
        <v>39</v>
      </c>
      <c r="I571" t="str">
        <f t="shared" si="13"/>
        <v>Apis mellifera</v>
      </c>
      <c r="J571" t="s">
        <v>70</v>
      </c>
      <c r="K571" t="s">
        <v>332</v>
      </c>
      <c r="L571" t="s">
        <v>275</v>
      </c>
      <c r="M571" t="s">
        <v>157</v>
      </c>
      <c r="N571">
        <v>489</v>
      </c>
      <c r="O571" t="s">
        <v>155</v>
      </c>
      <c r="P571" t="s">
        <v>154</v>
      </c>
      <c r="Q571" s="6">
        <v>45216</v>
      </c>
      <c r="R571">
        <v>1</v>
      </c>
      <c r="U571" t="s">
        <v>225</v>
      </c>
      <c r="AD571">
        <v>2</v>
      </c>
      <c r="AE571" s="7" t="s">
        <v>180</v>
      </c>
      <c r="AF571">
        <v>57</v>
      </c>
      <c r="AG571">
        <v>12</v>
      </c>
      <c r="AH571">
        <v>20</v>
      </c>
      <c r="AI571">
        <v>350</v>
      </c>
    </row>
    <row r="572" spans="1:35" x14ac:dyDescent="0.35">
      <c r="A572" t="s">
        <v>192</v>
      </c>
      <c r="B572" t="s">
        <v>24</v>
      </c>
      <c r="C572" t="s">
        <v>33</v>
      </c>
      <c r="D572" t="s">
        <v>34</v>
      </c>
      <c r="E572" t="s">
        <v>309</v>
      </c>
      <c r="F572" t="s">
        <v>310</v>
      </c>
      <c r="G572" s="20" t="s">
        <v>38</v>
      </c>
      <c r="H572" s="20" t="s">
        <v>39</v>
      </c>
      <c r="I572" t="str">
        <f t="shared" si="13"/>
        <v>Apis mellifera</v>
      </c>
      <c r="J572" t="s">
        <v>70</v>
      </c>
      <c r="K572" t="s">
        <v>332</v>
      </c>
      <c r="L572" t="s">
        <v>275</v>
      </c>
      <c r="M572" t="s">
        <v>157</v>
      </c>
      <c r="N572">
        <v>490</v>
      </c>
      <c r="O572" t="s">
        <v>155</v>
      </c>
      <c r="P572" t="s">
        <v>154</v>
      </c>
      <c r="Q572" s="6">
        <v>45216</v>
      </c>
      <c r="R572">
        <v>1</v>
      </c>
      <c r="U572" t="s">
        <v>225</v>
      </c>
      <c r="AD572">
        <v>2</v>
      </c>
      <c r="AE572" s="7" t="s">
        <v>180</v>
      </c>
      <c r="AF572">
        <v>57</v>
      </c>
      <c r="AG572">
        <v>12</v>
      </c>
      <c r="AH572">
        <v>20</v>
      </c>
      <c r="AI572">
        <v>351</v>
      </c>
    </row>
    <row r="573" spans="1:35" x14ac:dyDescent="0.35">
      <c r="A573" t="s">
        <v>192</v>
      </c>
      <c r="B573" t="s">
        <v>24</v>
      </c>
      <c r="C573" t="s">
        <v>33</v>
      </c>
      <c r="D573" t="s">
        <v>34</v>
      </c>
      <c r="E573" t="s">
        <v>309</v>
      </c>
      <c r="F573" t="s">
        <v>310</v>
      </c>
      <c r="G573" s="20" t="s">
        <v>38</v>
      </c>
      <c r="H573" s="20" t="s">
        <v>39</v>
      </c>
      <c r="I573" t="str">
        <f t="shared" si="13"/>
        <v>Apis mellifera</v>
      </c>
      <c r="J573" t="s">
        <v>70</v>
      </c>
      <c r="K573" t="s">
        <v>332</v>
      </c>
      <c r="L573" t="s">
        <v>275</v>
      </c>
      <c r="M573" t="s">
        <v>157</v>
      </c>
      <c r="N573">
        <v>491</v>
      </c>
      <c r="O573" t="s">
        <v>155</v>
      </c>
      <c r="P573" t="s">
        <v>154</v>
      </c>
      <c r="Q573" s="6">
        <v>45216</v>
      </c>
      <c r="R573">
        <v>1</v>
      </c>
      <c r="U573" t="s">
        <v>225</v>
      </c>
      <c r="AD573">
        <v>4</v>
      </c>
      <c r="AE573" s="7" t="s">
        <v>179</v>
      </c>
      <c r="AF573">
        <v>57</v>
      </c>
      <c r="AG573">
        <v>12</v>
      </c>
      <c r="AH573">
        <v>20</v>
      </c>
      <c r="AI573">
        <v>352</v>
      </c>
    </row>
    <row r="574" spans="1:35" x14ac:dyDescent="0.35">
      <c r="A574" t="s">
        <v>192</v>
      </c>
      <c r="B574" t="s">
        <v>24</v>
      </c>
      <c r="C574" t="s">
        <v>33</v>
      </c>
      <c r="D574" t="s">
        <v>34</v>
      </c>
      <c r="E574" t="s">
        <v>309</v>
      </c>
      <c r="F574" t="s">
        <v>310</v>
      </c>
      <c r="G574" s="20" t="s">
        <v>38</v>
      </c>
      <c r="H574" s="20" t="s">
        <v>39</v>
      </c>
      <c r="I574" t="str">
        <f t="shared" si="13"/>
        <v>Apis mellifera</v>
      </c>
      <c r="J574" t="s">
        <v>70</v>
      </c>
      <c r="K574" t="s">
        <v>332</v>
      </c>
      <c r="L574" t="s">
        <v>275</v>
      </c>
      <c r="M574" t="s">
        <v>157</v>
      </c>
      <c r="N574">
        <v>492</v>
      </c>
      <c r="O574" t="s">
        <v>155</v>
      </c>
      <c r="P574" t="s">
        <v>154</v>
      </c>
      <c r="Q574" s="6">
        <v>45216</v>
      </c>
      <c r="R574">
        <v>1</v>
      </c>
      <c r="U574" t="s">
        <v>225</v>
      </c>
      <c r="AD574">
        <v>2</v>
      </c>
      <c r="AE574" s="7" t="s">
        <v>180</v>
      </c>
      <c r="AF574">
        <v>57</v>
      </c>
      <c r="AG574">
        <v>12</v>
      </c>
      <c r="AH574">
        <v>20</v>
      </c>
      <c r="AI574">
        <v>353</v>
      </c>
    </row>
    <row r="575" spans="1:35" x14ac:dyDescent="0.35">
      <c r="A575" t="s">
        <v>192</v>
      </c>
      <c r="B575" t="s">
        <v>24</v>
      </c>
      <c r="C575" t="s">
        <v>33</v>
      </c>
      <c r="D575" t="s">
        <v>34</v>
      </c>
      <c r="E575" t="s">
        <v>309</v>
      </c>
      <c r="F575" t="s">
        <v>310</v>
      </c>
      <c r="G575" s="20" t="s">
        <v>38</v>
      </c>
      <c r="H575" s="20" t="s">
        <v>39</v>
      </c>
      <c r="I575" t="str">
        <f t="shared" si="13"/>
        <v>Apis mellifera</v>
      </c>
      <c r="J575" t="s">
        <v>70</v>
      </c>
      <c r="K575" t="s">
        <v>332</v>
      </c>
      <c r="L575" t="s">
        <v>275</v>
      </c>
      <c r="M575" t="s">
        <v>157</v>
      </c>
      <c r="N575">
        <v>493</v>
      </c>
      <c r="O575" t="s">
        <v>155</v>
      </c>
      <c r="P575" t="s">
        <v>154</v>
      </c>
      <c r="Q575" s="6">
        <v>45216</v>
      </c>
      <c r="R575">
        <v>1</v>
      </c>
      <c r="U575" t="s">
        <v>225</v>
      </c>
      <c r="AD575">
        <v>4</v>
      </c>
      <c r="AE575" s="7" t="s">
        <v>179</v>
      </c>
      <c r="AF575">
        <v>57</v>
      </c>
      <c r="AG575">
        <v>12</v>
      </c>
      <c r="AH575">
        <v>20</v>
      </c>
      <c r="AI575">
        <v>354</v>
      </c>
    </row>
    <row r="576" spans="1:35" x14ac:dyDescent="0.35">
      <c r="A576" t="s">
        <v>192</v>
      </c>
      <c r="B576" t="s">
        <v>24</v>
      </c>
      <c r="C576" t="s">
        <v>33</v>
      </c>
      <c r="D576" t="s">
        <v>34</v>
      </c>
      <c r="E576" t="s">
        <v>309</v>
      </c>
      <c r="F576" t="s">
        <v>310</v>
      </c>
      <c r="G576" s="20" t="s">
        <v>38</v>
      </c>
      <c r="H576" s="20" t="s">
        <v>39</v>
      </c>
      <c r="I576" t="str">
        <f t="shared" si="13"/>
        <v>Apis mellifera</v>
      </c>
      <c r="J576" t="s">
        <v>70</v>
      </c>
      <c r="K576" t="s">
        <v>332</v>
      </c>
      <c r="L576" t="s">
        <v>275</v>
      </c>
      <c r="M576" t="s">
        <v>157</v>
      </c>
      <c r="N576">
        <v>494</v>
      </c>
      <c r="O576" t="s">
        <v>155</v>
      </c>
      <c r="P576" t="s">
        <v>154</v>
      </c>
      <c r="Q576" s="6">
        <v>45216</v>
      </c>
      <c r="R576">
        <v>1</v>
      </c>
      <c r="U576" t="s">
        <v>225</v>
      </c>
      <c r="AD576">
        <v>2</v>
      </c>
      <c r="AE576" s="7" t="s">
        <v>178</v>
      </c>
      <c r="AF576">
        <v>57</v>
      </c>
      <c r="AG576">
        <v>12</v>
      </c>
      <c r="AH576">
        <v>20</v>
      </c>
      <c r="AI576">
        <v>355</v>
      </c>
    </row>
    <row r="577" spans="1:35" x14ac:dyDescent="0.35">
      <c r="A577" t="s">
        <v>192</v>
      </c>
      <c r="B577" t="s">
        <v>24</v>
      </c>
      <c r="C577" t="s">
        <v>33</v>
      </c>
      <c r="D577" t="s">
        <v>34</v>
      </c>
      <c r="E577" t="s">
        <v>309</v>
      </c>
      <c r="F577" t="s">
        <v>310</v>
      </c>
      <c r="G577" s="20" t="s">
        <v>38</v>
      </c>
      <c r="H577" s="20" t="s">
        <v>39</v>
      </c>
      <c r="I577" t="str">
        <f t="shared" si="13"/>
        <v>Apis mellifera</v>
      </c>
      <c r="J577" t="s">
        <v>70</v>
      </c>
      <c r="K577" t="s">
        <v>332</v>
      </c>
      <c r="L577" t="s">
        <v>275</v>
      </c>
      <c r="M577" t="s">
        <v>157</v>
      </c>
      <c r="N577">
        <v>495</v>
      </c>
      <c r="O577" t="s">
        <v>155</v>
      </c>
      <c r="P577" t="s">
        <v>154</v>
      </c>
      <c r="Q577" s="6">
        <v>45216</v>
      </c>
      <c r="R577">
        <v>1</v>
      </c>
      <c r="U577" t="s">
        <v>225</v>
      </c>
      <c r="AD577">
        <v>1</v>
      </c>
      <c r="AE577" s="7" t="s">
        <v>180</v>
      </c>
      <c r="AF577">
        <v>57</v>
      </c>
      <c r="AG577">
        <v>12</v>
      </c>
      <c r="AH577">
        <v>20</v>
      </c>
      <c r="AI577">
        <v>356</v>
      </c>
    </row>
    <row r="578" spans="1:35" x14ac:dyDescent="0.35">
      <c r="A578" t="s">
        <v>192</v>
      </c>
      <c r="B578" t="s">
        <v>24</v>
      </c>
      <c r="C578" t="s">
        <v>33</v>
      </c>
      <c r="D578" t="s">
        <v>34</v>
      </c>
      <c r="E578" t="s">
        <v>309</v>
      </c>
      <c r="F578" t="s">
        <v>310</v>
      </c>
      <c r="G578" s="20" t="s">
        <v>38</v>
      </c>
      <c r="H578" s="20" t="s">
        <v>39</v>
      </c>
      <c r="I578" t="str">
        <f t="shared" si="13"/>
        <v>Apis mellifera</v>
      </c>
      <c r="J578" t="s">
        <v>70</v>
      </c>
      <c r="K578" t="s">
        <v>332</v>
      </c>
      <c r="L578" t="s">
        <v>275</v>
      </c>
      <c r="M578" t="s">
        <v>157</v>
      </c>
      <c r="N578">
        <v>496</v>
      </c>
      <c r="O578" t="s">
        <v>155</v>
      </c>
      <c r="P578" t="s">
        <v>154</v>
      </c>
      <c r="Q578" s="6">
        <v>45216</v>
      </c>
      <c r="R578">
        <v>1</v>
      </c>
      <c r="U578" t="s">
        <v>225</v>
      </c>
      <c r="AD578">
        <v>2</v>
      </c>
      <c r="AE578" s="7" t="s">
        <v>178</v>
      </c>
      <c r="AF578">
        <v>57</v>
      </c>
      <c r="AG578">
        <v>12</v>
      </c>
      <c r="AH578">
        <v>20</v>
      </c>
      <c r="AI578">
        <v>357</v>
      </c>
    </row>
    <row r="579" spans="1:35" x14ac:dyDescent="0.35">
      <c r="A579" t="s">
        <v>192</v>
      </c>
      <c r="B579" t="s">
        <v>24</v>
      </c>
      <c r="C579" t="s">
        <v>33</v>
      </c>
      <c r="D579" t="s">
        <v>34</v>
      </c>
      <c r="E579" t="s">
        <v>309</v>
      </c>
      <c r="F579" t="s">
        <v>310</v>
      </c>
      <c r="G579" s="20" t="s">
        <v>38</v>
      </c>
      <c r="H579" s="20" t="s">
        <v>39</v>
      </c>
      <c r="I579" t="str">
        <f t="shared" si="13"/>
        <v>Apis mellifera</v>
      </c>
      <c r="J579" t="s">
        <v>70</v>
      </c>
      <c r="K579" t="s">
        <v>332</v>
      </c>
      <c r="L579" t="s">
        <v>275</v>
      </c>
      <c r="M579" t="s">
        <v>157</v>
      </c>
      <c r="N579">
        <v>497</v>
      </c>
      <c r="O579" t="s">
        <v>155</v>
      </c>
      <c r="P579" t="s">
        <v>154</v>
      </c>
      <c r="Q579" s="6">
        <v>45216</v>
      </c>
      <c r="R579">
        <v>1</v>
      </c>
      <c r="U579" t="s">
        <v>225</v>
      </c>
      <c r="AD579">
        <v>1</v>
      </c>
      <c r="AE579" s="7" t="s">
        <v>178</v>
      </c>
      <c r="AF579">
        <v>57</v>
      </c>
      <c r="AG579">
        <v>12</v>
      </c>
      <c r="AH579">
        <v>20</v>
      </c>
      <c r="AI579">
        <v>358</v>
      </c>
    </row>
    <row r="580" spans="1:35" x14ac:dyDescent="0.35">
      <c r="A580" t="s">
        <v>192</v>
      </c>
      <c r="B580" t="s">
        <v>24</v>
      </c>
      <c r="C580" t="s">
        <v>33</v>
      </c>
      <c r="D580" t="s">
        <v>34</v>
      </c>
      <c r="E580" t="s">
        <v>309</v>
      </c>
      <c r="F580" t="s">
        <v>310</v>
      </c>
      <c r="G580" s="20" t="s">
        <v>38</v>
      </c>
      <c r="H580" s="20" t="s">
        <v>39</v>
      </c>
      <c r="I580" t="str">
        <f t="shared" si="13"/>
        <v>Apis mellifera</v>
      </c>
      <c r="J580" t="s">
        <v>70</v>
      </c>
      <c r="K580" t="s">
        <v>332</v>
      </c>
      <c r="L580" t="s">
        <v>275</v>
      </c>
      <c r="M580" t="s">
        <v>157</v>
      </c>
      <c r="N580">
        <v>498</v>
      </c>
      <c r="O580" t="s">
        <v>155</v>
      </c>
      <c r="P580" t="s">
        <v>154</v>
      </c>
      <c r="Q580" s="6">
        <v>45216</v>
      </c>
      <c r="R580">
        <v>1</v>
      </c>
      <c r="U580" t="s">
        <v>225</v>
      </c>
      <c r="AD580">
        <v>3</v>
      </c>
      <c r="AE580" s="7" t="s">
        <v>179</v>
      </c>
      <c r="AF580">
        <v>57</v>
      </c>
      <c r="AG580">
        <v>12</v>
      </c>
      <c r="AH580">
        <v>20</v>
      </c>
      <c r="AI580">
        <v>359</v>
      </c>
    </row>
    <row r="581" spans="1:35" x14ac:dyDescent="0.35">
      <c r="A581" t="s">
        <v>192</v>
      </c>
      <c r="B581" t="s">
        <v>24</v>
      </c>
      <c r="C581" t="s">
        <v>33</v>
      </c>
      <c r="D581" t="s">
        <v>34</v>
      </c>
      <c r="E581" t="s">
        <v>309</v>
      </c>
      <c r="F581" t="s">
        <v>310</v>
      </c>
      <c r="G581" s="20" t="s">
        <v>38</v>
      </c>
      <c r="H581" s="20" t="s">
        <v>39</v>
      </c>
      <c r="I581" t="str">
        <f t="shared" si="13"/>
        <v>Apis mellifera</v>
      </c>
      <c r="J581" t="s">
        <v>70</v>
      </c>
      <c r="K581" t="s">
        <v>332</v>
      </c>
      <c r="L581" t="s">
        <v>275</v>
      </c>
      <c r="M581" t="s">
        <v>157</v>
      </c>
      <c r="N581">
        <v>508</v>
      </c>
      <c r="O581" t="s">
        <v>155</v>
      </c>
      <c r="P581" t="s">
        <v>223</v>
      </c>
      <c r="Q581" s="6">
        <v>45201</v>
      </c>
      <c r="R581">
        <v>1</v>
      </c>
      <c r="U581" t="s">
        <v>225</v>
      </c>
      <c r="AD581">
        <v>1</v>
      </c>
      <c r="AE581" s="7" t="s">
        <v>179</v>
      </c>
      <c r="AF581">
        <v>7</v>
      </c>
      <c r="AG581">
        <v>39</v>
      </c>
      <c r="AH581">
        <v>0</v>
      </c>
      <c r="AI581">
        <v>1</v>
      </c>
    </row>
    <row r="582" spans="1:35" x14ac:dyDescent="0.35">
      <c r="A582" t="s">
        <v>192</v>
      </c>
      <c r="B582" t="s">
        <v>24</v>
      </c>
      <c r="C582" t="s">
        <v>33</v>
      </c>
      <c r="D582" t="s">
        <v>34</v>
      </c>
      <c r="E582" t="s">
        <v>309</v>
      </c>
      <c r="F582" t="s">
        <v>310</v>
      </c>
      <c r="G582" s="20" t="s">
        <v>38</v>
      </c>
      <c r="H582" s="20" t="s">
        <v>39</v>
      </c>
      <c r="I582" t="str">
        <f t="shared" si="13"/>
        <v>Apis mellifera</v>
      </c>
      <c r="J582" t="s">
        <v>70</v>
      </c>
      <c r="K582" t="s">
        <v>332</v>
      </c>
      <c r="L582" t="s">
        <v>275</v>
      </c>
      <c r="M582" t="s">
        <v>157</v>
      </c>
      <c r="N582">
        <v>509</v>
      </c>
      <c r="O582" t="s">
        <v>155</v>
      </c>
      <c r="P582" t="s">
        <v>223</v>
      </c>
      <c r="Q582" s="6">
        <v>45201</v>
      </c>
      <c r="R582">
        <v>1</v>
      </c>
      <c r="U582" t="s">
        <v>225</v>
      </c>
      <c r="AD582">
        <v>1</v>
      </c>
      <c r="AE582" s="7" t="s">
        <v>178</v>
      </c>
      <c r="AF582">
        <v>6</v>
      </c>
      <c r="AG582">
        <v>39</v>
      </c>
      <c r="AH582">
        <v>0</v>
      </c>
      <c r="AI582">
        <v>2</v>
      </c>
    </row>
    <row r="583" spans="1:35" x14ac:dyDescent="0.35">
      <c r="A583" t="s">
        <v>192</v>
      </c>
      <c r="B583" t="s">
        <v>24</v>
      </c>
      <c r="C583" t="s">
        <v>33</v>
      </c>
      <c r="D583" t="s">
        <v>34</v>
      </c>
      <c r="E583" t="s">
        <v>309</v>
      </c>
      <c r="F583" t="s">
        <v>310</v>
      </c>
      <c r="G583" s="20" t="s">
        <v>38</v>
      </c>
      <c r="H583" s="20" t="s">
        <v>39</v>
      </c>
      <c r="I583" t="str">
        <f t="shared" si="13"/>
        <v>Apis mellifera</v>
      </c>
      <c r="J583" t="s">
        <v>70</v>
      </c>
      <c r="K583" t="s">
        <v>332</v>
      </c>
      <c r="L583" t="s">
        <v>275</v>
      </c>
      <c r="M583" t="s">
        <v>157</v>
      </c>
      <c r="N583">
        <v>510</v>
      </c>
      <c r="O583" t="s">
        <v>155</v>
      </c>
      <c r="P583" t="s">
        <v>223</v>
      </c>
      <c r="Q583" s="6">
        <v>45201</v>
      </c>
      <c r="R583">
        <v>1</v>
      </c>
      <c r="U583" t="s">
        <v>225</v>
      </c>
      <c r="AD583">
        <v>1</v>
      </c>
      <c r="AE583" s="7" t="s">
        <v>179</v>
      </c>
      <c r="AF583">
        <v>20</v>
      </c>
      <c r="AG583">
        <v>39</v>
      </c>
      <c r="AH583">
        <v>0</v>
      </c>
      <c r="AI583">
        <v>3</v>
      </c>
    </row>
    <row r="584" spans="1:35" x14ac:dyDescent="0.35">
      <c r="A584" t="s">
        <v>192</v>
      </c>
      <c r="B584" t="s">
        <v>24</v>
      </c>
      <c r="C584" t="s">
        <v>33</v>
      </c>
      <c r="D584" t="s">
        <v>34</v>
      </c>
      <c r="E584" t="s">
        <v>309</v>
      </c>
      <c r="F584" t="s">
        <v>310</v>
      </c>
      <c r="G584" s="20" t="s">
        <v>38</v>
      </c>
      <c r="H584" s="20" t="s">
        <v>39</v>
      </c>
      <c r="I584" t="str">
        <f t="shared" si="13"/>
        <v>Apis mellifera</v>
      </c>
      <c r="J584" t="s">
        <v>70</v>
      </c>
      <c r="K584" t="s">
        <v>332</v>
      </c>
      <c r="L584" t="s">
        <v>275</v>
      </c>
      <c r="M584" t="s">
        <v>157</v>
      </c>
      <c r="N584">
        <v>511</v>
      </c>
      <c r="O584" t="s">
        <v>155</v>
      </c>
      <c r="P584" t="s">
        <v>223</v>
      </c>
      <c r="Q584" s="6">
        <v>45201</v>
      </c>
      <c r="R584">
        <v>1</v>
      </c>
      <c r="U584" t="s">
        <v>225</v>
      </c>
      <c r="AD584">
        <v>1</v>
      </c>
      <c r="AE584" s="7" t="s">
        <v>179</v>
      </c>
      <c r="AF584">
        <v>13</v>
      </c>
      <c r="AG584">
        <v>39</v>
      </c>
      <c r="AH584">
        <v>0</v>
      </c>
      <c r="AI584">
        <v>4</v>
      </c>
    </row>
    <row r="585" spans="1:35" x14ac:dyDescent="0.35">
      <c r="A585" t="s">
        <v>192</v>
      </c>
      <c r="B585" t="s">
        <v>24</v>
      </c>
      <c r="C585" t="s">
        <v>33</v>
      </c>
      <c r="D585" t="s">
        <v>34</v>
      </c>
      <c r="E585" t="s">
        <v>309</v>
      </c>
      <c r="F585" t="s">
        <v>310</v>
      </c>
      <c r="G585" s="20" t="s">
        <v>38</v>
      </c>
      <c r="H585" s="20" t="s">
        <v>39</v>
      </c>
      <c r="I585" t="str">
        <f t="shared" si="13"/>
        <v>Apis mellifera</v>
      </c>
      <c r="J585" t="s">
        <v>70</v>
      </c>
      <c r="K585" t="s">
        <v>332</v>
      </c>
      <c r="L585" t="s">
        <v>275</v>
      </c>
      <c r="M585" t="s">
        <v>157</v>
      </c>
      <c r="N585">
        <v>512</v>
      </c>
      <c r="O585" t="s">
        <v>155</v>
      </c>
      <c r="P585" t="s">
        <v>223</v>
      </c>
      <c r="Q585" s="6">
        <v>45201</v>
      </c>
      <c r="R585">
        <v>1</v>
      </c>
      <c r="U585" t="s">
        <v>225</v>
      </c>
      <c r="AD585">
        <v>1</v>
      </c>
      <c r="AE585" s="7" t="s">
        <v>178</v>
      </c>
      <c r="AF585">
        <v>17</v>
      </c>
      <c r="AG585">
        <v>39</v>
      </c>
      <c r="AH585">
        <v>0</v>
      </c>
      <c r="AI585">
        <v>5</v>
      </c>
    </row>
    <row r="586" spans="1:35" x14ac:dyDescent="0.35">
      <c r="A586" t="s">
        <v>192</v>
      </c>
      <c r="B586" t="s">
        <v>24</v>
      </c>
      <c r="C586" t="s">
        <v>33</v>
      </c>
      <c r="D586" t="s">
        <v>34</v>
      </c>
      <c r="E586" t="s">
        <v>309</v>
      </c>
      <c r="F586" t="s">
        <v>310</v>
      </c>
      <c r="G586" s="20" t="s">
        <v>38</v>
      </c>
      <c r="H586" s="20" t="s">
        <v>39</v>
      </c>
      <c r="I586" t="str">
        <f t="shared" si="13"/>
        <v>Apis mellifera</v>
      </c>
      <c r="J586" t="s">
        <v>70</v>
      </c>
      <c r="K586" t="s">
        <v>332</v>
      </c>
      <c r="L586" t="s">
        <v>275</v>
      </c>
      <c r="M586" t="s">
        <v>157</v>
      </c>
      <c r="N586">
        <v>513</v>
      </c>
      <c r="O586" t="s">
        <v>155</v>
      </c>
      <c r="P586" t="s">
        <v>223</v>
      </c>
      <c r="Q586" s="6">
        <v>45201</v>
      </c>
      <c r="R586">
        <v>1</v>
      </c>
      <c r="U586" t="s">
        <v>225</v>
      </c>
      <c r="AD586">
        <v>1</v>
      </c>
      <c r="AE586" s="7" t="s">
        <v>179</v>
      </c>
      <c r="AF586">
        <v>17</v>
      </c>
      <c r="AG586">
        <v>39</v>
      </c>
      <c r="AH586">
        <v>0</v>
      </c>
      <c r="AI586">
        <v>6</v>
      </c>
    </row>
    <row r="587" spans="1:35" x14ac:dyDescent="0.35">
      <c r="A587" t="s">
        <v>192</v>
      </c>
      <c r="B587" t="s">
        <v>24</v>
      </c>
      <c r="C587" t="s">
        <v>33</v>
      </c>
      <c r="D587" t="s">
        <v>34</v>
      </c>
      <c r="E587" t="s">
        <v>309</v>
      </c>
      <c r="F587" t="s">
        <v>310</v>
      </c>
      <c r="G587" s="20" t="s">
        <v>38</v>
      </c>
      <c r="H587" s="20" t="s">
        <v>39</v>
      </c>
      <c r="I587" t="str">
        <f t="shared" si="13"/>
        <v>Apis mellifera</v>
      </c>
      <c r="J587" t="s">
        <v>70</v>
      </c>
      <c r="K587" t="s">
        <v>332</v>
      </c>
      <c r="L587" t="s">
        <v>275</v>
      </c>
      <c r="M587" t="s">
        <v>157</v>
      </c>
      <c r="N587">
        <v>514</v>
      </c>
      <c r="O587" t="s">
        <v>155</v>
      </c>
      <c r="P587" t="s">
        <v>223</v>
      </c>
      <c r="Q587" s="6">
        <v>45201</v>
      </c>
      <c r="R587">
        <v>1</v>
      </c>
      <c r="U587" t="s">
        <v>225</v>
      </c>
      <c r="AD587">
        <v>1</v>
      </c>
      <c r="AE587" s="7" t="s">
        <v>177</v>
      </c>
      <c r="AF587">
        <v>17</v>
      </c>
      <c r="AG587">
        <v>39</v>
      </c>
      <c r="AH587">
        <v>0</v>
      </c>
      <c r="AI587">
        <v>7</v>
      </c>
    </row>
    <row r="588" spans="1:35" x14ac:dyDescent="0.35">
      <c r="A588" t="s">
        <v>192</v>
      </c>
      <c r="B588" t="s">
        <v>24</v>
      </c>
      <c r="C588" t="s">
        <v>33</v>
      </c>
      <c r="D588" t="s">
        <v>34</v>
      </c>
      <c r="E588" t="s">
        <v>309</v>
      </c>
      <c r="F588" t="s">
        <v>310</v>
      </c>
      <c r="G588" s="20" t="s">
        <v>38</v>
      </c>
      <c r="H588" s="20" t="s">
        <v>39</v>
      </c>
      <c r="I588" t="str">
        <f t="shared" si="13"/>
        <v>Apis mellifera</v>
      </c>
      <c r="J588" t="s">
        <v>70</v>
      </c>
      <c r="K588" t="s">
        <v>332</v>
      </c>
      <c r="L588" t="s">
        <v>275</v>
      </c>
      <c r="M588" t="s">
        <v>157</v>
      </c>
      <c r="N588">
        <v>515</v>
      </c>
      <c r="O588" t="s">
        <v>155</v>
      </c>
      <c r="P588" t="s">
        <v>223</v>
      </c>
      <c r="Q588" s="6">
        <v>45201</v>
      </c>
      <c r="R588">
        <v>1</v>
      </c>
      <c r="U588" t="s">
        <v>225</v>
      </c>
      <c r="AD588">
        <v>1</v>
      </c>
      <c r="AE588" s="7" t="s">
        <v>177</v>
      </c>
      <c r="AF588">
        <v>17</v>
      </c>
      <c r="AG588">
        <v>39</v>
      </c>
      <c r="AH588">
        <v>0</v>
      </c>
      <c r="AI588">
        <v>8</v>
      </c>
    </row>
    <row r="589" spans="1:35" x14ac:dyDescent="0.35">
      <c r="A589" t="s">
        <v>192</v>
      </c>
      <c r="B589" t="s">
        <v>24</v>
      </c>
      <c r="C589" t="s">
        <v>33</v>
      </c>
      <c r="D589" t="s">
        <v>34</v>
      </c>
      <c r="E589" t="s">
        <v>309</v>
      </c>
      <c r="F589" t="s">
        <v>310</v>
      </c>
      <c r="G589" s="20" t="s">
        <v>38</v>
      </c>
      <c r="H589" s="20" t="s">
        <v>39</v>
      </c>
      <c r="I589" t="str">
        <f t="shared" si="13"/>
        <v>Apis mellifera</v>
      </c>
      <c r="J589" t="s">
        <v>70</v>
      </c>
      <c r="K589" t="s">
        <v>332</v>
      </c>
      <c r="L589" t="s">
        <v>275</v>
      </c>
      <c r="M589" t="s">
        <v>157</v>
      </c>
      <c r="N589">
        <v>516</v>
      </c>
      <c r="O589" t="s">
        <v>155</v>
      </c>
      <c r="P589" t="s">
        <v>223</v>
      </c>
      <c r="Q589" s="6">
        <v>45201</v>
      </c>
      <c r="R589">
        <v>1</v>
      </c>
      <c r="U589" t="s">
        <v>225</v>
      </c>
      <c r="AD589">
        <v>2</v>
      </c>
      <c r="AE589" s="7" t="s">
        <v>178</v>
      </c>
      <c r="AF589">
        <v>17</v>
      </c>
      <c r="AG589">
        <v>39</v>
      </c>
      <c r="AH589">
        <v>0</v>
      </c>
      <c r="AI589">
        <v>9</v>
      </c>
    </row>
    <row r="590" spans="1:35" x14ac:dyDescent="0.35">
      <c r="A590" t="s">
        <v>192</v>
      </c>
      <c r="B590" t="s">
        <v>24</v>
      </c>
      <c r="C590" t="s">
        <v>33</v>
      </c>
      <c r="D590" t="s">
        <v>34</v>
      </c>
      <c r="E590" t="s">
        <v>309</v>
      </c>
      <c r="F590" t="s">
        <v>310</v>
      </c>
      <c r="G590" s="20" t="s">
        <v>38</v>
      </c>
      <c r="H590" s="20" t="s">
        <v>39</v>
      </c>
      <c r="I590" t="str">
        <f t="shared" si="13"/>
        <v>Apis mellifera</v>
      </c>
      <c r="J590" t="s">
        <v>70</v>
      </c>
      <c r="K590" t="s">
        <v>332</v>
      </c>
      <c r="L590" t="s">
        <v>275</v>
      </c>
      <c r="M590" t="s">
        <v>157</v>
      </c>
      <c r="N590">
        <v>517</v>
      </c>
      <c r="O590" t="s">
        <v>155</v>
      </c>
      <c r="P590" t="s">
        <v>223</v>
      </c>
      <c r="Q590" s="6">
        <v>45201</v>
      </c>
      <c r="R590">
        <v>1</v>
      </c>
      <c r="U590" t="s">
        <v>225</v>
      </c>
      <c r="AD590">
        <v>2</v>
      </c>
      <c r="AE590" s="7" t="s">
        <v>178</v>
      </c>
      <c r="AF590">
        <v>17</v>
      </c>
      <c r="AG590">
        <v>39</v>
      </c>
      <c r="AH590">
        <v>0</v>
      </c>
      <c r="AI590">
        <v>10</v>
      </c>
    </row>
    <row r="591" spans="1:35" x14ac:dyDescent="0.35">
      <c r="A591" t="s">
        <v>192</v>
      </c>
      <c r="B591" t="s">
        <v>24</v>
      </c>
      <c r="C591" t="s">
        <v>33</v>
      </c>
      <c r="D591" t="s">
        <v>34</v>
      </c>
      <c r="E591" t="s">
        <v>309</v>
      </c>
      <c r="F591" t="s">
        <v>310</v>
      </c>
      <c r="G591" s="20" t="s">
        <v>38</v>
      </c>
      <c r="H591" s="20" t="s">
        <v>39</v>
      </c>
      <c r="I591" t="str">
        <f t="shared" si="13"/>
        <v>Apis mellifera</v>
      </c>
      <c r="J591" t="s">
        <v>70</v>
      </c>
      <c r="K591" t="s">
        <v>332</v>
      </c>
      <c r="L591" t="s">
        <v>275</v>
      </c>
      <c r="M591" t="s">
        <v>157</v>
      </c>
      <c r="N591">
        <v>518</v>
      </c>
      <c r="O591" t="s">
        <v>155</v>
      </c>
      <c r="P591" t="s">
        <v>223</v>
      </c>
      <c r="Q591" s="6">
        <v>45201</v>
      </c>
      <c r="R591">
        <v>1</v>
      </c>
      <c r="U591" t="s">
        <v>225</v>
      </c>
      <c r="AD591">
        <v>1</v>
      </c>
      <c r="AE591" s="7" t="s">
        <v>179</v>
      </c>
      <c r="AF591">
        <v>17</v>
      </c>
      <c r="AG591">
        <v>39</v>
      </c>
      <c r="AH591">
        <v>0</v>
      </c>
      <c r="AI591">
        <v>11</v>
      </c>
    </row>
    <row r="592" spans="1:35" x14ac:dyDescent="0.35">
      <c r="A592" t="s">
        <v>192</v>
      </c>
      <c r="B592" t="s">
        <v>24</v>
      </c>
      <c r="C592" t="s">
        <v>33</v>
      </c>
      <c r="D592" t="s">
        <v>34</v>
      </c>
      <c r="E592" t="s">
        <v>309</v>
      </c>
      <c r="F592" t="s">
        <v>310</v>
      </c>
      <c r="G592" s="20" t="s">
        <v>38</v>
      </c>
      <c r="H592" s="20" t="s">
        <v>39</v>
      </c>
      <c r="I592" t="str">
        <f t="shared" si="13"/>
        <v>Apis mellifera</v>
      </c>
      <c r="J592" t="s">
        <v>70</v>
      </c>
      <c r="K592" t="s">
        <v>332</v>
      </c>
      <c r="L592" t="s">
        <v>275</v>
      </c>
      <c r="M592" t="s">
        <v>157</v>
      </c>
      <c r="N592">
        <v>519</v>
      </c>
      <c r="O592" t="s">
        <v>155</v>
      </c>
      <c r="P592" t="s">
        <v>223</v>
      </c>
      <c r="Q592" s="6">
        <v>45201</v>
      </c>
      <c r="R592">
        <v>1</v>
      </c>
      <c r="U592" t="s">
        <v>225</v>
      </c>
      <c r="AD592">
        <v>1</v>
      </c>
      <c r="AE592" s="7" t="s">
        <v>178</v>
      </c>
      <c r="AF592">
        <v>17</v>
      </c>
      <c r="AG592">
        <v>39</v>
      </c>
      <c r="AH592">
        <v>0</v>
      </c>
      <c r="AI592">
        <v>12</v>
      </c>
    </row>
    <row r="593" spans="1:35" x14ac:dyDescent="0.35">
      <c r="A593" t="s">
        <v>192</v>
      </c>
      <c r="B593" t="s">
        <v>24</v>
      </c>
      <c r="C593" t="s">
        <v>33</v>
      </c>
      <c r="D593" t="s">
        <v>34</v>
      </c>
      <c r="E593" t="s">
        <v>309</v>
      </c>
      <c r="F593" t="s">
        <v>310</v>
      </c>
      <c r="G593" s="20" t="s">
        <v>38</v>
      </c>
      <c r="H593" s="20" t="s">
        <v>39</v>
      </c>
      <c r="I593" t="str">
        <f t="shared" si="13"/>
        <v>Apis mellifera</v>
      </c>
      <c r="J593" t="s">
        <v>70</v>
      </c>
      <c r="K593" t="s">
        <v>332</v>
      </c>
      <c r="L593" t="s">
        <v>275</v>
      </c>
      <c r="M593" t="s">
        <v>157</v>
      </c>
      <c r="N593">
        <v>520</v>
      </c>
      <c r="O593" t="s">
        <v>155</v>
      </c>
      <c r="P593" t="s">
        <v>223</v>
      </c>
      <c r="Q593" s="6">
        <v>45201</v>
      </c>
      <c r="R593">
        <v>1</v>
      </c>
      <c r="U593" t="s">
        <v>225</v>
      </c>
      <c r="AD593">
        <v>2</v>
      </c>
      <c r="AE593" s="7" t="s">
        <v>178</v>
      </c>
      <c r="AF593">
        <v>17</v>
      </c>
      <c r="AG593">
        <v>39</v>
      </c>
      <c r="AH593">
        <v>0</v>
      </c>
      <c r="AI593">
        <v>13</v>
      </c>
    </row>
    <row r="594" spans="1:35" x14ac:dyDescent="0.35">
      <c r="A594" t="s">
        <v>192</v>
      </c>
      <c r="B594" t="s">
        <v>24</v>
      </c>
      <c r="C594" t="s">
        <v>33</v>
      </c>
      <c r="D594" t="s">
        <v>34</v>
      </c>
      <c r="E594" t="s">
        <v>309</v>
      </c>
      <c r="F594" t="s">
        <v>310</v>
      </c>
      <c r="G594" s="20" t="s">
        <v>38</v>
      </c>
      <c r="H594" s="20" t="s">
        <v>39</v>
      </c>
      <c r="I594" t="str">
        <f t="shared" si="13"/>
        <v>Apis mellifera</v>
      </c>
      <c r="J594" t="s">
        <v>70</v>
      </c>
      <c r="K594" t="s">
        <v>332</v>
      </c>
      <c r="L594" t="s">
        <v>275</v>
      </c>
      <c r="M594" t="s">
        <v>157</v>
      </c>
      <c r="N594">
        <v>521</v>
      </c>
      <c r="O594" t="s">
        <v>155</v>
      </c>
      <c r="P594" t="s">
        <v>223</v>
      </c>
      <c r="Q594" s="6">
        <v>45201</v>
      </c>
      <c r="R594">
        <v>1</v>
      </c>
      <c r="U594" t="s">
        <v>225</v>
      </c>
      <c r="AD594">
        <v>2</v>
      </c>
      <c r="AE594" s="7" t="s">
        <v>178</v>
      </c>
      <c r="AF594">
        <v>17</v>
      </c>
      <c r="AG594">
        <v>39</v>
      </c>
      <c r="AH594">
        <v>0</v>
      </c>
      <c r="AI594">
        <v>14</v>
      </c>
    </row>
    <row r="595" spans="1:35" x14ac:dyDescent="0.35">
      <c r="A595" t="s">
        <v>192</v>
      </c>
      <c r="B595" t="s">
        <v>24</v>
      </c>
      <c r="C595" t="s">
        <v>33</v>
      </c>
      <c r="D595" t="s">
        <v>34</v>
      </c>
      <c r="E595" t="s">
        <v>309</v>
      </c>
      <c r="F595" t="s">
        <v>310</v>
      </c>
      <c r="G595" s="20" t="s">
        <v>38</v>
      </c>
      <c r="H595" s="20" t="s">
        <v>39</v>
      </c>
      <c r="I595" t="str">
        <f t="shared" si="13"/>
        <v>Apis mellifera</v>
      </c>
      <c r="J595" t="s">
        <v>70</v>
      </c>
      <c r="K595" t="s">
        <v>332</v>
      </c>
      <c r="L595" t="s">
        <v>275</v>
      </c>
      <c r="M595" t="s">
        <v>157</v>
      </c>
      <c r="N595">
        <v>522</v>
      </c>
      <c r="O595" t="s">
        <v>155</v>
      </c>
      <c r="P595" t="s">
        <v>223</v>
      </c>
      <c r="Q595" s="6">
        <v>45201</v>
      </c>
      <c r="R595">
        <v>1</v>
      </c>
      <c r="U595" t="s">
        <v>225</v>
      </c>
      <c r="AD595">
        <v>1</v>
      </c>
      <c r="AE595" s="7" t="s">
        <v>177</v>
      </c>
      <c r="AF595">
        <v>17</v>
      </c>
      <c r="AG595">
        <v>39</v>
      </c>
      <c r="AH595">
        <v>0</v>
      </c>
      <c r="AI595">
        <v>15</v>
      </c>
    </row>
    <row r="596" spans="1:35" x14ac:dyDescent="0.35">
      <c r="A596" t="s">
        <v>192</v>
      </c>
      <c r="B596" t="s">
        <v>24</v>
      </c>
      <c r="C596" t="s">
        <v>33</v>
      </c>
      <c r="D596" t="s">
        <v>34</v>
      </c>
      <c r="E596" t="s">
        <v>309</v>
      </c>
      <c r="F596" t="s">
        <v>310</v>
      </c>
      <c r="G596" s="20" t="s">
        <v>38</v>
      </c>
      <c r="H596" s="20" t="s">
        <v>39</v>
      </c>
      <c r="I596" t="str">
        <f t="shared" si="13"/>
        <v>Apis mellifera</v>
      </c>
      <c r="J596" t="s">
        <v>70</v>
      </c>
      <c r="K596" t="s">
        <v>332</v>
      </c>
      <c r="L596" t="s">
        <v>275</v>
      </c>
      <c r="M596" t="s">
        <v>157</v>
      </c>
      <c r="N596">
        <v>523</v>
      </c>
      <c r="O596" t="s">
        <v>155</v>
      </c>
      <c r="P596" t="s">
        <v>223</v>
      </c>
      <c r="Q596" s="6">
        <v>45201</v>
      </c>
      <c r="R596">
        <v>1</v>
      </c>
      <c r="U596" t="s">
        <v>225</v>
      </c>
      <c r="AD596">
        <v>1</v>
      </c>
      <c r="AE596" s="7" t="s">
        <v>178</v>
      </c>
      <c r="AF596">
        <v>17</v>
      </c>
      <c r="AG596">
        <v>39</v>
      </c>
      <c r="AH596">
        <v>0</v>
      </c>
      <c r="AI596">
        <v>16</v>
      </c>
    </row>
    <row r="597" spans="1:35" x14ac:dyDescent="0.35">
      <c r="A597" t="s">
        <v>192</v>
      </c>
      <c r="B597" t="s">
        <v>24</v>
      </c>
      <c r="C597" t="s">
        <v>33</v>
      </c>
      <c r="D597" t="s">
        <v>34</v>
      </c>
      <c r="E597" t="s">
        <v>309</v>
      </c>
      <c r="F597" t="s">
        <v>310</v>
      </c>
      <c r="G597" s="20" t="s">
        <v>38</v>
      </c>
      <c r="H597" s="20" t="s">
        <v>39</v>
      </c>
      <c r="I597" t="str">
        <f t="shared" si="13"/>
        <v>Apis mellifera</v>
      </c>
      <c r="J597" t="s">
        <v>70</v>
      </c>
      <c r="K597" t="s">
        <v>332</v>
      </c>
      <c r="L597" t="s">
        <v>275</v>
      </c>
      <c r="M597" t="s">
        <v>157</v>
      </c>
      <c r="N597">
        <v>524</v>
      </c>
      <c r="O597" t="s">
        <v>155</v>
      </c>
      <c r="P597" t="s">
        <v>223</v>
      </c>
      <c r="Q597" s="6">
        <v>45201</v>
      </c>
      <c r="R597">
        <v>1</v>
      </c>
      <c r="U597" t="s">
        <v>225</v>
      </c>
      <c r="AD597">
        <v>2</v>
      </c>
      <c r="AE597" s="7" t="s">
        <v>178</v>
      </c>
      <c r="AF597">
        <v>12</v>
      </c>
      <c r="AG597">
        <v>24</v>
      </c>
      <c r="AH597">
        <v>10</v>
      </c>
      <c r="AI597">
        <v>17</v>
      </c>
    </row>
    <row r="598" spans="1:35" x14ac:dyDescent="0.35">
      <c r="A598" t="s">
        <v>192</v>
      </c>
      <c r="B598" t="s">
        <v>24</v>
      </c>
      <c r="C598" t="s">
        <v>33</v>
      </c>
      <c r="D598" t="s">
        <v>34</v>
      </c>
      <c r="E598" t="s">
        <v>309</v>
      </c>
      <c r="F598" t="s">
        <v>310</v>
      </c>
      <c r="G598" s="20" t="s">
        <v>38</v>
      </c>
      <c r="H598" s="20" t="s">
        <v>39</v>
      </c>
      <c r="I598" t="str">
        <f t="shared" si="13"/>
        <v>Apis mellifera</v>
      </c>
      <c r="J598" t="s">
        <v>70</v>
      </c>
      <c r="K598" t="s">
        <v>332</v>
      </c>
      <c r="L598" t="s">
        <v>275</v>
      </c>
      <c r="M598" t="s">
        <v>157</v>
      </c>
      <c r="N598">
        <v>525</v>
      </c>
      <c r="O598" t="s">
        <v>155</v>
      </c>
      <c r="P598" t="s">
        <v>223</v>
      </c>
      <c r="Q598" s="6">
        <v>45201</v>
      </c>
      <c r="R598">
        <v>1</v>
      </c>
      <c r="U598" t="s">
        <v>225</v>
      </c>
      <c r="AD598">
        <v>2</v>
      </c>
      <c r="AE598" s="7" t="s">
        <v>178</v>
      </c>
      <c r="AF598">
        <v>12</v>
      </c>
      <c r="AG598">
        <v>24</v>
      </c>
      <c r="AH598">
        <v>10</v>
      </c>
      <c r="AI598">
        <v>18</v>
      </c>
    </row>
    <row r="599" spans="1:35" x14ac:dyDescent="0.35">
      <c r="A599" t="s">
        <v>192</v>
      </c>
      <c r="B599" t="s">
        <v>24</v>
      </c>
      <c r="C599" t="s">
        <v>33</v>
      </c>
      <c r="D599" t="s">
        <v>34</v>
      </c>
      <c r="E599" t="s">
        <v>309</v>
      </c>
      <c r="F599" t="s">
        <v>310</v>
      </c>
      <c r="G599" s="20" t="s">
        <v>38</v>
      </c>
      <c r="H599" s="20" t="s">
        <v>39</v>
      </c>
      <c r="I599" t="str">
        <f t="shared" si="13"/>
        <v>Apis mellifera</v>
      </c>
      <c r="J599" t="s">
        <v>70</v>
      </c>
      <c r="K599" t="s">
        <v>332</v>
      </c>
      <c r="L599" t="s">
        <v>275</v>
      </c>
      <c r="M599" t="s">
        <v>157</v>
      </c>
      <c r="N599">
        <v>527</v>
      </c>
      <c r="O599" t="s">
        <v>155</v>
      </c>
      <c r="P599" t="s">
        <v>223</v>
      </c>
      <c r="Q599" s="6">
        <v>45201</v>
      </c>
      <c r="R599">
        <v>1</v>
      </c>
      <c r="S599" t="s">
        <v>171</v>
      </c>
      <c r="T599" t="s">
        <v>72</v>
      </c>
      <c r="U599" t="s">
        <v>271</v>
      </c>
      <c r="AD599">
        <v>2</v>
      </c>
      <c r="AE599" s="7" t="s">
        <v>178</v>
      </c>
      <c r="AF599">
        <v>12</v>
      </c>
      <c r="AG599">
        <v>24</v>
      </c>
      <c r="AH599">
        <v>10</v>
      </c>
      <c r="AI599">
        <v>19</v>
      </c>
    </row>
    <row r="600" spans="1:35" x14ac:dyDescent="0.35">
      <c r="A600" t="s">
        <v>192</v>
      </c>
      <c r="B600" t="s">
        <v>24</v>
      </c>
      <c r="C600" t="s">
        <v>33</v>
      </c>
      <c r="D600" t="s">
        <v>34</v>
      </c>
      <c r="E600" t="s">
        <v>309</v>
      </c>
      <c r="F600" t="s">
        <v>310</v>
      </c>
      <c r="G600" s="20" t="s">
        <v>38</v>
      </c>
      <c r="H600" s="20" t="s">
        <v>39</v>
      </c>
      <c r="I600" t="str">
        <f t="shared" si="13"/>
        <v>Apis mellifera</v>
      </c>
      <c r="J600" t="s">
        <v>70</v>
      </c>
      <c r="K600" t="s">
        <v>332</v>
      </c>
      <c r="L600" t="s">
        <v>275</v>
      </c>
      <c r="M600" t="s">
        <v>157</v>
      </c>
      <c r="N600">
        <v>528</v>
      </c>
      <c r="O600" t="s">
        <v>155</v>
      </c>
      <c r="P600" t="s">
        <v>223</v>
      </c>
      <c r="Q600" s="6">
        <v>45201</v>
      </c>
      <c r="R600">
        <v>1</v>
      </c>
      <c r="S600" t="s">
        <v>171</v>
      </c>
      <c r="T600" t="s">
        <v>72</v>
      </c>
      <c r="U600" t="s">
        <v>271</v>
      </c>
      <c r="AD600">
        <v>2</v>
      </c>
      <c r="AE600" s="7" t="s">
        <v>179</v>
      </c>
      <c r="AF600">
        <v>12</v>
      </c>
      <c r="AG600">
        <v>24</v>
      </c>
      <c r="AH600">
        <v>10</v>
      </c>
      <c r="AI600">
        <v>20</v>
      </c>
    </row>
    <row r="601" spans="1:35" x14ac:dyDescent="0.35">
      <c r="A601" t="s">
        <v>192</v>
      </c>
      <c r="B601" t="s">
        <v>24</v>
      </c>
      <c r="C601" t="s">
        <v>33</v>
      </c>
      <c r="D601" t="s">
        <v>34</v>
      </c>
      <c r="E601" t="s">
        <v>309</v>
      </c>
      <c r="F601" t="s">
        <v>310</v>
      </c>
      <c r="G601" s="20" t="s">
        <v>38</v>
      </c>
      <c r="H601" s="20" t="s">
        <v>39</v>
      </c>
      <c r="I601" t="str">
        <f t="shared" si="13"/>
        <v>Apis mellifera</v>
      </c>
      <c r="J601" t="s">
        <v>70</v>
      </c>
      <c r="K601" t="s">
        <v>332</v>
      </c>
      <c r="L601" t="s">
        <v>275</v>
      </c>
      <c r="M601" t="s">
        <v>157</v>
      </c>
      <c r="N601">
        <v>529</v>
      </c>
      <c r="O601" t="s">
        <v>155</v>
      </c>
      <c r="P601" t="s">
        <v>223</v>
      </c>
      <c r="Q601" s="6">
        <v>45201</v>
      </c>
      <c r="R601">
        <v>1</v>
      </c>
      <c r="S601" t="s">
        <v>171</v>
      </c>
      <c r="T601" t="s">
        <v>72</v>
      </c>
      <c r="U601" t="s">
        <v>271</v>
      </c>
      <c r="AD601">
        <v>4</v>
      </c>
      <c r="AE601" s="7" t="s">
        <v>178</v>
      </c>
      <c r="AF601">
        <v>12</v>
      </c>
      <c r="AG601">
        <v>24</v>
      </c>
      <c r="AH601">
        <v>10</v>
      </c>
      <c r="AI601">
        <v>21</v>
      </c>
    </row>
    <row r="602" spans="1:35" x14ac:dyDescent="0.35">
      <c r="A602" t="s">
        <v>192</v>
      </c>
      <c r="B602" t="s">
        <v>24</v>
      </c>
      <c r="C602" t="s">
        <v>33</v>
      </c>
      <c r="D602" t="s">
        <v>34</v>
      </c>
      <c r="E602" t="s">
        <v>309</v>
      </c>
      <c r="F602" t="s">
        <v>310</v>
      </c>
      <c r="G602" s="20" t="s">
        <v>38</v>
      </c>
      <c r="H602" s="20" t="s">
        <v>39</v>
      </c>
      <c r="I602" t="str">
        <f t="shared" si="13"/>
        <v>Apis mellifera</v>
      </c>
      <c r="J602" t="s">
        <v>70</v>
      </c>
      <c r="K602" t="s">
        <v>332</v>
      </c>
      <c r="L602" t="s">
        <v>275</v>
      </c>
      <c r="M602" t="s">
        <v>157</v>
      </c>
      <c r="N602">
        <v>530</v>
      </c>
      <c r="O602" t="s">
        <v>155</v>
      </c>
      <c r="P602" t="s">
        <v>223</v>
      </c>
      <c r="Q602" s="6">
        <v>45201</v>
      </c>
      <c r="R602">
        <v>1</v>
      </c>
      <c r="S602" t="s">
        <v>172</v>
      </c>
      <c r="T602" t="s">
        <v>78</v>
      </c>
      <c r="U602" t="s">
        <v>271</v>
      </c>
      <c r="AD602">
        <v>3</v>
      </c>
      <c r="AE602" s="7" t="s">
        <v>178</v>
      </c>
      <c r="AF602">
        <v>12</v>
      </c>
      <c r="AG602">
        <v>24</v>
      </c>
      <c r="AH602">
        <v>10</v>
      </c>
      <c r="AI602">
        <v>22</v>
      </c>
    </row>
    <row r="603" spans="1:35" x14ac:dyDescent="0.35">
      <c r="A603" t="s">
        <v>192</v>
      </c>
      <c r="B603" t="s">
        <v>24</v>
      </c>
      <c r="C603" t="s">
        <v>33</v>
      </c>
      <c r="D603" t="s">
        <v>34</v>
      </c>
      <c r="E603" t="s">
        <v>309</v>
      </c>
      <c r="F603" t="s">
        <v>310</v>
      </c>
      <c r="G603" s="20" t="s">
        <v>38</v>
      </c>
      <c r="H603" s="20" t="s">
        <v>39</v>
      </c>
      <c r="I603" t="str">
        <f t="shared" si="13"/>
        <v>Apis mellifera</v>
      </c>
      <c r="J603" t="s">
        <v>70</v>
      </c>
      <c r="K603" t="s">
        <v>332</v>
      </c>
      <c r="L603" t="s">
        <v>275</v>
      </c>
      <c r="M603" t="s">
        <v>157</v>
      </c>
      <c r="N603">
        <v>531</v>
      </c>
      <c r="O603" t="s">
        <v>155</v>
      </c>
      <c r="P603" t="s">
        <v>223</v>
      </c>
      <c r="Q603" s="6">
        <v>45201</v>
      </c>
      <c r="R603">
        <v>1</v>
      </c>
      <c r="S603" t="s">
        <v>109</v>
      </c>
      <c r="T603" t="s">
        <v>72</v>
      </c>
      <c r="U603" t="s">
        <v>271</v>
      </c>
      <c r="AD603">
        <v>2</v>
      </c>
      <c r="AE603" s="7" t="s">
        <v>178</v>
      </c>
      <c r="AF603">
        <v>12</v>
      </c>
      <c r="AG603">
        <v>24</v>
      </c>
      <c r="AH603">
        <v>10</v>
      </c>
      <c r="AI603">
        <v>23</v>
      </c>
    </row>
    <row r="604" spans="1:35" x14ac:dyDescent="0.35">
      <c r="A604" t="s">
        <v>192</v>
      </c>
      <c r="B604" t="s">
        <v>24</v>
      </c>
      <c r="C604" t="s">
        <v>33</v>
      </c>
      <c r="D604" t="s">
        <v>34</v>
      </c>
      <c r="E604" t="s">
        <v>309</v>
      </c>
      <c r="F604" t="s">
        <v>310</v>
      </c>
      <c r="G604" s="20" t="s">
        <v>38</v>
      </c>
      <c r="H604" s="20" t="s">
        <v>39</v>
      </c>
      <c r="I604" t="str">
        <f t="shared" si="13"/>
        <v>Apis mellifera</v>
      </c>
      <c r="J604" t="s">
        <v>70</v>
      </c>
      <c r="K604" t="s">
        <v>332</v>
      </c>
      <c r="L604" t="s">
        <v>275</v>
      </c>
      <c r="M604" t="s">
        <v>157</v>
      </c>
      <c r="N604">
        <v>532</v>
      </c>
      <c r="O604" t="s">
        <v>155</v>
      </c>
      <c r="P604" t="s">
        <v>223</v>
      </c>
      <c r="Q604" s="6">
        <v>45201</v>
      </c>
      <c r="R604">
        <v>1</v>
      </c>
      <c r="S604" t="s">
        <v>109</v>
      </c>
      <c r="T604" t="s">
        <v>72</v>
      </c>
      <c r="U604" t="s">
        <v>271</v>
      </c>
      <c r="AD604">
        <v>2</v>
      </c>
      <c r="AE604" s="7" t="s">
        <v>179</v>
      </c>
      <c r="AF604">
        <v>12</v>
      </c>
      <c r="AG604">
        <v>24</v>
      </c>
      <c r="AH604">
        <v>10</v>
      </c>
      <c r="AI604">
        <v>24</v>
      </c>
    </row>
    <row r="605" spans="1:35" x14ac:dyDescent="0.35">
      <c r="A605" t="s">
        <v>192</v>
      </c>
      <c r="B605" t="s">
        <v>24</v>
      </c>
      <c r="C605" t="s">
        <v>33</v>
      </c>
      <c r="D605" t="s">
        <v>34</v>
      </c>
      <c r="E605" t="s">
        <v>309</v>
      </c>
      <c r="F605" t="s">
        <v>310</v>
      </c>
      <c r="G605" s="20" t="s">
        <v>38</v>
      </c>
      <c r="H605" s="20" t="s">
        <v>39</v>
      </c>
      <c r="I605" t="str">
        <f t="shared" si="13"/>
        <v>Apis mellifera</v>
      </c>
      <c r="J605" t="s">
        <v>70</v>
      </c>
      <c r="K605" t="s">
        <v>332</v>
      </c>
      <c r="L605" t="s">
        <v>275</v>
      </c>
      <c r="M605" t="s">
        <v>157</v>
      </c>
      <c r="N605">
        <v>533</v>
      </c>
      <c r="O605" t="s">
        <v>155</v>
      </c>
      <c r="P605" t="s">
        <v>223</v>
      </c>
      <c r="Q605" s="6">
        <v>45201</v>
      </c>
      <c r="R605">
        <v>1</v>
      </c>
      <c r="S605" t="s">
        <v>109</v>
      </c>
      <c r="T605" t="s">
        <v>72</v>
      </c>
      <c r="U605" t="s">
        <v>271</v>
      </c>
      <c r="AD605">
        <v>5</v>
      </c>
      <c r="AE605" s="7" t="s">
        <v>178</v>
      </c>
      <c r="AF605">
        <v>12</v>
      </c>
      <c r="AG605">
        <v>24</v>
      </c>
      <c r="AH605">
        <v>10</v>
      </c>
      <c r="AI605">
        <v>25</v>
      </c>
    </row>
    <row r="606" spans="1:35" x14ac:dyDescent="0.35">
      <c r="A606" t="s">
        <v>192</v>
      </c>
      <c r="B606" t="s">
        <v>24</v>
      </c>
      <c r="C606" t="s">
        <v>33</v>
      </c>
      <c r="D606" t="s">
        <v>34</v>
      </c>
      <c r="E606" t="s">
        <v>309</v>
      </c>
      <c r="F606" t="s">
        <v>310</v>
      </c>
      <c r="G606" s="20" t="s">
        <v>38</v>
      </c>
      <c r="H606" s="20" t="s">
        <v>39</v>
      </c>
      <c r="I606" t="str">
        <f t="shared" si="13"/>
        <v>Apis mellifera</v>
      </c>
      <c r="J606" t="s">
        <v>70</v>
      </c>
      <c r="K606" t="s">
        <v>332</v>
      </c>
      <c r="L606" t="s">
        <v>275</v>
      </c>
      <c r="M606" t="s">
        <v>157</v>
      </c>
      <c r="N606">
        <v>534</v>
      </c>
      <c r="O606" t="s">
        <v>155</v>
      </c>
      <c r="P606" t="s">
        <v>223</v>
      </c>
      <c r="Q606" s="6">
        <v>45201</v>
      </c>
      <c r="R606">
        <v>1</v>
      </c>
      <c r="S606" t="s">
        <v>109</v>
      </c>
      <c r="T606" t="s">
        <v>72</v>
      </c>
      <c r="U606" t="s">
        <v>271</v>
      </c>
      <c r="AD606">
        <v>4</v>
      </c>
      <c r="AE606" s="7" t="s">
        <v>180</v>
      </c>
      <c r="AF606">
        <v>12</v>
      </c>
      <c r="AG606">
        <v>24</v>
      </c>
      <c r="AH606">
        <v>10</v>
      </c>
      <c r="AI606">
        <v>26</v>
      </c>
    </row>
    <row r="607" spans="1:35" x14ac:dyDescent="0.35">
      <c r="A607" t="s">
        <v>192</v>
      </c>
      <c r="B607" t="s">
        <v>24</v>
      </c>
      <c r="C607" t="s">
        <v>33</v>
      </c>
      <c r="D607" t="s">
        <v>34</v>
      </c>
      <c r="E607" t="s">
        <v>309</v>
      </c>
      <c r="F607" t="s">
        <v>310</v>
      </c>
      <c r="G607" s="20" t="s">
        <v>38</v>
      </c>
      <c r="H607" s="20" t="s">
        <v>39</v>
      </c>
      <c r="I607" t="str">
        <f t="shared" si="13"/>
        <v>Apis mellifera</v>
      </c>
      <c r="J607" t="s">
        <v>70</v>
      </c>
      <c r="K607" t="s">
        <v>332</v>
      </c>
      <c r="L607" t="s">
        <v>275</v>
      </c>
      <c r="M607" t="s">
        <v>157</v>
      </c>
      <c r="N607">
        <v>535</v>
      </c>
      <c r="O607" t="s">
        <v>155</v>
      </c>
      <c r="P607" t="s">
        <v>223</v>
      </c>
      <c r="Q607" s="6">
        <v>45201</v>
      </c>
      <c r="R607">
        <v>1</v>
      </c>
      <c r="S607" t="s">
        <v>109</v>
      </c>
      <c r="T607" t="s">
        <v>72</v>
      </c>
      <c r="U607" t="s">
        <v>271</v>
      </c>
      <c r="AD607">
        <v>3</v>
      </c>
      <c r="AE607" s="7"/>
      <c r="AF607">
        <v>12</v>
      </c>
      <c r="AG607">
        <v>24</v>
      </c>
      <c r="AH607">
        <v>10</v>
      </c>
      <c r="AI607">
        <v>27</v>
      </c>
    </row>
    <row r="608" spans="1:35" x14ac:dyDescent="0.35">
      <c r="A608" t="s">
        <v>192</v>
      </c>
      <c r="B608" t="s">
        <v>24</v>
      </c>
      <c r="C608" t="s">
        <v>33</v>
      </c>
      <c r="D608" t="s">
        <v>34</v>
      </c>
      <c r="E608" t="s">
        <v>309</v>
      </c>
      <c r="F608" t="s">
        <v>310</v>
      </c>
      <c r="G608" s="20" t="s">
        <v>38</v>
      </c>
      <c r="H608" s="20" t="s">
        <v>39</v>
      </c>
      <c r="I608" t="str">
        <f t="shared" si="13"/>
        <v>Apis mellifera</v>
      </c>
      <c r="J608" t="s">
        <v>70</v>
      </c>
      <c r="K608" t="s">
        <v>332</v>
      </c>
      <c r="L608" t="s">
        <v>275</v>
      </c>
      <c r="M608" t="s">
        <v>157</v>
      </c>
      <c r="N608">
        <v>536</v>
      </c>
      <c r="O608" t="s">
        <v>155</v>
      </c>
      <c r="P608" t="s">
        <v>223</v>
      </c>
      <c r="Q608" s="6">
        <v>45201</v>
      </c>
      <c r="R608">
        <v>1</v>
      </c>
      <c r="S608" t="s">
        <v>72</v>
      </c>
      <c r="T608" t="s">
        <v>72</v>
      </c>
      <c r="U608" t="s">
        <v>271</v>
      </c>
      <c r="AD608">
        <v>2</v>
      </c>
      <c r="AE608" s="7" t="s">
        <v>180</v>
      </c>
      <c r="AF608">
        <v>12</v>
      </c>
      <c r="AG608">
        <v>24</v>
      </c>
      <c r="AH608">
        <v>10</v>
      </c>
      <c r="AI608">
        <v>28</v>
      </c>
    </row>
    <row r="609" spans="1:35" x14ac:dyDescent="0.35">
      <c r="A609" t="s">
        <v>192</v>
      </c>
      <c r="B609" t="s">
        <v>24</v>
      </c>
      <c r="C609" t="s">
        <v>33</v>
      </c>
      <c r="D609" t="s">
        <v>34</v>
      </c>
      <c r="E609" t="s">
        <v>309</v>
      </c>
      <c r="F609" t="s">
        <v>310</v>
      </c>
      <c r="G609" s="20" t="s">
        <v>38</v>
      </c>
      <c r="H609" s="20" t="s">
        <v>39</v>
      </c>
      <c r="I609" t="str">
        <f t="shared" si="13"/>
        <v>Apis mellifera</v>
      </c>
      <c r="J609" t="s">
        <v>70</v>
      </c>
      <c r="K609" t="s">
        <v>332</v>
      </c>
      <c r="L609" t="s">
        <v>275</v>
      </c>
      <c r="M609" t="s">
        <v>157</v>
      </c>
      <c r="N609">
        <v>538</v>
      </c>
      <c r="O609" t="s">
        <v>155</v>
      </c>
      <c r="P609" t="s">
        <v>223</v>
      </c>
      <c r="Q609" s="6">
        <v>45201</v>
      </c>
      <c r="R609">
        <v>1</v>
      </c>
      <c r="S609" t="s">
        <v>72</v>
      </c>
      <c r="T609" t="s">
        <v>72</v>
      </c>
      <c r="U609" t="s">
        <v>271</v>
      </c>
      <c r="AD609">
        <v>2</v>
      </c>
      <c r="AE609" s="7" t="s">
        <v>179</v>
      </c>
      <c r="AF609">
        <v>12</v>
      </c>
      <c r="AG609">
        <v>24</v>
      </c>
      <c r="AH609">
        <v>10</v>
      </c>
      <c r="AI609">
        <v>29</v>
      </c>
    </row>
    <row r="610" spans="1:35" x14ac:dyDescent="0.35">
      <c r="A610" t="s">
        <v>192</v>
      </c>
      <c r="B610" t="s">
        <v>24</v>
      </c>
      <c r="C610" t="s">
        <v>33</v>
      </c>
      <c r="D610" t="s">
        <v>34</v>
      </c>
      <c r="E610" t="s">
        <v>309</v>
      </c>
      <c r="F610" t="s">
        <v>310</v>
      </c>
      <c r="G610" s="20" t="s">
        <v>38</v>
      </c>
      <c r="H610" s="20" t="s">
        <v>39</v>
      </c>
      <c r="I610" t="str">
        <f t="shared" si="13"/>
        <v>Apis mellifera</v>
      </c>
      <c r="J610" t="s">
        <v>70</v>
      </c>
      <c r="K610" t="s">
        <v>332</v>
      </c>
      <c r="L610" t="s">
        <v>275</v>
      </c>
      <c r="M610" t="s">
        <v>157</v>
      </c>
      <c r="N610">
        <v>539</v>
      </c>
      <c r="O610" t="s">
        <v>155</v>
      </c>
      <c r="P610" t="s">
        <v>223</v>
      </c>
      <c r="Q610" s="6">
        <v>45201</v>
      </c>
      <c r="R610">
        <v>1</v>
      </c>
      <c r="S610" t="s">
        <v>72</v>
      </c>
      <c r="T610" t="s">
        <v>72</v>
      </c>
      <c r="U610" t="s">
        <v>271</v>
      </c>
      <c r="AD610">
        <v>1</v>
      </c>
      <c r="AE610" s="7" t="s">
        <v>178</v>
      </c>
      <c r="AF610">
        <v>12</v>
      </c>
      <c r="AG610">
        <v>24</v>
      </c>
      <c r="AH610">
        <v>10</v>
      </c>
      <c r="AI610">
        <v>30</v>
      </c>
    </row>
    <row r="611" spans="1:35" x14ac:dyDescent="0.35">
      <c r="A611" t="s">
        <v>192</v>
      </c>
      <c r="B611" t="s">
        <v>24</v>
      </c>
      <c r="C611" t="s">
        <v>33</v>
      </c>
      <c r="D611" t="s">
        <v>34</v>
      </c>
      <c r="E611" t="s">
        <v>309</v>
      </c>
      <c r="F611" t="s">
        <v>310</v>
      </c>
      <c r="G611" s="20" t="s">
        <v>38</v>
      </c>
      <c r="H611" s="20" t="s">
        <v>39</v>
      </c>
      <c r="I611" t="str">
        <f t="shared" si="13"/>
        <v>Apis mellifera</v>
      </c>
      <c r="J611" t="s">
        <v>70</v>
      </c>
      <c r="K611" t="s">
        <v>332</v>
      </c>
      <c r="L611" t="s">
        <v>275</v>
      </c>
      <c r="M611" t="s">
        <v>157</v>
      </c>
      <c r="N611">
        <v>540</v>
      </c>
      <c r="O611" t="s">
        <v>155</v>
      </c>
      <c r="P611" t="s">
        <v>223</v>
      </c>
      <c r="Q611" s="6">
        <v>45201</v>
      </c>
      <c r="R611">
        <v>1</v>
      </c>
      <c r="S611" t="s">
        <v>72</v>
      </c>
      <c r="T611" t="s">
        <v>72</v>
      </c>
      <c r="U611" t="s">
        <v>271</v>
      </c>
      <c r="AD611">
        <v>2</v>
      </c>
      <c r="AE611" s="7" t="s">
        <v>180</v>
      </c>
      <c r="AF611">
        <v>12</v>
      </c>
      <c r="AG611">
        <v>24</v>
      </c>
      <c r="AH611">
        <v>10</v>
      </c>
      <c r="AI611">
        <v>31</v>
      </c>
    </row>
    <row r="612" spans="1:35" x14ac:dyDescent="0.35">
      <c r="A612" t="s">
        <v>192</v>
      </c>
      <c r="B612" t="s">
        <v>24</v>
      </c>
      <c r="C612" t="s">
        <v>33</v>
      </c>
      <c r="D612" t="s">
        <v>34</v>
      </c>
      <c r="E612" t="s">
        <v>309</v>
      </c>
      <c r="F612" t="s">
        <v>310</v>
      </c>
      <c r="G612" s="20" t="s">
        <v>38</v>
      </c>
      <c r="H612" s="20" t="s">
        <v>39</v>
      </c>
      <c r="I612" t="str">
        <f t="shared" si="13"/>
        <v>Apis mellifera</v>
      </c>
      <c r="J612" t="s">
        <v>70</v>
      </c>
      <c r="K612" t="s">
        <v>332</v>
      </c>
      <c r="L612" t="s">
        <v>275</v>
      </c>
      <c r="M612" t="s">
        <v>157</v>
      </c>
      <c r="N612">
        <v>541</v>
      </c>
      <c r="O612" t="s">
        <v>155</v>
      </c>
      <c r="P612" t="s">
        <v>223</v>
      </c>
      <c r="Q612" s="6">
        <v>45201</v>
      </c>
      <c r="R612">
        <v>1</v>
      </c>
      <c r="S612" t="s">
        <v>72</v>
      </c>
      <c r="T612" t="s">
        <v>72</v>
      </c>
      <c r="U612" t="s">
        <v>271</v>
      </c>
      <c r="AD612">
        <v>6</v>
      </c>
      <c r="AE612" s="7" t="s">
        <v>179</v>
      </c>
      <c r="AF612">
        <v>12</v>
      </c>
      <c r="AG612">
        <v>24</v>
      </c>
      <c r="AH612">
        <v>10</v>
      </c>
      <c r="AI612">
        <v>32</v>
      </c>
    </row>
    <row r="613" spans="1:35" x14ac:dyDescent="0.35">
      <c r="A613" t="s">
        <v>192</v>
      </c>
      <c r="B613" t="s">
        <v>24</v>
      </c>
      <c r="C613" t="s">
        <v>33</v>
      </c>
      <c r="D613" t="s">
        <v>34</v>
      </c>
      <c r="E613" t="s">
        <v>309</v>
      </c>
      <c r="F613" t="s">
        <v>310</v>
      </c>
      <c r="G613" s="20" t="s">
        <v>38</v>
      </c>
      <c r="H613" s="20" t="s">
        <v>39</v>
      </c>
      <c r="I613" t="str">
        <f t="shared" si="13"/>
        <v>Apis mellifera</v>
      </c>
      <c r="J613" t="s">
        <v>70</v>
      </c>
      <c r="K613" t="s">
        <v>332</v>
      </c>
      <c r="L613" t="s">
        <v>275</v>
      </c>
      <c r="M613" t="s">
        <v>157</v>
      </c>
      <c r="N613">
        <v>542</v>
      </c>
      <c r="O613" t="s">
        <v>155</v>
      </c>
      <c r="P613" t="s">
        <v>223</v>
      </c>
      <c r="Q613" s="6">
        <v>45201</v>
      </c>
      <c r="R613">
        <v>1</v>
      </c>
      <c r="S613" t="s">
        <v>72</v>
      </c>
      <c r="T613" t="s">
        <v>72</v>
      </c>
      <c r="U613" t="s">
        <v>271</v>
      </c>
      <c r="AD613">
        <v>3</v>
      </c>
      <c r="AE613" s="7" t="s">
        <v>178</v>
      </c>
      <c r="AF613">
        <v>12</v>
      </c>
      <c r="AG613">
        <v>24</v>
      </c>
      <c r="AH613">
        <v>10</v>
      </c>
      <c r="AI613">
        <v>33</v>
      </c>
    </row>
    <row r="614" spans="1:35" x14ac:dyDescent="0.35">
      <c r="A614" t="s">
        <v>192</v>
      </c>
      <c r="B614" t="s">
        <v>24</v>
      </c>
      <c r="C614" t="s">
        <v>33</v>
      </c>
      <c r="D614" t="s">
        <v>34</v>
      </c>
      <c r="E614" t="s">
        <v>309</v>
      </c>
      <c r="F614" t="s">
        <v>310</v>
      </c>
      <c r="G614" s="20" t="s">
        <v>38</v>
      </c>
      <c r="H614" s="20" t="s">
        <v>39</v>
      </c>
      <c r="I614" t="str">
        <f t="shared" ref="I614:I677" si="14">G614&amp;" "&amp;H614</f>
        <v>Apis mellifera</v>
      </c>
      <c r="J614" t="s">
        <v>70</v>
      </c>
      <c r="K614" t="s">
        <v>332</v>
      </c>
      <c r="L614" t="s">
        <v>275</v>
      </c>
      <c r="M614" t="s">
        <v>157</v>
      </c>
      <c r="N614">
        <v>543</v>
      </c>
      <c r="O614" t="s">
        <v>155</v>
      </c>
      <c r="P614" t="s">
        <v>223</v>
      </c>
      <c r="Q614" s="6">
        <v>45201</v>
      </c>
      <c r="R614">
        <v>1</v>
      </c>
      <c r="S614" t="s">
        <v>72</v>
      </c>
      <c r="T614" t="s">
        <v>72</v>
      </c>
      <c r="U614" t="s">
        <v>271</v>
      </c>
      <c r="AD614">
        <v>1</v>
      </c>
      <c r="AE614" s="7" t="s">
        <v>178</v>
      </c>
      <c r="AF614">
        <v>12</v>
      </c>
      <c r="AG614">
        <v>24</v>
      </c>
      <c r="AH614">
        <v>10</v>
      </c>
      <c r="AI614">
        <v>34</v>
      </c>
    </row>
    <row r="615" spans="1:35" x14ac:dyDescent="0.35">
      <c r="A615" t="s">
        <v>192</v>
      </c>
      <c r="B615" t="s">
        <v>24</v>
      </c>
      <c r="C615" t="s">
        <v>33</v>
      </c>
      <c r="D615" t="s">
        <v>34</v>
      </c>
      <c r="E615" t="s">
        <v>309</v>
      </c>
      <c r="F615" t="s">
        <v>310</v>
      </c>
      <c r="G615" s="20" t="s">
        <v>38</v>
      </c>
      <c r="H615" s="20" t="s">
        <v>39</v>
      </c>
      <c r="I615" t="str">
        <f t="shared" si="14"/>
        <v>Apis mellifera</v>
      </c>
      <c r="J615" t="s">
        <v>70</v>
      </c>
      <c r="K615" t="s">
        <v>332</v>
      </c>
      <c r="L615" t="s">
        <v>275</v>
      </c>
      <c r="M615" t="s">
        <v>157</v>
      </c>
      <c r="N615">
        <v>544</v>
      </c>
      <c r="O615" t="s">
        <v>155</v>
      </c>
      <c r="P615" t="s">
        <v>223</v>
      </c>
      <c r="Q615" s="6">
        <v>45201</v>
      </c>
      <c r="R615">
        <v>1</v>
      </c>
      <c r="S615" t="s">
        <v>72</v>
      </c>
      <c r="T615" t="s">
        <v>72</v>
      </c>
      <c r="U615" t="s">
        <v>271</v>
      </c>
      <c r="AD615">
        <v>1</v>
      </c>
      <c r="AE615" s="7" t="s">
        <v>179</v>
      </c>
      <c r="AF615">
        <v>12</v>
      </c>
      <c r="AG615">
        <v>24</v>
      </c>
      <c r="AH615">
        <v>10</v>
      </c>
      <c r="AI615">
        <v>35</v>
      </c>
    </row>
    <row r="616" spans="1:35" x14ac:dyDescent="0.35">
      <c r="A616" t="s">
        <v>192</v>
      </c>
      <c r="B616" t="s">
        <v>24</v>
      </c>
      <c r="C616" t="s">
        <v>33</v>
      </c>
      <c r="D616" t="s">
        <v>34</v>
      </c>
      <c r="E616" t="s">
        <v>309</v>
      </c>
      <c r="F616" t="s">
        <v>310</v>
      </c>
      <c r="G616" s="20" t="s">
        <v>38</v>
      </c>
      <c r="H616" s="20" t="s">
        <v>39</v>
      </c>
      <c r="I616" t="str">
        <f t="shared" si="14"/>
        <v>Apis mellifera</v>
      </c>
      <c r="J616" t="s">
        <v>70</v>
      </c>
      <c r="K616" t="s">
        <v>332</v>
      </c>
      <c r="L616" t="s">
        <v>275</v>
      </c>
      <c r="M616" t="s">
        <v>157</v>
      </c>
      <c r="N616">
        <v>545</v>
      </c>
      <c r="O616" t="s">
        <v>155</v>
      </c>
      <c r="P616" t="s">
        <v>223</v>
      </c>
      <c r="Q616" s="6">
        <v>45201</v>
      </c>
      <c r="R616">
        <v>1</v>
      </c>
      <c r="S616" t="s">
        <v>72</v>
      </c>
      <c r="T616" t="s">
        <v>72</v>
      </c>
      <c r="U616" t="s">
        <v>271</v>
      </c>
      <c r="AD616">
        <v>3</v>
      </c>
      <c r="AE616" s="7" t="s">
        <v>179</v>
      </c>
      <c r="AF616">
        <v>12</v>
      </c>
      <c r="AG616">
        <v>24</v>
      </c>
      <c r="AH616">
        <v>10</v>
      </c>
      <c r="AI616">
        <v>36</v>
      </c>
    </row>
    <row r="617" spans="1:35" x14ac:dyDescent="0.35">
      <c r="A617" t="s">
        <v>192</v>
      </c>
      <c r="B617" t="s">
        <v>24</v>
      </c>
      <c r="C617" t="s">
        <v>33</v>
      </c>
      <c r="D617" t="s">
        <v>34</v>
      </c>
      <c r="E617" t="s">
        <v>309</v>
      </c>
      <c r="F617" t="s">
        <v>310</v>
      </c>
      <c r="G617" s="20" t="s">
        <v>38</v>
      </c>
      <c r="H617" s="20" t="s">
        <v>39</v>
      </c>
      <c r="I617" t="str">
        <f t="shared" si="14"/>
        <v>Apis mellifera</v>
      </c>
      <c r="J617" t="s">
        <v>70</v>
      </c>
      <c r="K617" t="s">
        <v>332</v>
      </c>
      <c r="L617" t="s">
        <v>275</v>
      </c>
      <c r="M617" t="s">
        <v>157</v>
      </c>
      <c r="N617">
        <v>546</v>
      </c>
      <c r="O617" t="s">
        <v>155</v>
      </c>
      <c r="P617" t="s">
        <v>223</v>
      </c>
      <c r="Q617" s="6">
        <v>45201</v>
      </c>
      <c r="R617">
        <v>1</v>
      </c>
      <c r="S617" t="s">
        <v>166</v>
      </c>
      <c r="T617" t="s">
        <v>72</v>
      </c>
      <c r="U617" t="s">
        <v>271</v>
      </c>
      <c r="AD617">
        <v>1</v>
      </c>
      <c r="AE617" s="7" t="s">
        <v>178</v>
      </c>
      <c r="AF617">
        <v>12</v>
      </c>
      <c r="AG617">
        <v>24</v>
      </c>
      <c r="AH617">
        <v>10</v>
      </c>
      <c r="AI617">
        <v>37</v>
      </c>
    </row>
    <row r="618" spans="1:35" x14ac:dyDescent="0.35">
      <c r="A618" t="s">
        <v>192</v>
      </c>
      <c r="B618" t="s">
        <v>24</v>
      </c>
      <c r="C618" t="s">
        <v>33</v>
      </c>
      <c r="D618" t="s">
        <v>34</v>
      </c>
      <c r="E618" t="s">
        <v>309</v>
      </c>
      <c r="F618" t="s">
        <v>310</v>
      </c>
      <c r="G618" s="20" t="s">
        <v>38</v>
      </c>
      <c r="H618" s="20" t="s">
        <v>39</v>
      </c>
      <c r="I618" t="str">
        <f t="shared" si="14"/>
        <v>Apis mellifera</v>
      </c>
      <c r="J618" t="s">
        <v>70</v>
      </c>
      <c r="K618" t="s">
        <v>332</v>
      </c>
      <c r="L618" t="s">
        <v>275</v>
      </c>
      <c r="M618" t="s">
        <v>157</v>
      </c>
      <c r="N618">
        <v>547</v>
      </c>
      <c r="O618" t="s">
        <v>155</v>
      </c>
      <c r="P618" t="s">
        <v>223</v>
      </c>
      <c r="Q618" s="6">
        <v>45201</v>
      </c>
      <c r="U618" t="s">
        <v>225</v>
      </c>
      <c r="AF618">
        <v>12</v>
      </c>
      <c r="AG618">
        <v>24</v>
      </c>
      <c r="AH618">
        <v>10</v>
      </c>
      <c r="AI618">
        <v>38</v>
      </c>
    </row>
    <row r="619" spans="1:35" x14ac:dyDescent="0.35">
      <c r="A619" t="s">
        <v>192</v>
      </c>
      <c r="B619" t="s">
        <v>24</v>
      </c>
      <c r="C619" t="s">
        <v>33</v>
      </c>
      <c r="D619" t="s">
        <v>34</v>
      </c>
      <c r="E619" t="s">
        <v>309</v>
      </c>
      <c r="F619" t="s">
        <v>310</v>
      </c>
      <c r="G619" s="20" t="s">
        <v>38</v>
      </c>
      <c r="H619" s="20" t="s">
        <v>39</v>
      </c>
      <c r="I619" t="str">
        <f t="shared" si="14"/>
        <v>Apis mellifera</v>
      </c>
      <c r="J619" t="s">
        <v>70</v>
      </c>
      <c r="K619" t="s">
        <v>332</v>
      </c>
      <c r="L619" t="s">
        <v>275</v>
      </c>
      <c r="M619" t="s">
        <v>157</v>
      </c>
      <c r="N619">
        <v>548</v>
      </c>
      <c r="O619" t="s">
        <v>155</v>
      </c>
      <c r="P619" t="s">
        <v>223</v>
      </c>
      <c r="Q619" s="6">
        <v>45201</v>
      </c>
      <c r="U619" t="s">
        <v>225</v>
      </c>
      <c r="AF619">
        <v>12</v>
      </c>
      <c r="AG619">
        <v>24</v>
      </c>
      <c r="AH619">
        <v>10</v>
      </c>
      <c r="AI619">
        <v>39</v>
      </c>
    </row>
    <row r="620" spans="1:35" x14ac:dyDescent="0.35">
      <c r="A620" t="s">
        <v>192</v>
      </c>
      <c r="B620" t="s">
        <v>24</v>
      </c>
      <c r="C620" t="s">
        <v>33</v>
      </c>
      <c r="D620" t="s">
        <v>34</v>
      </c>
      <c r="E620" t="s">
        <v>309</v>
      </c>
      <c r="F620" t="s">
        <v>310</v>
      </c>
      <c r="G620" s="20" t="s">
        <v>38</v>
      </c>
      <c r="H620" s="20" t="s">
        <v>39</v>
      </c>
      <c r="I620" t="str">
        <f t="shared" si="14"/>
        <v>Apis mellifera</v>
      </c>
      <c r="J620" t="s">
        <v>70</v>
      </c>
      <c r="K620" t="s">
        <v>332</v>
      </c>
      <c r="L620" t="s">
        <v>275</v>
      </c>
      <c r="M620" t="s">
        <v>157</v>
      </c>
      <c r="N620">
        <v>549</v>
      </c>
      <c r="O620" t="s">
        <v>155</v>
      </c>
      <c r="P620" t="s">
        <v>223</v>
      </c>
      <c r="Q620" s="6">
        <v>45201</v>
      </c>
      <c r="U620" t="s">
        <v>225</v>
      </c>
      <c r="AF620">
        <v>12</v>
      </c>
      <c r="AG620">
        <v>24</v>
      </c>
      <c r="AH620">
        <v>10</v>
      </c>
      <c r="AI620">
        <v>40</v>
      </c>
    </row>
    <row r="621" spans="1:35" x14ac:dyDescent="0.35">
      <c r="A621" t="s">
        <v>192</v>
      </c>
      <c r="B621" t="s">
        <v>24</v>
      </c>
      <c r="C621" t="s">
        <v>33</v>
      </c>
      <c r="D621" t="s">
        <v>34</v>
      </c>
      <c r="E621" t="s">
        <v>309</v>
      </c>
      <c r="F621" t="s">
        <v>310</v>
      </c>
      <c r="G621" s="20" t="s">
        <v>38</v>
      </c>
      <c r="H621" s="20" t="s">
        <v>39</v>
      </c>
      <c r="I621" t="str">
        <f t="shared" si="14"/>
        <v>Apis mellifera</v>
      </c>
      <c r="J621" t="s">
        <v>70</v>
      </c>
      <c r="K621" t="s">
        <v>332</v>
      </c>
      <c r="L621" t="s">
        <v>275</v>
      </c>
      <c r="M621" t="s">
        <v>157</v>
      </c>
      <c r="N621">
        <v>550</v>
      </c>
      <c r="O621" t="s">
        <v>155</v>
      </c>
      <c r="P621" t="s">
        <v>223</v>
      </c>
      <c r="Q621" s="6">
        <v>45201</v>
      </c>
      <c r="U621" t="s">
        <v>225</v>
      </c>
      <c r="AF621">
        <v>12</v>
      </c>
      <c r="AG621">
        <v>24</v>
      </c>
      <c r="AH621">
        <v>10</v>
      </c>
      <c r="AI621">
        <v>41</v>
      </c>
    </row>
    <row r="622" spans="1:35" x14ac:dyDescent="0.35">
      <c r="A622" t="s">
        <v>192</v>
      </c>
      <c r="B622" t="s">
        <v>24</v>
      </c>
      <c r="C622" t="s">
        <v>33</v>
      </c>
      <c r="D622" t="s">
        <v>34</v>
      </c>
      <c r="E622" t="s">
        <v>309</v>
      </c>
      <c r="F622" t="s">
        <v>310</v>
      </c>
      <c r="G622" s="20" t="s">
        <v>38</v>
      </c>
      <c r="H622" s="20" t="s">
        <v>39</v>
      </c>
      <c r="I622" t="str">
        <f t="shared" si="14"/>
        <v>Apis mellifera</v>
      </c>
      <c r="J622" t="s">
        <v>70</v>
      </c>
      <c r="K622" t="s">
        <v>332</v>
      </c>
      <c r="L622" t="s">
        <v>275</v>
      </c>
      <c r="M622" t="s">
        <v>157</v>
      </c>
      <c r="N622">
        <v>551</v>
      </c>
      <c r="O622" t="s">
        <v>155</v>
      </c>
      <c r="P622" t="s">
        <v>223</v>
      </c>
      <c r="Q622" s="6">
        <v>45201</v>
      </c>
      <c r="U622" t="s">
        <v>225</v>
      </c>
      <c r="AF622">
        <v>12</v>
      </c>
      <c r="AG622">
        <v>24</v>
      </c>
      <c r="AH622">
        <v>10</v>
      </c>
      <c r="AI622">
        <v>42</v>
      </c>
    </row>
    <row r="623" spans="1:35" x14ac:dyDescent="0.35">
      <c r="A623" t="s">
        <v>192</v>
      </c>
      <c r="B623" t="s">
        <v>24</v>
      </c>
      <c r="C623" t="s">
        <v>33</v>
      </c>
      <c r="D623" t="s">
        <v>34</v>
      </c>
      <c r="E623" t="s">
        <v>309</v>
      </c>
      <c r="F623" t="s">
        <v>310</v>
      </c>
      <c r="G623" s="20" t="s">
        <v>38</v>
      </c>
      <c r="H623" s="20" t="s">
        <v>39</v>
      </c>
      <c r="I623" t="str">
        <f t="shared" si="14"/>
        <v>Apis mellifera</v>
      </c>
      <c r="J623" t="s">
        <v>70</v>
      </c>
      <c r="K623" t="s">
        <v>332</v>
      </c>
      <c r="L623" t="s">
        <v>275</v>
      </c>
      <c r="M623" t="s">
        <v>157</v>
      </c>
      <c r="N623">
        <v>552</v>
      </c>
      <c r="O623" t="s">
        <v>155</v>
      </c>
      <c r="P623" t="s">
        <v>223</v>
      </c>
      <c r="Q623" s="6">
        <v>45201</v>
      </c>
      <c r="R623">
        <v>1</v>
      </c>
      <c r="U623" t="s">
        <v>225</v>
      </c>
      <c r="AD623">
        <v>1</v>
      </c>
      <c r="AE623" s="7" t="s">
        <v>178</v>
      </c>
      <c r="AF623">
        <v>10</v>
      </c>
      <c r="AG623">
        <v>20</v>
      </c>
      <c r="AH623">
        <v>0</v>
      </c>
      <c r="AI623">
        <v>43</v>
      </c>
    </row>
    <row r="624" spans="1:35" x14ac:dyDescent="0.35">
      <c r="A624" t="s">
        <v>192</v>
      </c>
      <c r="B624" t="s">
        <v>24</v>
      </c>
      <c r="C624" t="s">
        <v>33</v>
      </c>
      <c r="D624" t="s">
        <v>34</v>
      </c>
      <c r="E624" t="s">
        <v>309</v>
      </c>
      <c r="F624" t="s">
        <v>310</v>
      </c>
      <c r="G624" s="20" t="s">
        <v>38</v>
      </c>
      <c r="H624" s="20" t="s">
        <v>39</v>
      </c>
      <c r="I624" t="str">
        <f t="shared" si="14"/>
        <v>Apis mellifera</v>
      </c>
      <c r="J624" t="s">
        <v>70</v>
      </c>
      <c r="K624" t="s">
        <v>332</v>
      </c>
      <c r="L624" t="s">
        <v>275</v>
      </c>
      <c r="M624" t="s">
        <v>157</v>
      </c>
      <c r="N624">
        <v>553</v>
      </c>
      <c r="O624" t="s">
        <v>155</v>
      </c>
      <c r="P624" t="s">
        <v>223</v>
      </c>
      <c r="Q624" s="6">
        <v>45201</v>
      </c>
      <c r="R624">
        <v>1</v>
      </c>
      <c r="U624" t="s">
        <v>225</v>
      </c>
      <c r="AD624">
        <v>1</v>
      </c>
      <c r="AE624" s="7" t="s">
        <v>177</v>
      </c>
      <c r="AF624">
        <v>10</v>
      </c>
      <c r="AG624">
        <v>20</v>
      </c>
      <c r="AH624">
        <v>0</v>
      </c>
      <c r="AI624">
        <v>44</v>
      </c>
    </row>
    <row r="625" spans="1:35" x14ac:dyDescent="0.35">
      <c r="A625" t="s">
        <v>192</v>
      </c>
      <c r="B625" t="s">
        <v>24</v>
      </c>
      <c r="C625" t="s">
        <v>33</v>
      </c>
      <c r="D625" t="s">
        <v>34</v>
      </c>
      <c r="E625" t="s">
        <v>309</v>
      </c>
      <c r="F625" t="s">
        <v>310</v>
      </c>
      <c r="G625" s="20" t="s">
        <v>38</v>
      </c>
      <c r="H625" s="20" t="s">
        <v>39</v>
      </c>
      <c r="I625" t="str">
        <f t="shared" si="14"/>
        <v>Apis mellifera</v>
      </c>
      <c r="J625" t="s">
        <v>70</v>
      </c>
      <c r="K625" t="s">
        <v>332</v>
      </c>
      <c r="L625" t="s">
        <v>275</v>
      </c>
      <c r="M625" t="s">
        <v>157</v>
      </c>
      <c r="N625">
        <v>554</v>
      </c>
      <c r="O625" t="s">
        <v>155</v>
      </c>
      <c r="P625" t="s">
        <v>223</v>
      </c>
      <c r="Q625" s="6">
        <v>45201</v>
      </c>
      <c r="R625">
        <v>1</v>
      </c>
      <c r="U625" t="s">
        <v>225</v>
      </c>
      <c r="AD625">
        <v>1</v>
      </c>
      <c r="AE625" s="7" t="s">
        <v>178</v>
      </c>
      <c r="AF625">
        <v>10</v>
      </c>
      <c r="AG625">
        <v>20</v>
      </c>
      <c r="AH625">
        <v>0</v>
      </c>
      <c r="AI625">
        <v>45</v>
      </c>
    </row>
    <row r="626" spans="1:35" x14ac:dyDescent="0.35">
      <c r="A626" t="s">
        <v>192</v>
      </c>
      <c r="B626" t="s">
        <v>24</v>
      </c>
      <c r="C626" t="s">
        <v>33</v>
      </c>
      <c r="D626" t="s">
        <v>34</v>
      </c>
      <c r="E626" t="s">
        <v>309</v>
      </c>
      <c r="F626" t="s">
        <v>310</v>
      </c>
      <c r="G626" s="20" t="s">
        <v>38</v>
      </c>
      <c r="H626" s="20" t="s">
        <v>39</v>
      </c>
      <c r="I626" t="str">
        <f t="shared" si="14"/>
        <v>Apis mellifera</v>
      </c>
      <c r="J626" t="s">
        <v>70</v>
      </c>
      <c r="K626" t="s">
        <v>332</v>
      </c>
      <c r="L626" t="s">
        <v>275</v>
      </c>
      <c r="M626" t="s">
        <v>157</v>
      </c>
      <c r="N626">
        <v>555</v>
      </c>
      <c r="O626" t="s">
        <v>155</v>
      </c>
      <c r="P626" t="s">
        <v>223</v>
      </c>
      <c r="Q626" s="6">
        <v>45201</v>
      </c>
      <c r="R626">
        <v>1</v>
      </c>
      <c r="U626" t="s">
        <v>225</v>
      </c>
      <c r="AD626">
        <v>2</v>
      </c>
      <c r="AE626" s="7" t="s">
        <v>177</v>
      </c>
      <c r="AF626">
        <v>10</v>
      </c>
      <c r="AG626">
        <v>20</v>
      </c>
      <c r="AH626">
        <v>0</v>
      </c>
      <c r="AI626">
        <v>46</v>
      </c>
    </row>
    <row r="627" spans="1:35" x14ac:dyDescent="0.35">
      <c r="A627" t="s">
        <v>192</v>
      </c>
      <c r="B627" t="s">
        <v>24</v>
      </c>
      <c r="C627" t="s">
        <v>33</v>
      </c>
      <c r="D627" t="s">
        <v>34</v>
      </c>
      <c r="E627" t="s">
        <v>309</v>
      </c>
      <c r="F627" t="s">
        <v>310</v>
      </c>
      <c r="G627" s="20" t="s">
        <v>38</v>
      </c>
      <c r="H627" s="20" t="s">
        <v>39</v>
      </c>
      <c r="I627" t="str">
        <f t="shared" si="14"/>
        <v>Apis mellifera</v>
      </c>
      <c r="J627" t="s">
        <v>70</v>
      </c>
      <c r="K627" t="s">
        <v>332</v>
      </c>
      <c r="L627" t="s">
        <v>275</v>
      </c>
      <c r="M627" t="s">
        <v>157</v>
      </c>
      <c r="N627">
        <v>556</v>
      </c>
      <c r="O627" t="s">
        <v>155</v>
      </c>
      <c r="P627" t="s">
        <v>223</v>
      </c>
      <c r="Q627" s="6">
        <v>45201</v>
      </c>
      <c r="R627">
        <v>1</v>
      </c>
      <c r="U627" t="s">
        <v>225</v>
      </c>
      <c r="AD627">
        <v>1</v>
      </c>
      <c r="AE627" s="7" t="s">
        <v>177</v>
      </c>
      <c r="AF627">
        <v>10</v>
      </c>
      <c r="AG627">
        <v>20</v>
      </c>
      <c r="AH627">
        <v>0</v>
      </c>
      <c r="AI627">
        <v>47</v>
      </c>
    </row>
    <row r="628" spans="1:35" x14ac:dyDescent="0.35">
      <c r="A628" t="s">
        <v>192</v>
      </c>
      <c r="B628" t="s">
        <v>24</v>
      </c>
      <c r="C628" t="s">
        <v>33</v>
      </c>
      <c r="D628" t="s">
        <v>34</v>
      </c>
      <c r="E628" t="s">
        <v>309</v>
      </c>
      <c r="F628" t="s">
        <v>310</v>
      </c>
      <c r="G628" s="20" t="s">
        <v>38</v>
      </c>
      <c r="H628" s="20" t="s">
        <v>39</v>
      </c>
      <c r="I628" t="str">
        <f t="shared" si="14"/>
        <v>Apis mellifera</v>
      </c>
      <c r="J628" t="s">
        <v>70</v>
      </c>
      <c r="K628" t="s">
        <v>332</v>
      </c>
      <c r="L628" t="s">
        <v>275</v>
      </c>
      <c r="M628" t="s">
        <v>157</v>
      </c>
      <c r="N628">
        <v>557</v>
      </c>
      <c r="O628" t="s">
        <v>155</v>
      </c>
      <c r="P628" t="s">
        <v>223</v>
      </c>
      <c r="Q628" s="6">
        <v>45201</v>
      </c>
      <c r="R628">
        <v>1</v>
      </c>
      <c r="U628" t="s">
        <v>225</v>
      </c>
      <c r="AD628">
        <v>1</v>
      </c>
      <c r="AE628" s="7" t="s">
        <v>178</v>
      </c>
      <c r="AF628">
        <v>10</v>
      </c>
      <c r="AG628">
        <v>20</v>
      </c>
      <c r="AH628">
        <v>0</v>
      </c>
      <c r="AI628">
        <v>48</v>
      </c>
    </row>
    <row r="629" spans="1:35" x14ac:dyDescent="0.35">
      <c r="A629" t="s">
        <v>192</v>
      </c>
      <c r="B629" t="s">
        <v>24</v>
      </c>
      <c r="C629" t="s">
        <v>33</v>
      </c>
      <c r="D629" t="s">
        <v>34</v>
      </c>
      <c r="E629" t="s">
        <v>309</v>
      </c>
      <c r="F629" t="s">
        <v>310</v>
      </c>
      <c r="G629" s="20" t="s">
        <v>38</v>
      </c>
      <c r="H629" s="20" t="s">
        <v>39</v>
      </c>
      <c r="I629" t="str">
        <f t="shared" si="14"/>
        <v>Apis mellifera</v>
      </c>
      <c r="J629" t="s">
        <v>70</v>
      </c>
      <c r="K629" t="s">
        <v>332</v>
      </c>
      <c r="L629" t="s">
        <v>275</v>
      </c>
      <c r="M629" t="s">
        <v>157</v>
      </c>
      <c r="N629">
        <v>558</v>
      </c>
      <c r="O629" t="s">
        <v>155</v>
      </c>
      <c r="P629" t="s">
        <v>223</v>
      </c>
      <c r="Q629" s="6">
        <v>45201</v>
      </c>
      <c r="R629">
        <v>1</v>
      </c>
      <c r="U629" t="s">
        <v>225</v>
      </c>
      <c r="AD629">
        <v>2</v>
      </c>
      <c r="AE629" s="7" t="s">
        <v>177</v>
      </c>
      <c r="AF629">
        <v>10</v>
      </c>
      <c r="AG629">
        <v>20</v>
      </c>
      <c r="AH629">
        <v>0</v>
      </c>
      <c r="AI629">
        <v>49</v>
      </c>
    </row>
    <row r="630" spans="1:35" x14ac:dyDescent="0.35">
      <c r="A630" t="s">
        <v>192</v>
      </c>
      <c r="B630" t="s">
        <v>24</v>
      </c>
      <c r="C630" t="s">
        <v>33</v>
      </c>
      <c r="D630" t="s">
        <v>34</v>
      </c>
      <c r="E630" t="s">
        <v>309</v>
      </c>
      <c r="F630" t="s">
        <v>310</v>
      </c>
      <c r="G630" s="20" t="s">
        <v>38</v>
      </c>
      <c r="H630" s="20" t="s">
        <v>39</v>
      </c>
      <c r="I630" t="str">
        <f t="shared" si="14"/>
        <v>Apis mellifera</v>
      </c>
      <c r="J630" t="s">
        <v>70</v>
      </c>
      <c r="K630" t="s">
        <v>332</v>
      </c>
      <c r="L630" t="s">
        <v>275</v>
      </c>
      <c r="M630" t="s">
        <v>157</v>
      </c>
      <c r="N630">
        <v>559</v>
      </c>
      <c r="O630" t="s">
        <v>155</v>
      </c>
      <c r="P630" t="s">
        <v>223</v>
      </c>
      <c r="Q630" s="6">
        <v>45201</v>
      </c>
      <c r="R630">
        <v>1</v>
      </c>
      <c r="U630" t="s">
        <v>225</v>
      </c>
      <c r="AD630">
        <v>2</v>
      </c>
      <c r="AE630" s="7" t="s">
        <v>177</v>
      </c>
      <c r="AF630">
        <v>10</v>
      </c>
      <c r="AG630">
        <v>20</v>
      </c>
      <c r="AH630">
        <v>0</v>
      </c>
      <c r="AI630">
        <v>50</v>
      </c>
    </row>
    <row r="631" spans="1:35" x14ac:dyDescent="0.35">
      <c r="A631" t="s">
        <v>192</v>
      </c>
      <c r="B631" t="s">
        <v>24</v>
      </c>
      <c r="C631" t="s">
        <v>33</v>
      </c>
      <c r="D631" t="s">
        <v>34</v>
      </c>
      <c r="E631" t="s">
        <v>309</v>
      </c>
      <c r="F631" t="s">
        <v>310</v>
      </c>
      <c r="G631" s="20" t="s">
        <v>38</v>
      </c>
      <c r="H631" s="20" t="s">
        <v>39</v>
      </c>
      <c r="I631" t="str">
        <f t="shared" si="14"/>
        <v>Apis mellifera</v>
      </c>
      <c r="J631" t="s">
        <v>70</v>
      </c>
      <c r="K631" t="s">
        <v>332</v>
      </c>
      <c r="L631" t="s">
        <v>275</v>
      </c>
      <c r="M631" t="s">
        <v>157</v>
      </c>
      <c r="N631">
        <v>560</v>
      </c>
      <c r="O631" t="s">
        <v>155</v>
      </c>
      <c r="P631" t="s">
        <v>223</v>
      </c>
      <c r="Q631" s="6">
        <v>45201</v>
      </c>
      <c r="U631" t="s">
        <v>225</v>
      </c>
      <c r="AD631">
        <v>1</v>
      </c>
      <c r="AE631" s="7" t="s">
        <v>178</v>
      </c>
      <c r="AF631">
        <v>10</v>
      </c>
      <c r="AG631">
        <v>20</v>
      </c>
      <c r="AH631">
        <v>0</v>
      </c>
      <c r="AI631">
        <v>51</v>
      </c>
    </row>
    <row r="632" spans="1:35" x14ac:dyDescent="0.35">
      <c r="A632" t="s">
        <v>192</v>
      </c>
      <c r="B632" t="s">
        <v>24</v>
      </c>
      <c r="C632" t="s">
        <v>33</v>
      </c>
      <c r="D632" t="s">
        <v>34</v>
      </c>
      <c r="E632" t="s">
        <v>309</v>
      </c>
      <c r="F632" t="s">
        <v>310</v>
      </c>
      <c r="G632" s="20" t="s">
        <v>38</v>
      </c>
      <c r="H632" s="20" t="s">
        <v>39</v>
      </c>
      <c r="I632" t="str">
        <f t="shared" si="14"/>
        <v>Apis mellifera</v>
      </c>
      <c r="J632" t="s">
        <v>70</v>
      </c>
      <c r="K632" t="s">
        <v>332</v>
      </c>
      <c r="L632" t="s">
        <v>275</v>
      </c>
      <c r="M632" t="s">
        <v>157</v>
      </c>
      <c r="N632">
        <v>561</v>
      </c>
      <c r="O632" t="s">
        <v>155</v>
      </c>
      <c r="P632" t="s">
        <v>223</v>
      </c>
      <c r="Q632" s="6">
        <v>45201</v>
      </c>
      <c r="R632">
        <v>1</v>
      </c>
      <c r="U632" t="s">
        <v>225</v>
      </c>
      <c r="AD632">
        <v>2</v>
      </c>
      <c r="AE632" s="7" t="s">
        <v>178</v>
      </c>
      <c r="AF632">
        <v>10</v>
      </c>
      <c r="AG632">
        <v>20</v>
      </c>
      <c r="AH632">
        <v>0</v>
      </c>
      <c r="AI632">
        <v>52</v>
      </c>
    </row>
    <row r="633" spans="1:35" x14ac:dyDescent="0.35">
      <c r="A633" t="s">
        <v>192</v>
      </c>
      <c r="B633" t="s">
        <v>24</v>
      </c>
      <c r="C633" t="s">
        <v>33</v>
      </c>
      <c r="D633" t="s">
        <v>34</v>
      </c>
      <c r="E633" t="s">
        <v>309</v>
      </c>
      <c r="F633" t="s">
        <v>310</v>
      </c>
      <c r="G633" s="20" t="s">
        <v>38</v>
      </c>
      <c r="H633" s="20" t="s">
        <v>39</v>
      </c>
      <c r="I633" t="str">
        <f t="shared" si="14"/>
        <v>Apis mellifera</v>
      </c>
      <c r="J633" t="s">
        <v>70</v>
      </c>
      <c r="K633" t="s">
        <v>332</v>
      </c>
      <c r="L633" t="s">
        <v>275</v>
      </c>
      <c r="M633" t="s">
        <v>157</v>
      </c>
      <c r="N633">
        <v>562</v>
      </c>
      <c r="O633" t="s">
        <v>155</v>
      </c>
      <c r="P633" t="s">
        <v>223</v>
      </c>
      <c r="Q633" s="6">
        <v>45201</v>
      </c>
      <c r="R633">
        <v>1</v>
      </c>
      <c r="U633" t="s">
        <v>225</v>
      </c>
      <c r="AD633">
        <v>1</v>
      </c>
      <c r="AE633" s="7" t="s">
        <v>178</v>
      </c>
      <c r="AF633">
        <v>10</v>
      </c>
      <c r="AG633">
        <v>20</v>
      </c>
      <c r="AH633">
        <v>0</v>
      </c>
      <c r="AI633">
        <v>53</v>
      </c>
    </row>
    <row r="634" spans="1:35" x14ac:dyDescent="0.35">
      <c r="A634" t="s">
        <v>192</v>
      </c>
      <c r="B634" t="s">
        <v>24</v>
      </c>
      <c r="C634" t="s">
        <v>33</v>
      </c>
      <c r="D634" t="s">
        <v>34</v>
      </c>
      <c r="E634" t="s">
        <v>309</v>
      </c>
      <c r="F634" t="s">
        <v>310</v>
      </c>
      <c r="G634" s="20" t="s">
        <v>38</v>
      </c>
      <c r="H634" s="20" t="s">
        <v>39</v>
      </c>
      <c r="I634" t="str">
        <f t="shared" si="14"/>
        <v>Apis mellifera</v>
      </c>
      <c r="J634" t="s">
        <v>70</v>
      </c>
      <c r="K634" t="s">
        <v>332</v>
      </c>
      <c r="L634" t="s">
        <v>275</v>
      </c>
      <c r="M634" t="s">
        <v>157</v>
      </c>
      <c r="N634">
        <v>563</v>
      </c>
      <c r="O634" t="s">
        <v>155</v>
      </c>
      <c r="P634" t="s">
        <v>223</v>
      </c>
      <c r="Q634" s="6">
        <v>45201</v>
      </c>
      <c r="R634">
        <v>0</v>
      </c>
      <c r="U634" t="s">
        <v>225</v>
      </c>
      <c r="AD634">
        <v>2</v>
      </c>
      <c r="AE634" s="7" t="s">
        <v>179</v>
      </c>
      <c r="AF634">
        <v>10</v>
      </c>
      <c r="AG634">
        <v>16</v>
      </c>
      <c r="AH634">
        <v>0</v>
      </c>
      <c r="AI634">
        <v>54</v>
      </c>
    </row>
    <row r="635" spans="1:35" x14ac:dyDescent="0.35">
      <c r="A635" t="s">
        <v>192</v>
      </c>
      <c r="B635" t="s">
        <v>24</v>
      </c>
      <c r="C635" t="s">
        <v>33</v>
      </c>
      <c r="D635" t="s">
        <v>34</v>
      </c>
      <c r="E635" t="s">
        <v>309</v>
      </c>
      <c r="F635" t="s">
        <v>310</v>
      </c>
      <c r="G635" s="20" t="s">
        <v>38</v>
      </c>
      <c r="H635" s="20" t="s">
        <v>39</v>
      </c>
      <c r="I635" t="str">
        <f t="shared" si="14"/>
        <v>Apis mellifera</v>
      </c>
      <c r="J635" t="s">
        <v>70</v>
      </c>
      <c r="K635" t="s">
        <v>332</v>
      </c>
      <c r="L635" t="s">
        <v>275</v>
      </c>
      <c r="M635" t="s">
        <v>157</v>
      </c>
      <c r="N635">
        <v>564</v>
      </c>
      <c r="O635" t="s">
        <v>155</v>
      </c>
      <c r="P635" t="s">
        <v>223</v>
      </c>
      <c r="Q635" s="6">
        <v>45201</v>
      </c>
      <c r="R635">
        <v>1</v>
      </c>
      <c r="S635" t="s">
        <v>166</v>
      </c>
      <c r="T635" t="s">
        <v>72</v>
      </c>
      <c r="U635" t="s">
        <v>271</v>
      </c>
      <c r="AD635">
        <v>1</v>
      </c>
      <c r="AE635" s="7" t="s">
        <v>180</v>
      </c>
      <c r="AF635">
        <v>12</v>
      </c>
      <c r="AG635">
        <v>24</v>
      </c>
      <c r="AH635">
        <v>10</v>
      </c>
      <c r="AI635">
        <v>55</v>
      </c>
    </row>
    <row r="636" spans="1:35" x14ac:dyDescent="0.35">
      <c r="A636" t="s">
        <v>192</v>
      </c>
      <c r="B636" t="s">
        <v>24</v>
      </c>
      <c r="C636" t="s">
        <v>33</v>
      </c>
      <c r="D636" t="s">
        <v>34</v>
      </c>
      <c r="E636" t="s">
        <v>309</v>
      </c>
      <c r="F636" t="s">
        <v>310</v>
      </c>
      <c r="G636" s="20" t="s">
        <v>38</v>
      </c>
      <c r="H636" s="20" t="s">
        <v>39</v>
      </c>
      <c r="I636" t="str">
        <f t="shared" si="14"/>
        <v>Apis mellifera</v>
      </c>
      <c r="J636" t="s">
        <v>70</v>
      </c>
      <c r="K636" t="s">
        <v>332</v>
      </c>
      <c r="L636" t="s">
        <v>275</v>
      </c>
      <c r="M636" t="s">
        <v>157</v>
      </c>
      <c r="N636">
        <v>565</v>
      </c>
      <c r="O636" t="s">
        <v>155</v>
      </c>
      <c r="P636" t="s">
        <v>223</v>
      </c>
      <c r="Q636" s="6">
        <v>45201</v>
      </c>
      <c r="R636">
        <v>0</v>
      </c>
      <c r="U636" t="s">
        <v>225</v>
      </c>
      <c r="AD636">
        <v>2</v>
      </c>
      <c r="AE636" s="7" t="s">
        <v>178</v>
      </c>
      <c r="AF636">
        <v>10</v>
      </c>
      <c r="AG636">
        <v>16</v>
      </c>
      <c r="AH636">
        <v>0</v>
      </c>
      <c r="AI636">
        <v>56</v>
      </c>
    </row>
    <row r="637" spans="1:35" x14ac:dyDescent="0.35">
      <c r="A637" t="s">
        <v>192</v>
      </c>
      <c r="B637" t="s">
        <v>24</v>
      </c>
      <c r="C637" t="s">
        <v>33</v>
      </c>
      <c r="D637" t="s">
        <v>34</v>
      </c>
      <c r="E637" t="s">
        <v>309</v>
      </c>
      <c r="F637" t="s">
        <v>310</v>
      </c>
      <c r="G637" s="20" t="s">
        <v>38</v>
      </c>
      <c r="H637" s="20" t="s">
        <v>39</v>
      </c>
      <c r="I637" t="str">
        <f t="shared" si="14"/>
        <v>Apis mellifera</v>
      </c>
      <c r="J637" t="s">
        <v>70</v>
      </c>
      <c r="K637" t="s">
        <v>332</v>
      </c>
      <c r="L637" t="s">
        <v>275</v>
      </c>
      <c r="M637" t="s">
        <v>157</v>
      </c>
      <c r="N637">
        <v>567</v>
      </c>
      <c r="O637" t="s">
        <v>155</v>
      </c>
      <c r="P637" t="s">
        <v>223</v>
      </c>
      <c r="Q637" s="6">
        <v>45201</v>
      </c>
      <c r="S637" s="7"/>
      <c r="T637" s="7"/>
      <c r="U637" t="s">
        <v>225</v>
      </c>
      <c r="AD637">
        <v>2</v>
      </c>
      <c r="AE637" s="7"/>
      <c r="AF637">
        <v>10</v>
      </c>
      <c r="AG637">
        <v>16</v>
      </c>
      <c r="AH637">
        <v>0</v>
      </c>
      <c r="AI637">
        <v>57</v>
      </c>
    </row>
    <row r="638" spans="1:35" x14ac:dyDescent="0.35">
      <c r="A638" t="s">
        <v>192</v>
      </c>
      <c r="B638" t="s">
        <v>24</v>
      </c>
      <c r="C638" t="s">
        <v>33</v>
      </c>
      <c r="D638" t="s">
        <v>34</v>
      </c>
      <c r="E638" t="s">
        <v>309</v>
      </c>
      <c r="F638" t="s">
        <v>310</v>
      </c>
      <c r="G638" s="20" t="s">
        <v>38</v>
      </c>
      <c r="H638" s="20" t="s">
        <v>39</v>
      </c>
      <c r="I638" t="str">
        <f t="shared" si="14"/>
        <v>Apis mellifera</v>
      </c>
      <c r="J638" t="s">
        <v>70</v>
      </c>
      <c r="K638" t="s">
        <v>332</v>
      </c>
      <c r="L638" t="s">
        <v>275</v>
      </c>
      <c r="M638" t="s">
        <v>157</v>
      </c>
      <c r="N638">
        <v>568</v>
      </c>
      <c r="O638" t="s">
        <v>155</v>
      </c>
      <c r="P638" t="s">
        <v>223</v>
      </c>
      <c r="Q638" s="6">
        <v>45201</v>
      </c>
      <c r="R638">
        <v>1</v>
      </c>
      <c r="S638" t="s">
        <v>166</v>
      </c>
      <c r="T638" t="s">
        <v>72</v>
      </c>
      <c r="U638" t="s">
        <v>271</v>
      </c>
      <c r="AD638">
        <v>3</v>
      </c>
      <c r="AE638" s="7" t="s">
        <v>178</v>
      </c>
      <c r="AF638">
        <v>10</v>
      </c>
      <c r="AG638">
        <v>16</v>
      </c>
      <c r="AH638">
        <v>0</v>
      </c>
      <c r="AI638">
        <v>58</v>
      </c>
    </row>
    <row r="639" spans="1:35" x14ac:dyDescent="0.35">
      <c r="A639" t="s">
        <v>192</v>
      </c>
      <c r="B639" t="s">
        <v>24</v>
      </c>
      <c r="C639" t="s">
        <v>33</v>
      </c>
      <c r="D639" t="s">
        <v>34</v>
      </c>
      <c r="E639" t="s">
        <v>309</v>
      </c>
      <c r="F639" t="s">
        <v>310</v>
      </c>
      <c r="G639" s="20" t="s">
        <v>38</v>
      </c>
      <c r="H639" s="20" t="s">
        <v>39</v>
      </c>
      <c r="I639" t="str">
        <f t="shared" si="14"/>
        <v>Apis mellifera</v>
      </c>
      <c r="J639" t="s">
        <v>70</v>
      </c>
      <c r="K639" t="s">
        <v>332</v>
      </c>
      <c r="L639" t="s">
        <v>275</v>
      </c>
      <c r="M639" t="s">
        <v>157</v>
      </c>
      <c r="N639">
        <v>569</v>
      </c>
      <c r="O639" t="s">
        <v>155</v>
      </c>
      <c r="P639" t="s">
        <v>223</v>
      </c>
      <c r="Q639" s="6">
        <v>45201</v>
      </c>
      <c r="R639">
        <v>1</v>
      </c>
      <c r="S639" t="s">
        <v>166</v>
      </c>
      <c r="T639" t="s">
        <v>72</v>
      </c>
      <c r="U639" t="s">
        <v>271</v>
      </c>
      <c r="AD639">
        <v>2</v>
      </c>
      <c r="AE639" s="7"/>
      <c r="AF639">
        <v>10</v>
      </c>
      <c r="AG639">
        <v>16</v>
      </c>
      <c r="AH639">
        <v>0</v>
      </c>
      <c r="AI639">
        <v>59</v>
      </c>
    </row>
    <row r="640" spans="1:35" x14ac:dyDescent="0.35">
      <c r="A640" t="s">
        <v>192</v>
      </c>
      <c r="B640" t="s">
        <v>24</v>
      </c>
      <c r="C640" t="s">
        <v>33</v>
      </c>
      <c r="D640" t="s">
        <v>34</v>
      </c>
      <c r="E640" t="s">
        <v>309</v>
      </c>
      <c r="F640" t="s">
        <v>310</v>
      </c>
      <c r="G640" s="20" t="s">
        <v>38</v>
      </c>
      <c r="H640" s="20" t="s">
        <v>39</v>
      </c>
      <c r="I640" t="str">
        <f t="shared" si="14"/>
        <v>Apis mellifera</v>
      </c>
      <c r="J640" t="s">
        <v>70</v>
      </c>
      <c r="K640" t="s">
        <v>332</v>
      </c>
      <c r="L640" t="s">
        <v>275</v>
      </c>
      <c r="M640" t="s">
        <v>157</v>
      </c>
      <c r="N640">
        <v>570</v>
      </c>
      <c r="O640" t="s">
        <v>155</v>
      </c>
      <c r="P640" t="s">
        <v>223</v>
      </c>
      <c r="Q640" s="6">
        <v>45201</v>
      </c>
      <c r="R640">
        <v>0</v>
      </c>
      <c r="S640" t="s">
        <v>166</v>
      </c>
      <c r="T640" t="s">
        <v>72</v>
      </c>
      <c r="U640" t="s">
        <v>271</v>
      </c>
      <c r="AD640">
        <v>1</v>
      </c>
      <c r="AE640" s="7" t="s">
        <v>177</v>
      </c>
      <c r="AF640">
        <v>10</v>
      </c>
      <c r="AG640">
        <v>16</v>
      </c>
      <c r="AH640">
        <v>0</v>
      </c>
      <c r="AI640">
        <v>60</v>
      </c>
    </row>
    <row r="641" spans="1:35" x14ac:dyDescent="0.35">
      <c r="A641" t="s">
        <v>192</v>
      </c>
      <c r="B641" t="s">
        <v>24</v>
      </c>
      <c r="C641" t="s">
        <v>33</v>
      </c>
      <c r="D641" t="s">
        <v>34</v>
      </c>
      <c r="E641" t="s">
        <v>309</v>
      </c>
      <c r="F641" t="s">
        <v>310</v>
      </c>
      <c r="G641" s="20" t="s">
        <v>38</v>
      </c>
      <c r="H641" s="20" t="s">
        <v>39</v>
      </c>
      <c r="I641" t="str">
        <f t="shared" si="14"/>
        <v>Apis mellifera</v>
      </c>
      <c r="J641" t="s">
        <v>70</v>
      </c>
      <c r="K641" t="s">
        <v>332</v>
      </c>
      <c r="L641" t="s">
        <v>275</v>
      </c>
      <c r="M641" t="s">
        <v>157</v>
      </c>
      <c r="N641">
        <v>571</v>
      </c>
      <c r="O641" t="s">
        <v>155</v>
      </c>
      <c r="P641" t="s">
        <v>223</v>
      </c>
      <c r="Q641" s="6">
        <v>45201</v>
      </c>
      <c r="R641">
        <v>1</v>
      </c>
      <c r="S641" t="s">
        <v>166</v>
      </c>
      <c r="T641" t="s">
        <v>72</v>
      </c>
      <c r="U641" t="s">
        <v>271</v>
      </c>
      <c r="AD641">
        <v>2</v>
      </c>
      <c r="AE641" s="7" t="s">
        <v>178</v>
      </c>
      <c r="AF641">
        <v>10</v>
      </c>
      <c r="AG641">
        <v>16</v>
      </c>
      <c r="AH641">
        <v>0</v>
      </c>
      <c r="AI641">
        <v>61</v>
      </c>
    </row>
    <row r="642" spans="1:35" x14ac:dyDescent="0.35">
      <c r="A642" t="s">
        <v>192</v>
      </c>
      <c r="B642" t="s">
        <v>24</v>
      </c>
      <c r="C642" t="s">
        <v>33</v>
      </c>
      <c r="D642" t="s">
        <v>34</v>
      </c>
      <c r="E642" t="s">
        <v>309</v>
      </c>
      <c r="F642" t="s">
        <v>310</v>
      </c>
      <c r="G642" s="20" t="s">
        <v>38</v>
      </c>
      <c r="H642" s="20" t="s">
        <v>39</v>
      </c>
      <c r="I642" t="str">
        <f t="shared" si="14"/>
        <v>Apis mellifera</v>
      </c>
      <c r="J642" t="s">
        <v>70</v>
      </c>
      <c r="K642" t="s">
        <v>332</v>
      </c>
      <c r="L642" t="s">
        <v>275</v>
      </c>
      <c r="M642" t="s">
        <v>157</v>
      </c>
      <c r="N642">
        <v>572</v>
      </c>
      <c r="O642" t="s">
        <v>155</v>
      </c>
      <c r="P642" t="s">
        <v>223</v>
      </c>
      <c r="Q642" s="6">
        <v>45201</v>
      </c>
      <c r="R642">
        <v>1</v>
      </c>
      <c r="S642" t="s">
        <v>166</v>
      </c>
      <c r="T642" t="s">
        <v>72</v>
      </c>
      <c r="U642" t="s">
        <v>271</v>
      </c>
      <c r="AD642">
        <v>2</v>
      </c>
      <c r="AE642" s="7" t="s">
        <v>178</v>
      </c>
      <c r="AF642">
        <v>10</v>
      </c>
      <c r="AG642">
        <v>16</v>
      </c>
      <c r="AH642">
        <v>0</v>
      </c>
      <c r="AI642">
        <v>62</v>
      </c>
    </row>
    <row r="643" spans="1:35" x14ac:dyDescent="0.35">
      <c r="A643" t="s">
        <v>192</v>
      </c>
      <c r="B643" t="s">
        <v>24</v>
      </c>
      <c r="C643" t="s">
        <v>33</v>
      </c>
      <c r="D643" t="s">
        <v>34</v>
      </c>
      <c r="E643" t="s">
        <v>309</v>
      </c>
      <c r="F643" t="s">
        <v>310</v>
      </c>
      <c r="G643" s="20" t="s">
        <v>38</v>
      </c>
      <c r="H643" s="20" t="s">
        <v>39</v>
      </c>
      <c r="I643" t="str">
        <f t="shared" si="14"/>
        <v>Apis mellifera</v>
      </c>
      <c r="J643" t="s">
        <v>70</v>
      </c>
      <c r="K643" t="s">
        <v>332</v>
      </c>
      <c r="L643" t="s">
        <v>275</v>
      </c>
      <c r="M643" t="s">
        <v>157</v>
      </c>
      <c r="N643">
        <v>573</v>
      </c>
      <c r="O643" t="s">
        <v>155</v>
      </c>
      <c r="P643" t="s">
        <v>223</v>
      </c>
      <c r="Q643" s="6">
        <v>45201</v>
      </c>
      <c r="R643">
        <v>1</v>
      </c>
      <c r="S643" t="s">
        <v>166</v>
      </c>
      <c r="T643" t="s">
        <v>72</v>
      </c>
      <c r="U643" t="s">
        <v>271</v>
      </c>
      <c r="AD643">
        <v>2</v>
      </c>
      <c r="AE643" s="7" t="s">
        <v>180</v>
      </c>
      <c r="AF643">
        <v>10</v>
      </c>
      <c r="AG643">
        <v>16</v>
      </c>
      <c r="AH643">
        <v>0</v>
      </c>
      <c r="AI643">
        <v>63</v>
      </c>
    </row>
    <row r="644" spans="1:35" x14ac:dyDescent="0.35">
      <c r="A644" t="s">
        <v>192</v>
      </c>
      <c r="B644" t="s">
        <v>24</v>
      </c>
      <c r="C644" t="s">
        <v>33</v>
      </c>
      <c r="D644" t="s">
        <v>34</v>
      </c>
      <c r="E644" t="s">
        <v>309</v>
      </c>
      <c r="F644" t="s">
        <v>310</v>
      </c>
      <c r="G644" s="20" t="s">
        <v>38</v>
      </c>
      <c r="H644" s="20" t="s">
        <v>39</v>
      </c>
      <c r="I644" t="str">
        <f t="shared" si="14"/>
        <v>Apis mellifera</v>
      </c>
      <c r="J644" t="s">
        <v>70</v>
      </c>
      <c r="K644" t="s">
        <v>332</v>
      </c>
      <c r="L644" t="s">
        <v>275</v>
      </c>
      <c r="M644" t="s">
        <v>157</v>
      </c>
      <c r="N644">
        <v>574</v>
      </c>
      <c r="O644" t="s">
        <v>155</v>
      </c>
      <c r="P644" t="s">
        <v>223</v>
      </c>
      <c r="Q644" s="6">
        <v>45201</v>
      </c>
      <c r="R644">
        <v>0</v>
      </c>
      <c r="S644" t="s">
        <v>166</v>
      </c>
      <c r="T644" t="s">
        <v>72</v>
      </c>
      <c r="U644" t="s">
        <v>271</v>
      </c>
      <c r="AD644">
        <v>3</v>
      </c>
      <c r="AE644" s="7" t="s">
        <v>180</v>
      </c>
      <c r="AF644">
        <v>10</v>
      </c>
      <c r="AG644">
        <v>16</v>
      </c>
      <c r="AH644">
        <v>0</v>
      </c>
      <c r="AI644">
        <v>64</v>
      </c>
    </row>
    <row r="645" spans="1:35" x14ac:dyDescent="0.35">
      <c r="A645" t="s">
        <v>192</v>
      </c>
      <c r="B645" t="s">
        <v>24</v>
      </c>
      <c r="C645" t="s">
        <v>33</v>
      </c>
      <c r="D645" t="s">
        <v>34</v>
      </c>
      <c r="E645" t="s">
        <v>309</v>
      </c>
      <c r="F645" t="s">
        <v>310</v>
      </c>
      <c r="G645" s="20" t="s">
        <v>38</v>
      </c>
      <c r="H645" s="20" t="s">
        <v>39</v>
      </c>
      <c r="I645" t="str">
        <f t="shared" si="14"/>
        <v>Apis mellifera</v>
      </c>
      <c r="J645" t="s">
        <v>70</v>
      </c>
      <c r="K645" t="s">
        <v>332</v>
      </c>
      <c r="L645" t="s">
        <v>275</v>
      </c>
      <c r="M645" t="s">
        <v>157</v>
      </c>
      <c r="N645">
        <v>575</v>
      </c>
      <c r="O645" t="s">
        <v>155</v>
      </c>
      <c r="P645" t="s">
        <v>223</v>
      </c>
      <c r="Q645" s="6">
        <v>45201</v>
      </c>
      <c r="R645">
        <v>1</v>
      </c>
      <c r="S645" t="s">
        <v>166</v>
      </c>
      <c r="T645" t="s">
        <v>72</v>
      </c>
      <c r="U645" t="s">
        <v>271</v>
      </c>
      <c r="AD645">
        <v>1</v>
      </c>
      <c r="AE645" s="7" t="s">
        <v>178</v>
      </c>
      <c r="AF645">
        <v>10</v>
      </c>
      <c r="AG645">
        <v>16</v>
      </c>
      <c r="AH645">
        <v>0</v>
      </c>
      <c r="AI645">
        <v>65</v>
      </c>
    </row>
    <row r="646" spans="1:35" x14ac:dyDescent="0.35">
      <c r="A646" t="s">
        <v>192</v>
      </c>
      <c r="B646" t="s">
        <v>24</v>
      </c>
      <c r="C646" t="s">
        <v>33</v>
      </c>
      <c r="D646" t="s">
        <v>34</v>
      </c>
      <c r="E646" t="s">
        <v>309</v>
      </c>
      <c r="F646" t="s">
        <v>310</v>
      </c>
      <c r="G646" s="20" t="s">
        <v>38</v>
      </c>
      <c r="H646" s="20" t="s">
        <v>39</v>
      </c>
      <c r="I646" t="str">
        <f t="shared" si="14"/>
        <v>Apis mellifera</v>
      </c>
      <c r="J646" t="s">
        <v>70</v>
      </c>
      <c r="K646" t="s">
        <v>332</v>
      </c>
      <c r="L646" t="s">
        <v>275</v>
      </c>
      <c r="M646" t="s">
        <v>157</v>
      </c>
      <c r="N646">
        <v>576</v>
      </c>
      <c r="O646" t="s">
        <v>155</v>
      </c>
      <c r="P646" t="s">
        <v>223</v>
      </c>
      <c r="Q646" s="6">
        <v>45201</v>
      </c>
      <c r="R646">
        <v>1</v>
      </c>
      <c r="S646" t="s">
        <v>166</v>
      </c>
      <c r="T646" t="s">
        <v>72</v>
      </c>
      <c r="U646" t="s">
        <v>271</v>
      </c>
      <c r="AD646">
        <v>4</v>
      </c>
      <c r="AE646" s="7" t="s">
        <v>180</v>
      </c>
      <c r="AF646">
        <v>10</v>
      </c>
      <c r="AG646">
        <v>16</v>
      </c>
      <c r="AH646">
        <v>0</v>
      </c>
      <c r="AI646">
        <v>66</v>
      </c>
    </row>
    <row r="647" spans="1:35" x14ac:dyDescent="0.35">
      <c r="A647" t="s">
        <v>192</v>
      </c>
      <c r="B647" t="s">
        <v>24</v>
      </c>
      <c r="C647" t="s">
        <v>33</v>
      </c>
      <c r="D647" t="s">
        <v>34</v>
      </c>
      <c r="E647" t="s">
        <v>309</v>
      </c>
      <c r="F647" t="s">
        <v>310</v>
      </c>
      <c r="G647" s="20" t="s">
        <v>38</v>
      </c>
      <c r="H647" s="20" t="s">
        <v>39</v>
      </c>
      <c r="I647" t="str">
        <f t="shared" si="14"/>
        <v>Apis mellifera</v>
      </c>
      <c r="J647" t="s">
        <v>70</v>
      </c>
      <c r="K647" t="s">
        <v>332</v>
      </c>
      <c r="L647" t="s">
        <v>275</v>
      </c>
      <c r="M647" t="s">
        <v>157</v>
      </c>
      <c r="N647">
        <v>577</v>
      </c>
      <c r="O647" t="s">
        <v>155</v>
      </c>
      <c r="P647" t="s">
        <v>223</v>
      </c>
      <c r="Q647" s="6">
        <v>45201</v>
      </c>
      <c r="R647">
        <v>1</v>
      </c>
      <c r="S647" t="s">
        <v>166</v>
      </c>
      <c r="T647" t="s">
        <v>72</v>
      </c>
      <c r="U647" t="s">
        <v>271</v>
      </c>
      <c r="AD647">
        <v>1</v>
      </c>
      <c r="AE647" s="7" t="s">
        <v>178</v>
      </c>
      <c r="AF647">
        <v>10</v>
      </c>
      <c r="AG647">
        <v>16</v>
      </c>
      <c r="AH647">
        <v>0</v>
      </c>
      <c r="AI647">
        <v>67</v>
      </c>
    </row>
    <row r="648" spans="1:35" x14ac:dyDescent="0.35">
      <c r="A648" t="s">
        <v>192</v>
      </c>
      <c r="B648" t="s">
        <v>24</v>
      </c>
      <c r="C648" t="s">
        <v>33</v>
      </c>
      <c r="D648" t="s">
        <v>34</v>
      </c>
      <c r="E648" t="s">
        <v>309</v>
      </c>
      <c r="F648" t="s">
        <v>310</v>
      </c>
      <c r="G648" s="20" t="s">
        <v>38</v>
      </c>
      <c r="H648" s="20" t="s">
        <v>39</v>
      </c>
      <c r="I648" t="str">
        <f t="shared" si="14"/>
        <v>Apis mellifera</v>
      </c>
      <c r="J648" t="s">
        <v>70</v>
      </c>
      <c r="K648" t="s">
        <v>332</v>
      </c>
      <c r="L648" t="s">
        <v>275</v>
      </c>
      <c r="M648" t="s">
        <v>157</v>
      </c>
      <c r="N648">
        <v>578</v>
      </c>
      <c r="O648" t="s">
        <v>155</v>
      </c>
      <c r="P648" t="s">
        <v>223</v>
      </c>
      <c r="Q648" s="6">
        <v>45201</v>
      </c>
      <c r="R648">
        <v>1</v>
      </c>
      <c r="U648" t="s">
        <v>225</v>
      </c>
      <c r="AD648">
        <v>1</v>
      </c>
      <c r="AE648" s="7" t="s">
        <v>178</v>
      </c>
      <c r="AF648">
        <v>9</v>
      </c>
      <c r="AG648">
        <v>22</v>
      </c>
      <c r="AH648">
        <v>0</v>
      </c>
      <c r="AI648">
        <v>68</v>
      </c>
    </row>
    <row r="649" spans="1:35" x14ac:dyDescent="0.35">
      <c r="A649" t="s">
        <v>192</v>
      </c>
      <c r="B649" t="s">
        <v>24</v>
      </c>
      <c r="C649" t="s">
        <v>33</v>
      </c>
      <c r="D649" t="s">
        <v>34</v>
      </c>
      <c r="E649" t="s">
        <v>309</v>
      </c>
      <c r="F649" t="s">
        <v>310</v>
      </c>
      <c r="G649" s="20" t="s">
        <v>38</v>
      </c>
      <c r="H649" s="20" t="s">
        <v>39</v>
      </c>
      <c r="I649" t="str">
        <f t="shared" si="14"/>
        <v>Apis mellifera</v>
      </c>
      <c r="J649" t="s">
        <v>70</v>
      </c>
      <c r="K649" t="s">
        <v>332</v>
      </c>
      <c r="L649" t="s">
        <v>275</v>
      </c>
      <c r="M649" t="s">
        <v>157</v>
      </c>
      <c r="N649">
        <v>579</v>
      </c>
      <c r="O649" t="s">
        <v>155</v>
      </c>
      <c r="P649" t="s">
        <v>223</v>
      </c>
      <c r="Q649" s="6">
        <v>45201</v>
      </c>
      <c r="R649">
        <v>1</v>
      </c>
      <c r="S649" t="s">
        <v>166</v>
      </c>
      <c r="T649" t="s">
        <v>72</v>
      </c>
      <c r="U649" t="s">
        <v>271</v>
      </c>
      <c r="AD649">
        <v>1</v>
      </c>
      <c r="AE649" s="7" t="s">
        <v>178</v>
      </c>
      <c r="AF649">
        <v>10</v>
      </c>
      <c r="AG649">
        <v>16</v>
      </c>
      <c r="AH649">
        <v>0</v>
      </c>
      <c r="AI649">
        <v>69</v>
      </c>
    </row>
    <row r="650" spans="1:35" x14ac:dyDescent="0.35">
      <c r="A650" t="s">
        <v>192</v>
      </c>
      <c r="B650" t="s">
        <v>24</v>
      </c>
      <c r="C650" t="s">
        <v>33</v>
      </c>
      <c r="D650" t="s">
        <v>34</v>
      </c>
      <c r="E650" t="s">
        <v>309</v>
      </c>
      <c r="F650" t="s">
        <v>310</v>
      </c>
      <c r="G650" s="20" t="s">
        <v>38</v>
      </c>
      <c r="H650" s="20" t="s">
        <v>39</v>
      </c>
      <c r="I650" t="str">
        <f t="shared" si="14"/>
        <v>Apis mellifera</v>
      </c>
      <c r="J650" t="s">
        <v>70</v>
      </c>
      <c r="K650" t="s">
        <v>332</v>
      </c>
      <c r="L650" t="s">
        <v>275</v>
      </c>
      <c r="M650" t="s">
        <v>157</v>
      </c>
      <c r="N650">
        <v>580</v>
      </c>
      <c r="O650" t="s">
        <v>155</v>
      </c>
      <c r="P650" t="s">
        <v>223</v>
      </c>
      <c r="Q650" s="6">
        <v>45201</v>
      </c>
      <c r="R650">
        <v>1</v>
      </c>
      <c r="S650" t="s">
        <v>166</v>
      </c>
      <c r="T650" t="s">
        <v>72</v>
      </c>
      <c r="U650" t="s">
        <v>271</v>
      </c>
      <c r="AD650">
        <v>3</v>
      </c>
      <c r="AE650" s="7" t="s">
        <v>178</v>
      </c>
      <c r="AF650">
        <v>9</v>
      </c>
      <c r="AG650">
        <v>15</v>
      </c>
      <c r="AH650">
        <v>0</v>
      </c>
      <c r="AI650">
        <v>70</v>
      </c>
    </row>
    <row r="651" spans="1:35" x14ac:dyDescent="0.35">
      <c r="A651" t="s">
        <v>192</v>
      </c>
      <c r="B651" t="s">
        <v>24</v>
      </c>
      <c r="C651" t="s">
        <v>33</v>
      </c>
      <c r="D651" t="s">
        <v>34</v>
      </c>
      <c r="E651" t="s">
        <v>309</v>
      </c>
      <c r="F651" t="s">
        <v>310</v>
      </c>
      <c r="G651" s="20" t="s">
        <v>38</v>
      </c>
      <c r="H651" s="20" t="s">
        <v>39</v>
      </c>
      <c r="I651" t="str">
        <f t="shared" si="14"/>
        <v>Apis mellifera</v>
      </c>
      <c r="J651" t="s">
        <v>70</v>
      </c>
      <c r="K651" t="s">
        <v>332</v>
      </c>
      <c r="L651" t="s">
        <v>275</v>
      </c>
      <c r="M651" t="s">
        <v>157</v>
      </c>
      <c r="N651">
        <v>581</v>
      </c>
      <c r="O651" t="s">
        <v>155</v>
      </c>
      <c r="P651" t="s">
        <v>223</v>
      </c>
      <c r="Q651" s="6">
        <v>45210</v>
      </c>
      <c r="R651">
        <v>1</v>
      </c>
      <c r="U651" t="s">
        <v>225</v>
      </c>
      <c r="AD651">
        <v>3</v>
      </c>
      <c r="AE651" s="7" t="s">
        <v>178</v>
      </c>
      <c r="AF651">
        <v>17</v>
      </c>
      <c r="AG651">
        <v>14</v>
      </c>
      <c r="AH651">
        <v>9</v>
      </c>
      <c r="AI651">
        <v>189</v>
      </c>
    </row>
    <row r="652" spans="1:35" x14ac:dyDescent="0.35">
      <c r="A652" t="s">
        <v>192</v>
      </c>
      <c r="B652" t="s">
        <v>24</v>
      </c>
      <c r="C652" t="s">
        <v>33</v>
      </c>
      <c r="D652" t="s">
        <v>34</v>
      </c>
      <c r="E652" t="s">
        <v>309</v>
      </c>
      <c r="F652" t="s">
        <v>310</v>
      </c>
      <c r="G652" s="20" t="s">
        <v>38</v>
      </c>
      <c r="H652" s="20" t="s">
        <v>39</v>
      </c>
      <c r="I652" t="str">
        <f t="shared" si="14"/>
        <v>Apis mellifera</v>
      </c>
      <c r="J652" t="s">
        <v>70</v>
      </c>
      <c r="K652" t="s">
        <v>332</v>
      </c>
      <c r="L652" t="s">
        <v>275</v>
      </c>
      <c r="M652" t="s">
        <v>157</v>
      </c>
      <c r="N652">
        <v>582</v>
      </c>
      <c r="O652" t="s">
        <v>155</v>
      </c>
      <c r="P652" t="s">
        <v>223</v>
      </c>
      <c r="Q652" s="6">
        <v>45210</v>
      </c>
      <c r="R652">
        <v>1</v>
      </c>
      <c r="U652" t="s">
        <v>225</v>
      </c>
      <c r="AD652">
        <v>3</v>
      </c>
      <c r="AE652" s="7" t="s">
        <v>177</v>
      </c>
      <c r="AF652">
        <v>17</v>
      </c>
      <c r="AG652">
        <v>14</v>
      </c>
      <c r="AH652">
        <v>9</v>
      </c>
      <c r="AI652">
        <v>190</v>
      </c>
    </row>
    <row r="653" spans="1:35" x14ac:dyDescent="0.35">
      <c r="A653" t="s">
        <v>192</v>
      </c>
      <c r="B653" t="s">
        <v>24</v>
      </c>
      <c r="C653" t="s">
        <v>33</v>
      </c>
      <c r="D653" t="s">
        <v>34</v>
      </c>
      <c r="E653" t="s">
        <v>309</v>
      </c>
      <c r="F653" t="s">
        <v>310</v>
      </c>
      <c r="G653" s="20" t="s">
        <v>38</v>
      </c>
      <c r="H653" s="20" t="s">
        <v>39</v>
      </c>
      <c r="I653" t="str">
        <f t="shared" si="14"/>
        <v>Apis mellifera</v>
      </c>
      <c r="J653" t="s">
        <v>70</v>
      </c>
      <c r="K653" t="s">
        <v>332</v>
      </c>
      <c r="L653" t="s">
        <v>275</v>
      </c>
      <c r="M653" t="s">
        <v>157</v>
      </c>
      <c r="N653">
        <v>583</v>
      </c>
      <c r="O653" t="s">
        <v>155</v>
      </c>
      <c r="P653" t="s">
        <v>223</v>
      </c>
      <c r="Q653" s="6">
        <v>45210</v>
      </c>
      <c r="R653">
        <v>1</v>
      </c>
      <c r="U653" t="s">
        <v>225</v>
      </c>
      <c r="AD653">
        <v>3</v>
      </c>
      <c r="AE653" s="7" t="s">
        <v>177</v>
      </c>
      <c r="AF653">
        <v>17</v>
      </c>
      <c r="AG653">
        <v>14</v>
      </c>
      <c r="AH653">
        <v>9</v>
      </c>
      <c r="AI653">
        <v>191</v>
      </c>
    </row>
    <row r="654" spans="1:35" x14ac:dyDescent="0.35">
      <c r="A654" t="s">
        <v>192</v>
      </c>
      <c r="B654" t="s">
        <v>24</v>
      </c>
      <c r="C654" t="s">
        <v>33</v>
      </c>
      <c r="D654" t="s">
        <v>34</v>
      </c>
      <c r="E654" t="s">
        <v>309</v>
      </c>
      <c r="F654" t="s">
        <v>310</v>
      </c>
      <c r="G654" s="20" t="s">
        <v>38</v>
      </c>
      <c r="H654" s="20" t="s">
        <v>39</v>
      </c>
      <c r="I654" t="str">
        <f t="shared" si="14"/>
        <v>Apis mellifera</v>
      </c>
      <c r="J654" t="s">
        <v>70</v>
      </c>
      <c r="K654" t="s">
        <v>332</v>
      </c>
      <c r="L654" t="s">
        <v>275</v>
      </c>
      <c r="M654" t="s">
        <v>157</v>
      </c>
      <c r="N654">
        <v>584</v>
      </c>
      <c r="O654" t="s">
        <v>155</v>
      </c>
      <c r="P654" t="s">
        <v>223</v>
      </c>
      <c r="Q654" s="6">
        <v>45210</v>
      </c>
      <c r="R654">
        <v>0</v>
      </c>
      <c r="U654" t="s">
        <v>225</v>
      </c>
      <c r="AD654">
        <v>4</v>
      </c>
      <c r="AE654" s="7" t="s">
        <v>177</v>
      </c>
      <c r="AF654">
        <v>17</v>
      </c>
      <c r="AG654">
        <v>14</v>
      </c>
      <c r="AH654">
        <v>9</v>
      </c>
      <c r="AI654">
        <v>192</v>
      </c>
    </row>
    <row r="655" spans="1:35" x14ac:dyDescent="0.35">
      <c r="A655" t="s">
        <v>192</v>
      </c>
      <c r="B655" t="s">
        <v>24</v>
      </c>
      <c r="C655" t="s">
        <v>33</v>
      </c>
      <c r="D655" t="s">
        <v>34</v>
      </c>
      <c r="E655" t="s">
        <v>309</v>
      </c>
      <c r="F655" t="s">
        <v>310</v>
      </c>
      <c r="G655" s="20" t="s">
        <v>38</v>
      </c>
      <c r="H655" s="20" t="s">
        <v>39</v>
      </c>
      <c r="I655" t="str">
        <f t="shared" si="14"/>
        <v>Apis mellifera</v>
      </c>
      <c r="J655" t="s">
        <v>70</v>
      </c>
      <c r="K655" t="s">
        <v>332</v>
      </c>
      <c r="L655" t="s">
        <v>275</v>
      </c>
      <c r="M655" t="s">
        <v>157</v>
      </c>
      <c r="N655">
        <v>585</v>
      </c>
      <c r="O655" t="s">
        <v>155</v>
      </c>
      <c r="P655" t="s">
        <v>223</v>
      </c>
      <c r="Q655" s="6">
        <v>45210</v>
      </c>
      <c r="R655">
        <v>1</v>
      </c>
      <c r="U655" t="s">
        <v>225</v>
      </c>
      <c r="AD655">
        <v>1</v>
      </c>
      <c r="AE655" s="7" t="s">
        <v>178</v>
      </c>
      <c r="AF655">
        <v>17</v>
      </c>
      <c r="AG655">
        <v>14</v>
      </c>
      <c r="AH655">
        <v>9</v>
      </c>
      <c r="AI655">
        <v>193</v>
      </c>
    </row>
    <row r="656" spans="1:35" x14ac:dyDescent="0.35">
      <c r="A656" t="s">
        <v>192</v>
      </c>
      <c r="B656" t="s">
        <v>24</v>
      </c>
      <c r="C656" t="s">
        <v>33</v>
      </c>
      <c r="D656" t="s">
        <v>34</v>
      </c>
      <c r="E656" t="s">
        <v>309</v>
      </c>
      <c r="F656" t="s">
        <v>310</v>
      </c>
      <c r="G656" s="20" t="s">
        <v>38</v>
      </c>
      <c r="H656" s="20" t="s">
        <v>39</v>
      </c>
      <c r="I656" t="str">
        <f t="shared" si="14"/>
        <v>Apis mellifera</v>
      </c>
      <c r="J656" t="s">
        <v>70</v>
      </c>
      <c r="K656" t="s">
        <v>332</v>
      </c>
      <c r="L656" t="s">
        <v>275</v>
      </c>
      <c r="M656" t="s">
        <v>157</v>
      </c>
      <c r="N656">
        <v>587</v>
      </c>
      <c r="O656" t="s">
        <v>155</v>
      </c>
      <c r="P656" t="s">
        <v>223</v>
      </c>
      <c r="Q656" s="6">
        <v>45210</v>
      </c>
      <c r="R656">
        <v>0</v>
      </c>
      <c r="U656" t="s">
        <v>225</v>
      </c>
      <c r="AD656">
        <v>5</v>
      </c>
      <c r="AE656" s="7" t="s">
        <v>178</v>
      </c>
      <c r="AF656">
        <v>17</v>
      </c>
      <c r="AG656">
        <v>14</v>
      </c>
      <c r="AH656">
        <v>9</v>
      </c>
      <c r="AI656">
        <v>194</v>
      </c>
    </row>
    <row r="657" spans="1:35" x14ac:dyDescent="0.35">
      <c r="A657" t="s">
        <v>192</v>
      </c>
      <c r="B657" t="s">
        <v>24</v>
      </c>
      <c r="C657" t="s">
        <v>33</v>
      </c>
      <c r="D657" t="s">
        <v>34</v>
      </c>
      <c r="E657" t="s">
        <v>309</v>
      </c>
      <c r="F657" t="s">
        <v>310</v>
      </c>
      <c r="G657" s="20" t="s">
        <v>38</v>
      </c>
      <c r="H657" s="20" t="s">
        <v>39</v>
      </c>
      <c r="I657" t="str">
        <f t="shared" si="14"/>
        <v>Apis mellifera</v>
      </c>
      <c r="J657" t="s">
        <v>70</v>
      </c>
      <c r="K657" t="s">
        <v>332</v>
      </c>
      <c r="L657" t="s">
        <v>275</v>
      </c>
      <c r="M657" t="s">
        <v>157</v>
      </c>
      <c r="N657">
        <v>588</v>
      </c>
      <c r="O657" t="s">
        <v>155</v>
      </c>
      <c r="P657" t="s">
        <v>223</v>
      </c>
      <c r="Q657" s="6">
        <v>45210</v>
      </c>
      <c r="R657">
        <v>1</v>
      </c>
      <c r="U657" t="s">
        <v>225</v>
      </c>
      <c r="AD657">
        <v>5</v>
      </c>
      <c r="AE657" s="7" t="s">
        <v>177</v>
      </c>
      <c r="AF657">
        <v>17</v>
      </c>
      <c r="AG657">
        <v>14</v>
      </c>
      <c r="AH657">
        <v>9</v>
      </c>
      <c r="AI657">
        <v>195</v>
      </c>
    </row>
    <row r="658" spans="1:35" x14ac:dyDescent="0.35">
      <c r="A658" t="s">
        <v>192</v>
      </c>
      <c r="B658" t="s">
        <v>24</v>
      </c>
      <c r="C658" t="s">
        <v>33</v>
      </c>
      <c r="D658" t="s">
        <v>34</v>
      </c>
      <c r="E658" t="s">
        <v>309</v>
      </c>
      <c r="F658" t="s">
        <v>310</v>
      </c>
      <c r="G658" s="20" t="s">
        <v>38</v>
      </c>
      <c r="H658" s="20" t="s">
        <v>39</v>
      </c>
      <c r="I658" t="str">
        <f t="shared" si="14"/>
        <v>Apis mellifera</v>
      </c>
      <c r="J658" t="s">
        <v>70</v>
      </c>
      <c r="K658" t="s">
        <v>332</v>
      </c>
      <c r="L658" t="s">
        <v>275</v>
      </c>
      <c r="M658" t="s">
        <v>157</v>
      </c>
      <c r="N658">
        <v>589</v>
      </c>
      <c r="O658" t="s">
        <v>155</v>
      </c>
      <c r="P658" t="s">
        <v>223</v>
      </c>
      <c r="Q658" s="6">
        <v>45210</v>
      </c>
      <c r="R658">
        <v>1</v>
      </c>
      <c r="U658" t="s">
        <v>225</v>
      </c>
      <c r="AD658">
        <v>2</v>
      </c>
      <c r="AE658" s="7" t="s">
        <v>178</v>
      </c>
      <c r="AF658">
        <v>17</v>
      </c>
      <c r="AG658">
        <v>14</v>
      </c>
      <c r="AH658">
        <v>9</v>
      </c>
      <c r="AI658">
        <v>196</v>
      </c>
    </row>
    <row r="659" spans="1:35" x14ac:dyDescent="0.35">
      <c r="A659" t="s">
        <v>192</v>
      </c>
      <c r="B659" t="s">
        <v>24</v>
      </c>
      <c r="C659" t="s">
        <v>33</v>
      </c>
      <c r="D659" t="s">
        <v>34</v>
      </c>
      <c r="E659" t="s">
        <v>309</v>
      </c>
      <c r="F659" t="s">
        <v>310</v>
      </c>
      <c r="G659" s="20" t="s">
        <v>38</v>
      </c>
      <c r="H659" s="20" t="s">
        <v>39</v>
      </c>
      <c r="I659" t="str">
        <f t="shared" si="14"/>
        <v>Apis mellifera</v>
      </c>
      <c r="J659" t="s">
        <v>70</v>
      </c>
      <c r="K659" t="s">
        <v>332</v>
      </c>
      <c r="L659" t="s">
        <v>275</v>
      </c>
      <c r="M659" t="s">
        <v>157</v>
      </c>
      <c r="N659">
        <v>590</v>
      </c>
      <c r="O659" t="s">
        <v>155</v>
      </c>
      <c r="P659" t="s">
        <v>223</v>
      </c>
      <c r="Q659" s="6">
        <v>45210</v>
      </c>
      <c r="R659">
        <v>0</v>
      </c>
      <c r="U659" t="s">
        <v>225</v>
      </c>
      <c r="AD659">
        <v>1</v>
      </c>
      <c r="AE659" s="7" t="s">
        <v>177</v>
      </c>
      <c r="AF659">
        <v>17</v>
      </c>
      <c r="AG659">
        <v>14</v>
      </c>
      <c r="AH659">
        <v>9</v>
      </c>
      <c r="AI659">
        <v>197</v>
      </c>
    </row>
    <row r="660" spans="1:35" x14ac:dyDescent="0.35">
      <c r="A660" t="s">
        <v>192</v>
      </c>
      <c r="B660" t="s">
        <v>24</v>
      </c>
      <c r="C660" t="s">
        <v>33</v>
      </c>
      <c r="D660" t="s">
        <v>34</v>
      </c>
      <c r="E660" t="s">
        <v>309</v>
      </c>
      <c r="F660" t="s">
        <v>310</v>
      </c>
      <c r="G660" s="20" t="s">
        <v>38</v>
      </c>
      <c r="H660" s="20" t="s">
        <v>39</v>
      </c>
      <c r="I660" t="str">
        <f t="shared" si="14"/>
        <v>Apis mellifera</v>
      </c>
      <c r="J660" t="s">
        <v>70</v>
      </c>
      <c r="K660" t="s">
        <v>332</v>
      </c>
      <c r="L660" t="s">
        <v>275</v>
      </c>
      <c r="M660" t="s">
        <v>157</v>
      </c>
      <c r="N660">
        <v>591</v>
      </c>
      <c r="O660" t="s">
        <v>155</v>
      </c>
      <c r="P660" t="s">
        <v>223</v>
      </c>
      <c r="Q660" s="6">
        <v>45210</v>
      </c>
      <c r="R660">
        <v>0</v>
      </c>
      <c r="U660" t="s">
        <v>225</v>
      </c>
      <c r="AD660">
        <v>2</v>
      </c>
      <c r="AE660" s="7" t="s">
        <v>177</v>
      </c>
      <c r="AF660">
        <v>17</v>
      </c>
      <c r="AG660">
        <v>14</v>
      </c>
      <c r="AH660">
        <v>9</v>
      </c>
      <c r="AI660">
        <v>198</v>
      </c>
    </row>
    <row r="661" spans="1:35" x14ac:dyDescent="0.35">
      <c r="A661" t="s">
        <v>192</v>
      </c>
      <c r="B661" t="s">
        <v>24</v>
      </c>
      <c r="C661" t="s">
        <v>33</v>
      </c>
      <c r="D661" t="s">
        <v>34</v>
      </c>
      <c r="E661" t="s">
        <v>309</v>
      </c>
      <c r="F661" t="s">
        <v>310</v>
      </c>
      <c r="G661" s="20" t="s">
        <v>38</v>
      </c>
      <c r="H661" s="20" t="s">
        <v>39</v>
      </c>
      <c r="I661" t="str">
        <f t="shared" si="14"/>
        <v>Apis mellifera</v>
      </c>
      <c r="J661" t="s">
        <v>70</v>
      </c>
      <c r="K661" t="s">
        <v>332</v>
      </c>
      <c r="L661" t="s">
        <v>275</v>
      </c>
      <c r="M661" t="s">
        <v>157</v>
      </c>
      <c r="N661">
        <v>592</v>
      </c>
      <c r="O661" t="s">
        <v>155</v>
      </c>
      <c r="P661" t="s">
        <v>223</v>
      </c>
      <c r="Q661" s="6">
        <v>45201</v>
      </c>
      <c r="R661">
        <v>1</v>
      </c>
      <c r="S661" t="s">
        <v>166</v>
      </c>
      <c r="T661" t="s">
        <v>72</v>
      </c>
      <c r="U661" t="s">
        <v>271</v>
      </c>
      <c r="AD661">
        <v>3</v>
      </c>
      <c r="AE661" s="7" t="s">
        <v>178</v>
      </c>
      <c r="AF661">
        <v>9</v>
      </c>
      <c r="AG661">
        <v>15</v>
      </c>
      <c r="AH661">
        <v>0</v>
      </c>
      <c r="AI661">
        <v>71</v>
      </c>
    </row>
    <row r="662" spans="1:35" x14ac:dyDescent="0.35">
      <c r="A662" t="s">
        <v>192</v>
      </c>
      <c r="B662" t="s">
        <v>24</v>
      </c>
      <c r="C662" t="s">
        <v>33</v>
      </c>
      <c r="D662" t="s">
        <v>34</v>
      </c>
      <c r="E662" t="s">
        <v>309</v>
      </c>
      <c r="F662" t="s">
        <v>310</v>
      </c>
      <c r="G662" s="20" t="s">
        <v>38</v>
      </c>
      <c r="H662" s="20" t="s">
        <v>39</v>
      </c>
      <c r="I662" t="str">
        <f t="shared" si="14"/>
        <v>Apis mellifera</v>
      </c>
      <c r="J662" t="s">
        <v>70</v>
      </c>
      <c r="K662" t="s">
        <v>332</v>
      </c>
      <c r="L662" t="s">
        <v>275</v>
      </c>
      <c r="M662" t="s">
        <v>157</v>
      </c>
      <c r="N662">
        <v>593</v>
      </c>
      <c r="O662" t="s">
        <v>155</v>
      </c>
      <c r="P662" t="s">
        <v>223</v>
      </c>
      <c r="Q662" s="6">
        <v>45210</v>
      </c>
      <c r="R662">
        <v>1</v>
      </c>
      <c r="S662" t="s">
        <v>166</v>
      </c>
      <c r="T662" t="s">
        <v>72</v>
      </c>
      <c r="U662" t="s">
        <v>271</v>
      </c>
      <c r="AD662">
        <v>2</v>
      </c>
      <c r="AE662" s="7" t="s">
        <v>178</v>
      </c>
      <c r="AF662">
        <v>10</v>
      </c>
      <c r="AG662">
        <v>4</v>
      </c>
      <c r="AH662">
        <v>0</v>
      </c>
      <c r="AI662">
        <v>199</v>
      </c>
    </row>
    <row r="663" spans="1:35" x14ac:dyDescent="0.35">
      <c r="A663" t="s">
        <v>192</v>
      </c>
      <c r="B663" t="s">
        <v>24</v>
      </c>
      <c r="C663" t="s">
        <v>33</v>
      </c>
      <c r="D663" t="s">
        <v>34</v>
      </c>
      <c r="E663" t="s">
        <v>309</v>
      </c>
      <c r="F663" t="s">
        <v>310</v>
      </c>
      <c r="G663" s="20" t="s">
        <v>38</v>
      </c>
      <c r="H663" s="20" t="s">
        <v>39</v>
      </c>
      <c r="I663" t="str">
        <f t="shared" si="14"/>
        <v>Apis mellifera</v>
      </c>
      <c r="J663" t="s">
        <v>70</v>
      </c>
      <c r="K663" t="s">
        <v>332</v>
      </c>
      <c r="L663" t="s">
        <v>275</v>
      </c>
      <c r="M663" t="s">
        <v>157</v>
      </c>
      <c r="N663">
        <v>594</v>
      </c>
      <c r="O663" t="s">
        <v>155</v>
      </c>
      <c r="P663" t="s">
        <v>223</v>
      </c>
      <c r="Q663" s="6">
        <v>45210</v>
      </c>
      <c r="R663">
        <v>1</v>
      </c>
      <c r="S663" t="s">
        <v>166</v>
      </c>
      <c r="T663" t="s">
        <v>72</v>
      </c>
      <c r="U663" t="s">
        <v>271</v>
      </c>
      <c r="AD663">
        <v>5</v>
      </c>
      <c r="AE663" s="7" t="s">
        <v>178</v>
      </c>
      <c r="AF663">
        <v>10</v>
      </c>
      <c r="AG663">
        <v>4</v>
      </c>
      <c r="AH663">
        <v>0</v>
      </c>
      <c r="AI663">
        <v>200</v>
      </c>
    </row>
    <row r="664" spans="1:35" x14ac:dyDescent="0.35">
      <c r="A664" t="s">
        <v>192</v>
      </c>
      <c r="B664" t="s">
        <v>24</v>
      </c>
      <c r="C664" t="s">
        <v>33</v>
      </c>
      <c r="D664" t="s">
        <v>34</v>
      </c>
      <c r="E664" t="s">
        <v>309</v>
      </c>
      <c r="F664" t="s">
        <v>310</v>
      </c>
      <c r="G664" s="20" t="s">
        <v>38</v>
      </c>
      <c r="H664" s="20" t="s">
        <v>39</v>
      </c>
      <c r="I664" t="str">
        <f t="shared" si="14"/>
        <v>Apis mellifera</v>
      </c>
      <c r="J664" t="s">
        <v>70</v>
      </c>
      <c r="K664" t="s">
        <v>332</v>
      </c>
      <c r="L664" t="s">
        <v>275</v>
      </c>
      <c r="M664" t="s">
        <v>157</v>
      </c>
      <c r="N664">
        <v>595</v>
      </c>
      <c r="O664" t="s">
        <v>155</v>
      </c>
      <c r="P664" t="s">
        <v>223</v>
      </c>
      <c r="Q664" s="6">
        <v>45210</v>
      </c>
      <c r="R664">
        <v>1</v>
      </c>
      <c r="S664" t="s">
        <v>166</v>
      </c>
      <c r="T664" t="s">
        <v>72</v>
      </c>
      <c r="U664" t="s">
        <v>271</v>
      </c>
      <c r="AD664">
        <v>1</v>
      </c>
      <c r="AE664" s="7" t="s">
        <v>178</v>
      </c>
      <c r="AF664">
        <v>10</v>
      </c>
      <c r="AG664">
        <v>4</v>
      </c>
      <c r="AH664">
        <v>0</v>
      </c>
      <c r="AI664">
        <v>201</v>
      </c>
    </row>
    <row r="665" spans="1:35" x14ac:dyDescent="0.35">
      <c r="A665" t="s">
        <v>192</v>
      </c>
      <c r="B665" t="s">
        <v>24</v>
      </c>
      <c r="C665" t="s">
        <v>33</v>
      </c>
      <c r="D665" t="s">
        <v>34</v>
      </c>
      <c r="E665" t="s">
        <v>309</v>
      </c>
      <c r="F665" t="s">
        <v>310</v>
      </c>
      <c r="G665" s="20" t="s">
        <v>38</v>
      </c>
      <c r="H665" s="20" t="s">
        <v>39</v>
      </c>
      <c r="I665" t="str">
        <f t="shared" si="14"/>
        <v>Apis mellifera</v>
      </c>
      <c r="J665" t="s">
        <v>70</v>
      </c>
      <c r="K665" t="s">
        <v>332</v>
      </c>
      <c r="L665" t="s">
        <v>275</v>
      </c>
      <c r="M665" t="s">
        <v>157</v>
      </c>
      <c r="N665">
        <v>596</v>
      </c>
      <c r="O665" t="s">
        <v>155</v>
      </c>
      <c r="P665" t="s">
        <v>223</v>
      </c>
      <c r="Q665" s="6">
        <v>45210</v>
      </c>
      <c r="R665">
        <v>1</v>
      </c>
      <c r="S665" t="s">
        <v>166</v>
      </c>
      <c r="T665" t="s">
        <v>72</v>
      </c>
      <c r="U665" t="s">
        <v>271</v>
      </c>
      <c r="AD665">
        <v>2</v>
      </c>
      <c r="AE665" s="7" t="s">
        <v>178</v>
      </c>
      <c r="AF665">
        <v>10</v>
      </c>
      <c r="AG665">
        <v>4</v>
      </c>
      <c r="AH665">
        <v>0</v>
      </c>
      <c r="AI665">
        <v>202</v>
      </c>
    </row>
    <row r="666" spans="1:35" x14ac:dyDescent="0.35">
      <c r="A666" t="s">
        <v>192</v>
      </c>
      <c r="B666" t="s">
        <v>24</v>
      </c>
      <c r="C666" t="s">
        <v>33</v>
      </c>
      <c r="D666" t="s">
        <v>34</v>
      </c>
      <c r="E666" t="s">
        <v>309</v>
      </c>
      <c r="F666" t="s">
        <v>310</v>
      </c>
      <c r="G666" s="20" t="s">
        <v>38</v>
      </c>
      <c r="H666" s="20" t="s">
        <v>39</v>
      </c>
      <c r="I666" t="str">
        <f t="shared" si="14"/>
        <v>Apis mellifera</v>
      </c>
      <c r="J666" t="s">
        <v>70</v>
      </c>
      <c r="K666" t="s">
        <v>332</v>
      </c>
      <c r="L666" t="s">
        <v>275</v>
      </c>
      <c r="M666" t="s">
        <v>157</v>
      </c>
      <c r="N666">
        <v>597</v>
      </c>
      <c r="O666" t="s">
        <v>155</v>
      </c>
      <c r="P666" t="s">
        <v>223</v>
      </c>
      <c r="Q666" s="6">
        <v>45210</v>
      </c>
      <c r="R666">
        <v>1</v>
      </c>
      <c r="U666" t="s">
        <v>225</v>
      </c>
      <c r="AD666">
        <v>3</v>
      </c>
      <c r="AE666" s="7" t="s">
        <v>177</v>
      </c>
      <c r="AF666">
        <v>10</v>
      </c>
      <c r="AG666">
        <v>4</v>
      </c>
      <c r="AH666">
        <v>0</v>
      </c>
      <c r="AI666">
        <v>203</v>
      </c>
    </row>
    <row r="667" spans="1:35" x14ac:dyDescent="0.35">
      <c r="A667" t="s">
        <v>192</v>
      </c>
      <c r="B667" t="s">
        <v>24</v>
      </c>
      <c r="C667" t="s">
        <v>33</v>
      </c>
      <c r="D667" t="s">
        <v>34</v>
      </c>
      <c r="E667" t="s">
        <v>309</v>
      </c>
      <c r="F667" t="s">
        <v>310</v>
      </c>
      <c r="G667" s="20" t="s">
        <v>38</v>
      </c>
      <c r="H667" s="20" t="s">
        <v>39</v>
      </c>
      <c r="I667" t="str">
        <f t="shared" si="14"/>
        <v>Apis mellifera</v>
      </c>
      <c r="J667" t="s">
        <v>70</v>
      </c>
      <c r="K667" t="s">
        <v>332</v>
      </c>
      <c r="L667" t="s">
        <v>275</v>
      </c>
      <c r="M667" t="s">
        <v>157</v>
      </c>
      <c r="N667">
        <v>598</v>
      </c>
      <c r="O667" t="s">
        <v>155</v>
      </c>
      <c r="P667" t="s">
        <v>223</v>
      </c>
      <c r="Q667" s="6">
        <v>45210</v>
      </c>
      <c r="R667">
        <v>1</v>
      </c>
      <c r="S667" t="s">
        <v>166</v>
      </c>
      <c r="T667" t="s">
        <v>72</v>
      </c>
      <c r="U667" t="s">
        <v>271</v>
      </c>
      <c r="AD667">
        <v>2</v>
      </c>
      <c r="AE667" s="7" t="s">
        <v>178</v>
      </c>
      <c r="AF667">
        <v>10</v>
      </c>
      <c r="AG667">
        <v>4</v>
      </c>
      <c r="AH667">
        <v>0</v>
      </c>
      <c r="AI667">
        <v>204</v>
      </c>
    </row>
    <row r="668" spans="1:35" x14ac:dyDescent="0.35">
      <c r="A668" t="s">
        <v>192</v>
      </c>
      <c r="B668" t="s">
        <v>24</v>
      </c>
      <c r="C668" t="s">
        <v>33</v>
      </c>
      <c r="D668" t="s">
        <v>34</v>
      </c>
      <c r="E668" t="s">
        <v>309</v>
      </c>
      <c r="F668" t="s">
        <v>310</v>
      </c>
      <c r="G668" s="20" t="s">
        <v>38</v>
      </c>
      <c r="H668" s="20" t="s">
        <v>39</v>
      </c>
      <c r="I668" t="str">
        <f t="shared" si="14"/>
        <v>Apis mellifera</v>
      </c>
      <c r="J668" t="s">
        <v>70</v>
      </c>
      <c r="K668" t="s">
        <v>332</v>
      </c>
      <c r="L668" t="s">
        <v>275</v>
      </c>
      <c r="M668" t="s">
        <v>157</v>
      </c>
      <c r="N668">
        <v>599</v>
      </c>
      <c r="O668" t="s">
        <v>155</v>
      </c>
      <c r="P668" t="s">
        <v>223</v>
      </c>
      <c r="Q668" s="6">
        <v>45210</v>
      </c>
      <c r="R668">
        <v>1</v>
      </c>
      <c r="S668" t="s">
        <v>166</v>
      </c>
      <c r="T668" t="s">
        <v>72</v>
      </c>
      <c r="U668" t="s">
        <v>271</v>
      </c>
      <c r="AD668">
        <v>2</v>
      </c>
      <c r="AE668" s="7" t="s">
        <v>178</v>
      </c>
      <c r="AF668">
        <v>10</v>
      </c>
      <c r="AG668">
        <v>4</v>
      </c>
      <c r="AH668">
        <v>0</v>
      </c>
      <c r="AI668">
        <v>205</v>
      </c>
    </row>
    <row r="669" spans="1:35" x14ac:dyDescent="0.35">
      <c r="A669" t="s">
        <v>192</v>
      </c>
      <c r="B669" t="s">
        <v>24</v>
      </c>
      <c r="C669" t="s">
        <v>33</v>
      </c>
      <c r="D669" t="s">
        <v>34</v>
      </c>
      <c r="E669" t="s">
        <v>309</v>
      </c>
      <c r="F669" t="s">
        <v>310</v>
      </c>
      <c r="G669" s="20" t="s">
        <v>38</v>
      </c>
      <c r="H669" s="20" t="s">
        <v>39</v>
      </c>
      <c r="I669" t="str">
        <f t="shared" si="14"/>
        <v>Apis mellifera</v>
      </c>
      <c r="J669" t="s">
        <v>70</v>
      </c>
      <c r="K669" t="s">
        <v>332</v>
      </c>
      <c r="L669" t="s">
        <v>275</v>
      </c>
      <c r="M669" t="s">
        <v>157</v>
      </c>
      <c r="N669">
        <v>601</v>
      </c>
      <c r="O669" t="s">
        <v>155</v>
      </c>
      <c r="P669" t="s">
        <v>223</v>
      </c>
      <c r="Q669" s="6">
        <v>45210</v>
      </c>
      <c r="R669">
        <v>1</v>
      </c>
      <c r="S669" t="s">
        <v>166</v>
      </c>
      <c r="T669" t="s">
        <v>72</v>
      </c>
      <c r="U669" t="s">
        <v>271</v>
      </c>
      <c r="AD669">
        <v>2</v>
      </c>
      <c r="AE669" s="7" t="s">
        <v>178</v>
      </c>
      <c r="AF669">
        <v>10</v>
      </c>
      <c r="AG669">
        <v>4</v>
      </c>
      <c r="AH669">
        <v>0</v>
      </c>
      <c r="AI669">
        <v>206</v>
      </c>
    </row>
    <row r="670" spans="1:35" x14ac:dyDescent="0.35">
      <c r="A670" t="s">
        <v>192</v>
      </c>
      <c r="B670" t="s">
        <v>24</v>
      </c>
      <c r="C670" t="s">
        <v>33</v>
      </c>
      <c r="D670" t="s">
        <v>34</v>
      </c>
      <c r="E670" t="s">
        <v>309</v>
      </c>
      <c r="F670" t="s">
        <v>310</v>
      </c>
      <c r="G670" s="20" t="s">
        <v>38</v>
      </c>
      <c r="H670" s="20" t="s">
        <v>39</v>
      </c>
      <c r="I670" t="str">
        <f t="shared" si="14"/>
        <v>Apis mellifera</v>
      </c>
      <c r="J670" t="s">
        <v>70</v>
      </c>
      <c r="K670" t="s">
        <v>332</v>
      </c>
      <c r="L670" t="s">
        <v>275</v>
      </c>
      <c r="M670" t="s">
        <v>157</v>
      </c>
      <c r="N670">
        <v>602</v>
      </c>
      <c r="O670" t="s">
        <v>155</v>
      </c>
      <c r="P670" t="s">
        <v>223</v>
      </c>
      <c r="Q670" s="6">
        <v>45210</v>
      </c>
      <c r="R670">
        <v>1</v>
      </c>
      <c r="U670" t="s">
        <v>225</v>
      </c>
      <c r="AD670">
        <v>1</v>
      </c>
      <c r="AE670" s="7" t="s">
        <v>178</v>
      </c>
      <c r="AF670">
        <v>10</v>
      </c>
      <c r="AG670">
        <v>4</v>
      </c>
      <c r="AH670">
        <v>0</v>
      </c>
      <c r="AI670">
        <v>207</v>
      </c>
    </row>
    <row r="671" spans="1:35" x14ac:dyDescent="0.35">
      <c r="A671" t="s">
        <v>192</v>
      </c>
      <c r="B671" t="s">
        <v>24</v>
      </c>
      <c r="C671" t="s">
        <v>33</v>
      </c>
      <c r="D671" t="s">
        <v>34</v>
      </c>
      <c r="E671" t="s">
        <v>309</v>
      </c>
      <c r="F671" t="s">
        <v>310</v>
      </c>
      <c r="G671" s="20" t="s">
        <v>38</v>
      </c>
      <c r="H671" s="20" t="s">
        <v>39</v>
      </c>
      <c r="I671" t="str">
        <f t="shared" si="14"/>
        <v>Apis mellifera</v>
      </c>
      <c r="J671" t="s">
        <v>70</v>
      </c>
      <c r="K671" t="s">
        <v>332</v>
      </c>
      <c r="L671" t="s">
        <v>275</v>
      </c>
      <c r="M671" t="s">
        <v>157</v>
      </c>
      <c r="N671">
        <v>604</v>
      </c>
      <c r="O671" t="s">
        <v>155</v>
      </c>
      <c r="P671" t="s">
        <v>223</v>
      </c>
      <c r="Q671" s="6">
        <v>45210</v>
      </c>
      <c r="R671">
        <v>1</v>
      </c>
      <c r="S671" t="s">
        <v>166</v>
      </c>
      <c r="T671" t="s">
        <v>72</v>
      </c>
      <c r="U671" t="s">
        <v>271</v>
      </c>
      <c r="AD671">
        <v>1</v>
      </c>
      <c r="AE671" s="7" t="s">
        <v>178</v>
      </c>
      <c r="AF671">
        <v>10</v>
      </c>
      <c r="AG671">
        <v>4</v>
      </c>
      <c r="AH671">
        <v>0</v>
      </c>
      <c r="AI671">
        <v>208</v>
      </c>
    </row>
    <row r="672" spans="1:35" x14ac:dyDescent="0.35">
      <c r="A672" t="s">
        <v>192</v>
      </c>
      <c r="B672" t="s">
        <v>24</v>
      </c>
      <c r="C672" t="s">
        <v>33</v>
      </c>
      <c r="D672" t="s">
        <v>34</v>
      </c>
      <c r="E672" t="s">
        <v>309</v>
      </c>
      <c r="F672" t="s">
        <v>310</v>
      </c>
      <c r="G672" s="20" t="s">
        <v>38</v>
      </c>
      <c r="H672" s="20" t="s">
        <v>39</v>
      </c>
      <c r="I672" t="str">
        <f t="shared" si="14"/>
        <v>Apis mellifera</v>
      </c>
      <c r="J672" t="s">
        <v>70</v>
      </c>
      <c r="K672" t="s">
        <v>332</v>
      </c>
      <c r="L672" t="s">
        <v>275</v>
      </c>
      <c r="M672" t="s">
        <v>157</v>
      </c>
      <c r="N672">
        <v>605</v>
      </c>
      <c r="O672" t="s">
        <v>155</v>
      </c>
      <c r="P672" t="s">
        <v>223</v>
      </c>
      <c r="Q672" s="6">
        <v>45210</v>
      </c>
      <c r="R672">
        <v>1</v>
      </c>
      <c r="S672" t="s">
        <v>166</v>
      </c>
      <c r="T672" t="s">
        <v>72</v>
      </c>
      <c r="U672" t="s">
        <v>271</v>
      </c>
      <c r="AD672">
        <v>4</v>
      </c>
      <c r="AE672" s="7" t="s">
        <v>177</v>
      </c>
      <c r="AF672">
        <v>10</v>
      </c>
      <c r="AG672">
        <v>4</v>
      </c>
      <c r="AH672">
        <v>0</v>
      </c>
      <c r="AI672">
        <v>209</v>
      </c>
    </row>
    <row r="673" spans="1:35" x14ac:dyDescent="0.35">
      <c r="A673" t="s">
        <v>192</v>
      </c>
      <c r="B673" t="s">
        <v>24</v>
      </c>
      <c r="C673" t="s">
        <v>33</v>
      </c>
      <c r="D673" t="s">
        <v>34</v>
      </c>
      <c r="E673" t="s">
        <v>309</v>
      </c>
      <c r="F673" t="s">
        <v>310</v>
      </c>
      <c r="G673" s="20" t="s">
        <v>38</v>
      </c>
      <c r="H673" s="20" t="s">
        <v>39</v>
      </c>
      <c r="I673" t="str">
        <f t="shared" si="14"/>
        <v>Apis mellifera</v>
      </c>
      <c r="J673" t="s">
        <v>70</v>
      </c>
      <c r="K673" t="s">
        <v>332</v>
      </c>
      <c r="L673" t="s">
        <v>275</v>
      </c>
      <c r="M673" t="s">
        <v>157</v>
      </c>
      <c r="N673">
        <v>606</v>
      </c>
      <c r="O673" t="s">
        <v>155</v>
      </c>
      <c r="P673" t="s">
        <v>223</v>
      </c>
      <c r="Q673" s="6">
        <v>45210</v>
      </c>
      <c r="R673">
        <v>0</v>
      </c>
      <c r="U673" t="s">
        <v>225</v>
      </c>
      <c r="AD673">
        <v>2</v>
      </c>
      <c r="AE673" s="7" t="s">
        <v>177</v>
      </c>
      <c r="AF673">
        <v>16</v>
      </c>
      <c r="AG673">
        <v>14</v>
      </c>
      <c r="AH673">
        <v>3</v>
      </c>
      <c r="AI673">
        <v>210</v>
      </c>
    </row>
    <row r="674" spans="1:35" x14ac:dyDescent="0.35">
      <c r="A674" t="s">
        <v>192</v>
      </c>
      <c r="B674" t="s">
        <v>24</v>
      </c>
      <c r="C674" t="s">
        <v>33</v>
      </c>
      <c r="D674" t="s">
        <v>34</v>
      </c>
      <c r="E674" t="s">
        <v>309</v>
      </c>
      <c r="F674" t="s">
        <v>310</v>
      </c>
      <c r="G674" s="20" t="s">
        <v>38</v>
      </c>
      <c r="H674" s="20" t="s">
        <v>39</v>
      </c>
      <c r="I674" t="str">
        <f t="shared" si="14"/>
        <v>Apis mellifera</v>
      </c>
      <c r="J674" t="s">
        <v>70</v>
      </c>
      <c r="K674" t="s">
        <v>332</v>
      </c>
      <c r="L674" t="s">
        <v>275</v>
      </c>
      <c r="M674" t="s">
        <v>157</v>
      </c>
      <c r="N674">
        <v>607</v>
      </c>
      <c r="O674" t="s">
        <v>155</v>
      </c>
      <c r="P674" t="s">
        <v>223</v>
      </c>
      <c r="Q674" s="6">
        <v>45210</v>
      </c>
      <c r="R674">
        <v>1</v>
      </c>
      <c r="U674" t="s">
        <v>225</v>
      </c>
      <c r="AD674">
        <v>2</v>
      </c>
      <c r="AE674" s="7" t="s">
        <v>178</v>
      </c>
      <c r="AF674">
        <v>16</v>
      </c>
      <c r="AG674">
        <v>14</v>
      </c>
      <c r="AH674">
        <v>3</v>
      </c>
      <c r="AI674">
        <v>211</v>
      </c>
    </row>
    <row r="675" spans="1:35" x14ac:dyDescent="0.35">
      <c r="A675" t="s">
        <v>192</v>
      </c>
      <c r="B675" t="s">
        <v>24</v>
      </c>
      <c r="C675" t="s">
        <v>33</v>
      </c>
      <c r="D675" t="s">
        <v>34</v>
      </c>
      <c r="E675" t="s">
        <v>309</v>
      </c>
      <c r="F675" t="s">
        <v>310</v>
      </c>
      <c r="G675" s="20" t="s">
        <v>38</v>
      </c>
      <c r="H675" s="20" t="s">
        <v>39</v>
      </c>
      <c r="I675" t="str">
        <f t="shared" si="14"/>
        <v>Apis mellifera</v>
      </c>
      <c r="J675" t="s">
        <v>70</v>
      </c>
      <c r="K675" t="s">
        <v>332</v>
      </c>
      <c r="L675" t="s">
        <v>275</v>
      </c>
      <c r="M675" t="s">
        <v>157</v>
      </c>
      <c r="N675">
        <v>608</v>
      </c>
      <c r="O675" t="s">
        <v>155</v>
      </c>
      <c r="P675" t="s">
        <v>223</v>
      </c>
      <c r="Q675" s="6">
        <v>45210</v>
      </c>
      <c r="R675">
        <v>1</v>
      </c>
      <c r="U675" t="s">
        <v>225</v>
      </c>
      <c r="AD675">
        <v>5</v>
      </c>
      <c r="AE675" s="7" t="s">
        <v>178</v>
      </c>
      <c r="AF675">
        <v>16</v>
      </c>
      <c r="AG675">
        <v>14</v>
      </c>
      <c r="AH675">
        <v>3</v>
      </c>
      <c r="AI675">
        <v>212</v>
      </c>
    </row>
    <row r="676" spans="1:35" x14ac:dyDescent="0.35">
      <c r="A676" t="s">
        <v>192</v>
      </c>
      <c r="B676" t="s">
        <v>24</v>
      </c>
      <c r="C676" t="s">
        <v>33</v>
      </c>
      <c r="D676" t="s">
        <v>34</v>
      </c>
      <c r="E676" t="s">
        <v>309</v>
      </c>
      <c r="F676" t="s">
        <v>310</v>
      </c>
      <c r="G676" s="20" t="s">
        <v>38</v>
      </c>
      <c r="H676" s="20" t="s">
        <v>39</v>
      </c>
      <c r="I676" t="str">
        <f t="shared" si="14"/>
        <v>Apis mellifera</v>
      </c>
      <c r="J676" t="s">
        <v>70</v>
      </c>
      <c r="K676" t="s">
        <v>332</v>
      </c>
      <c r="L676" t="s">
        <v>275</v>
      </c>
      <c r="M676" t="s">
        <v>157</v>
      </c>
      <c r="N676">
        <v>609</v>
      </c>
      <c r="O676" t="s">
        <v>155</v>
      </c>
      <c r="P676" t="s">
        <v>223</v>
      </c>
      <c r="Q676" s="6">
        <v>45210</v>
      </c>
      <c r="R676">
        <v>1</v>
      </c>
      <c r="U676" t="s">
        <v>225</v>
      </c>
      <c r="AD676">
        <v>6</v>
      </c>
      <c r="AE676" s="7" t="s">
        <v>178</v>
      </c>
      <c r="AF676">
        <v>16</v>
      </c>
      <c r="AG676">
        <v>14</v>
      </c>
      <c r="AH676">
        <v>3</v>
      </c>
      <c r="AI676">
        <v>213</v>
      </c>
    </row>
    <row r="677" spans="1:35" x14ac:dyDescent="0.35">
      <c r="A677" t="s">
        <v>192</v>
      </c>
      <c r="B677" t="s">
        <v>24</v>
      </c>
      <c r="C677" t="s">
        <v>33</v>
      </c>
      <c r="D677" t="s">
        <v>34</v>
      </c>
      <c r="E677" t="s">
        <v>309</v>
      </c>
      <c r="F677" t="s">
        <v>310</v>
      </c>
      <c r="G677" s="20" t="s">
        <v>38</v>
      </c>
      <c r="H677" s="20" t="s">
        <v>39</v>
      </c>
      <c r="I677" t="str">
        <f t="shared" si="14"/>
        <v>Apis mellifera</v>
      </c>
      <c r="J677" t="s">
        <v>70</v>
      </c>
      <c r="K677" t="s">
        <v>332</v>
      </c>
      <c r="L677" t="s">
        <v>275</v>
      </c>
      <c r="M677" t="s">
        <v>157</v>
      </c>
      <c r="N677">
        <v>610</v>
      </c>
      <c r="O677" t="s">
        <v>155</v>
      </c>
      <c r="P677" t="s">
        <v>223</v>
      </c>
      <c r="Q677" s="6">
        <v>45210</v>
      </c>
      <c r="R677">
        <v>0</v>
      </c>
      <c r="U677" t="s">
        <v>225</v>
      </c>
      <c r="AD677">
        <v>3</v>
      </c>
      <c r="AE677" s="7" t="s">
        <v>178</v>
      </c>
      <c r="AF677">
        <v>16</v>
      </c>
      <c r="AG677">
        <v>14</v>
      </c>
      <c r="AH677">
        <v>3</v>
      </c>
      <c r="AI677">
        <v>214</v>
      </c>
    </row>
    <row r="678" spans="1:35" x14ac:dyDescent="0.35">
      <c r="A678" t="s">
        <v>192</v>
      </c>
      <c r="B678" t="s">
        <v>24</v>
      </c>
      <c r="C678" t="s">
        <v>33</v>
      </c>
      <c r="D678" t="s">
        <v>34</v>
      </c>
      <c r="E678" t="s">
        <v>309</v>
      </c>
      <c r="F678" t="s">
        <v>310</v>
      </c>
      <c r="G678" s="20" t="s">
        <v>38</v>
      </c>
      <c r="H678" s="20" t="s">
        <v>39</v>
      </c>
      <c r="I678" t="str">
        <f t="shared" ref="I678:I741" si="15">G678&amp;" "&amp;H678</f>
        <v>Apis mellifera</v>
      </c>
      <c r="J678" t="s">
        <v>70</v>
      </c>
      <c r="K678" t="s">
        <v>332</v>
      </c>
      <c r="L678" t="s">
        <v>275</v>
      </c>
      <c r="M678" t="s">
        <v>157</v>
      </c>
      <c r="N678">
        <v>611</v>
      </c>
      <c r="O678" t="s">
        <v>155</v>
      </c>
      <c r="P678" t="s">
        <v>223</v>
      </c>
      <c r="Q678" s="6">
        <v>45210</v>
      </c>
      <c r="R678">
        <v>1</v>
      </c>
      <c r="U678" t="s">
        <v>225</v>
      </c>
      <c r="AD678">
        <v>2</v>
      </c>
      <c r="AE678" s="7" t="s">
        <v>179</v>
      </c>
      <c r="AF678">
        <v>16</v>
      </c>
      <c r="AG678">
        <v>14</v>
      </c>
      <c r="AH678">
        <v>3</v>
      </c>
      <c r="AI678">
        <v>215</v>
      </c>
    </row>
    <row r="679" spans="1:35" x14ac:dyDescent="0.35">
      <c r="A679" t="s">
        <v>192</v>
      </c>
      <c r="B679" t="s">
        <v>24</v>
      </c>
      <c r="C679" t="s">
        <v>33</v>
      </c>
      <c r="D679" t="s">
        <v>34</v>
      </c>
      <c r="E679" t="s">
        <v>309</v>
      </c>
      <c r="F679" t="s">
        <v>310</v>
      </c>
      <c r="G679" s="20" t="s">
        <v>38</v>
      </c>
      <c r="H679" s="20" t="s">
        <v>39</v>
      </c>
      <c r="I679" t="str">
        <f t="shared" si="15"/>
        <v>Apis mellifera</v>
      </c>
      <c r="J679" t="s">
        <v>70</v>
      </c>
      <c r="K679" t="s">
        <v>332</v>
      </c>
      <c r="L679" t="s">
        <v>275</v>
      </c>
      <c r="M679" t="s">
        <v>157</v>
      </c>
      <c r="N679">
        <v>612</v>
      </c>
      <c r="O679" t="s">
        <v>155</v>
      </c>
      <c r="P679" t="s">
        <v>223</v>
      </c>
      <c r="Q679" s="6">
        <v>45210</v>
      </c>
      <c r="R679">
        <v>0</v>
      </c>
      <c r="U679" t="s">
        <v>225</v>
      </c>
      <c r="AD679">
        <v>1</v>
      </c>
      <c r="AE679" s="7" t="s">
        <v>178</v>
      </c>
      <c r="AF679">
        <v>16</v>
      </c>
      <c r="AG679">
        <v>14</v>
      </c>
      <c r="AH679">
        <v>3</v>
      </c>
      <c r="AI679">
        <v>216</v>
      </c>
    </row>
    <row r="680" spans="1:35" x14ac:dyDescent="0.35">
      <c r="A680" t="s">
        <v>192</v>
      </c>
      <c r="B680" t="s">
        <v>24</v>
      </c>
      <c r="C680" t="s">
        <v>33</v>
      </c>
      <c r="D680" t="s">
        <v>34</v>
      </c>
      <c r="E680" t="s">
        <v>309</v>
      </c>
      <c r="F680" t="s">
        <v>310</v>
      </c>
      <c r="G680" s="20" t="s">
        <v>38</v>
      </c>
      <c r="H680" s="20" t="s">
        <v>39</v>
      </c>
      <c r="I680" t="str">
        <f t="shared" si="15"/>
        <v>Apis mellifera</v>
      </c>
      <c r="J680" t="s">
        <v>70</v>
      </c>
      <c r="K680" t="s">
        <v>332</v>
      </c>
      <c r="L680" t="s">
        <v>275</v>
      </c>
      <c r="M680" t="s">
        <v>157</v>
      </c>
      <c r="N680">
        <v>613</v>
      </c>
      <c r="O680" t="s">
        <v>155</v>
      </c>
      <c r="P680" t="s">
        <v>223</v>
      </c>
      <c r="Q680" s="6">
        <v>45210</v>
      </c>
      <c r="R680">
        <v>0</v>
      </c>
      <c r="U680" t="s">
        <v>225</v>
      </c>
      <c r="AD680">
        <v>2</v>
      </c>
      <c r="AE680" s="7" t="s">
        <v>177</v>
      </c>
      <c r="AF680">
        <v>16</v>
      </c>
      <c r="AG680">
        <v>14</v>
      </c>
      <c r="AH680">
        <v>3</v>
      </c>
      <c r="AI680">
        <v>217</v>
      </c>
    </row>
    <row r="681" spans="1:35" x14ac:dyDescent="0.35">
      <c r="A681" t="s">
        <v>192</v>
      </c>
      <c r="B681" t="s">
        <v>24</v>
      </c>
      <c r="C681" t="s">
        <v>33</v>
      </c>
      <c r="D681" t="s">
        <v>34</v>
      </c>
      <c r="E681" t="s">
        <v>309</v>
      </c>
      <c r="F681" t="s">
        <v>310</v>
      </c>
      <c r="G681" s="20" t="s">
        <v>38</v>
      </c>
      <c r="H681" s="20" t="s">
        <v>39</v>
      </c>
      <c r="I681" t="str">
        <f t="shared" si="15"/>
        <v>Apis mellifera</v>
      </c>
      <c r="J681" t="s">
        <v>70</v>
      </c>
      <c r="K681" t="s">
        <v>332</v>
      </c>
      <c r="L681" t="s">
        <v>275</v>
      </c>
      <c r="M681" t="s">
        <v>157</v>
      </c>
      <c r="N681">
        <v>614</v>
      </c>
      <c r="O681" t="s">
        <v>155</v>
      </c>
      <c r="P681" t="s">
        <v>223</v>
      </c>
      <c r="Q681" s="6">
        <v>45210</v>
      </c>
      <c r="R681">
        <v>0</v>
      </c>
      <c r="U681" t="s">
        <v>225</v>
      </c>
      <c r="AD681">
        <v>2</v>
      </c>
      <c r="AE681" s="7" t="s">
        <v>177</v>
      </c>
      <c r="AF681">
        <v>16</v>
      </c>
      <c r="AG681">
        <v>14</v>
      </c>
      <c r="AH681">
        <v>3</v>
      </c>
      <c r="AI681">
        <v>218</v>
      </c>
    </row>
    <row r="682" spans="1:35" x14ac:dyDescent="0.35">
      <c r="A682" t="s">
        <v>192</v>
      </c>
      <c r="B682" t="s">
        <v>24</v>
      </c>
      <c r="C682" t="s">
        <v>33</v>
      </c>
      <c r="D682" t="s">
        <v>34</v>
      </c>
      <c r="E682" t="s">
        <v>309</v>
      </c>
      <c r="F682" t="s">
        <v>310</v>
      </c>
      <c r="G682" s="20" t="s">
        <v>38</v>
      </c>
      <c r="H682" s="20" t="s">
        <v>39</v>
      </c>
      <c r="I682" t="str">
        <f t="shared" si="15"/>
        <v>Apis mellifera</v>
      </c>
      <c r="J682" t="s">
        <v>70</v>
      </c>
      <c r="K682" t="s">
        <v>332</v>
      </c>
      <c r="L682" t="s">
        <v>275</v>
      </c>
      <c r="M682" t="s">
        <v>157</v>
      </c>
      <c r="N682">
        <v>615</v>
      </c>
      <c r="O682" t="s">
        <v>155</v>
      </c>
      <c r="P682" t="s">
        <v>223</v>
      </c>
      <c r="Q682" s="6">
        <v>45210</v>
      </c>
      <c r="R682">
        <v>0</v>
      </c>
      <c r="U682" t="s">
        <v>225</v>
      </c>
      <c r="AD682">
        <v>1</v>
      </c>
      <c r="AE682" s="7" t="s">
        <v>177</v>
      </c>
      <c r="AF682">
        <v>16</v>
      </c>
      <c r="AG682">
        <v>14</v>
      </c>
      <c r="AH682">
        <v>3</v>
      </c>
      <c r="AI682">
        <v>219</v>
      </c>
    </row>
    <row r="683" spans="1:35" x14ac:dyDescent="0.35">
      <c r="A683" t="s">
        <v>192</v>
      </c>
      <c r="B683" t="s">
        <v>24</v>
      </c>
      <c r="C683" t="s">
        <v>33</v>
      </c>
      <c r="D683" t="s">
        <v>34</v>
      </c>
      <c r="E683" t="s">
        <v>309</v>
      </c>
      <c r="F683" t="s">
        <v>310</v>
      </c>
      <c r="G683" s="20" t="s">
        <v>38</v>
      </c>
      <c r="H683" s="20" t="s">
        <v>39</v>
      </c>
      <c r="I683" t="str">
        <f t="shared" si="15"/>
        <v>Apis mellifera</v>
      </c>
      <c r="J683" t="s">
        <v>70</v>
      </c>
      <c r="K683" t="s">
        <v>332</v>
      </c>
      <c r="L683" t="s">
        <v>275</v>
      </c>
      <c r="M683" t="s">
        <v>157</v>
      </c>
      <c r="N683">
        <v>618</v>
      </c>
      <c r="O683" t="s">
        <v>155</v>
      </c>
      <c r="P683" t="s">
        <v>223</v>
      </c>
      <c r="Q683" s="6">
        <v>45210</v>
      </c>
      <c r="R683">
        <v>1</v>
      </c>
      <c r="S683" t="s">
        <v>166</v>
      </c>
      <c r="T683" t="s">
        <v>72</v>
      </c>
      <c r="U683" t="s">
        <v>271</v>
      </c>
      <c r="AD683">
        <v>3</v>
      </c>
      <c r="AE683" s="7" t="s">
        <v>178</v>
      </c>
      <c r="AF683">
        <v>10</v>
      </c>
      <c r="AG683">
        <v>4</v>
      </c>
      <c r="AH683">
        <v>0</v>
      </c>
      <c r="AI683">
        <v>220</v>
      </c>
    </row>
    <row r="684" spans="1:35" x14ac:dyDescent="0.35">
      <c r="A684" t="s">
        <v>192</v>
      </c>
      <c r="B684" t="s">
        <v>24</v>
      </c>
      <c r="C684" t="s">
        <v>33</v>
      </c>
      <c r="D684" t="s">
        <v>34</v>
      </c>
      <c r="E684" t="s">
        <v>309</v>
      </c>
      <c r="F684" t="s">
        <v>310</v>
      </c>
      <c r="G684" s="20" t="s">
        <v>38</v>
      </c>
      <c r="H684" s="20" t="s">
        <v>39</v>
      </c>
      <c r="I684" t="str">
        <f t="shared" si="15"/>
        <v>Apis mellifera</v>
      </c>
      <c r="J684" t="s">
        <v>70</v>
      </c>
      <c r="K684" t="s">
        <v>332</v>
      </c>
      <c r="L684" t="s">
        <v>275</v>
      </c>
      <c r="M684" t="s">
        <v>157</v>
      </c>
      <c r="N684">
        <v>619</v>
      </c>
      <c r="O684" t="s">
        <v>155</v>
      </c>
      <c r="P684" t="s">
        <v>223</v>
      </c>
      <c r="Q684" s="6">
        <v>45210</v>
      </c>
      <c r="R684">
        <v>0</v>
      </c>
      <c r="S684" t="s">
        <v>166</v>
      </c>
      <c r="T684" t="s">
        <v>72</v>
      </c>
      <c r="U684" t="s">
        <v>271</v>
      </c>
      <c r="AD684">
        <v>1</v>
      </c>
      <c r="AE684" s="7" t="s">
        <v>177</v>
      </c>
      <c r="AF684">
        <v>9</v>
      </c>
      <c r="AG684">
        <v>19</v>
      </c>
      <c r="AH684">
        <v>0</v>
      </c>
      <c r="AI684">
        <v>221</v>
      </c>
    </row>
    <row r="685" spans="1:35" x14ac:dyDescent="0.35">
      <c r="A685" t="s">
        <v>192</v>
      </c>
      <c r="B685" t="s">
        <v>24</v>
      </c>
      <c r="C685" t="s">
        <v>33</v>
      </c>
      <c r="D685" t="s">
        <v>34</v>
      </c>
      <c r="E685" t="s">
        <v>309</v>
      </c>
      <c r="F685" t="s">
        <v>310</v>
      </c>
      <c r="G685" s="20" t="s">
        <v>38</v>
      </c>
      <c r="H685" s="20" t="s">
        <v>39</v>
      </c>
      <c r="I685" t="str">
        <f t="shared" si="15"/>
        <v>Apis mellifera</v>
      </c>
      <c r="J685" t="s">
        <v>70</v>
      </c>
      <c r="K685" t="s">
        <v>332</v>
      </c>
      <c r="L685" t="s">
        <v>275</v>
      </c>
      <c r="M685" t="s">
        <v>157</v>
      </c>
      <c r="N685">
        <v>620</v>
      </c>
      <c r="O685" t="s">
        <v>155</v>
      </c>
      <c r="P685" t="s">
        <v>223</v>
      </c>
      <c r="Q685" s="6">
        <v>45210</v>
      </c>
      <c r="R685">
        <v>1</v>
      </c>
      <c r="S685" t="s">
        <v>166</v>
      </c>
      <c r="T685" t="s">
        <v>72</v>
      </c>
      <c r="U685" t="s">
        <v>271</v>
      </c>
      <c r="AD685">
        <v>1</v>
      </c>
      <c r="AE685" s="7" t="s">
        <v>178</v>
      </c>
      <c r="AF685">
        <v>9</v>
      </c>
      <c r="AG685">
        <v>19</v>
      </c>
      <c r="AH685">
        <v>0</v>
      </c>
      <c r="AI685">
        <v>222</v>
      </c>
    </row>
    <row r="686" spans="1:35" x14ac:dyDescent="0.35">
      <c r="A686" t="s">
        <v>192</v>
      </c>
      <c r="B686" t="s">
        <v>24</v>
      </c>
      <c r="C686" t="s">
        <v>33</v>
      </c>
      <c r="D686" t="s">
        <v>34</v>
      </c>
      <c r="E686" t="s">
        <v>309</v>
      </c>
      <c r="F686" t="s">
        <v>310</v>
      </c>
      <c r="G686" s="20" t="s">
        <v>38</v>
      </c>
      <c r="H686" s="20" t="s">
        <v>39</v>
      </c>
      <c r="I686" t="str">
        <f t="shared" si="15"/>
        <v>Apis mellifera</v>
      </c>
      <c r="J686" t="s">
        <v>70</v>
      </c>
      <c r="K686" t="s">
        <v>332</v>
      </c>
      <c r="L686" t="s">
        <v>275</v>
      </c>
      <c r="M686" t="s">
        <v>157</v>
      </c>
      <c r="N686">
        <v>621</v>
      </c>
      <c r="O686" t="s">
        <v>155</v>
      </c>
      <c r="P686" t="s">
        <v>223</v>
      </c>
      <c r="Q686" s="6">
        <v>45210</v>
      </c>
      <c r="R686">
        <v>1</v>
      </c>
      <c r="U686" t="s">
        <v>225</v>
      </c>
      <c r="AD686">
        <v>1</v>
      </c>
      <c r="AE686" s="7" t="s">
        <v>179</v>
      </c>
      <c r="AF686">
        <v>9</v>
      </c>
      <c r="AG686">
        <v>19</v>
      </c>
      <c r="AH686">
        <v>0</v>
      </c>
      <c r="AI686">
        <v>223</v>
      </c>
    </row>
    <row r="687" spans="1:35" x14ac:dyDescent="0.35">
      <c r="A687" t="s">
        <v>192</v>
      </c>
      <c r="B687" t="s">
        <v>24</v>
      </c>
      <c r="C687" t="s">
        <v>33</v>
      </c>
      <c r="D687" t="s">
        <v>34</v>
      </c>
      <c r="E687" t="s">
        <v>309</v>
      </c>
      <c r="F687" t="s">
        <v>310</v>
      </c>
      <c r="G687" s="20" t="s">
        <v>38</v>
      </c>
      <c r="H687" s="20" t="s">
        <v>39</v>
      </c>
      <c r="I687" t="str">
        <f t="shared" si="15"/>
        <v>Apis mellifera</v>
      </c>
      <c r="J687" t="s">
        <v>70</v>
      </c>
      <c r="K687" t="s">
        <v>332</v>
      </c>
      <c r="L687" t="s">
        <v>275</v>
      </c>
      <c r="M687" t="s">
        <v>157</v>
      </c>
      <c r="N687">
        <v>622</v>
      </c>
      <c r="O687" t="s">
        <v>155</v>
      </c>
      <c r="P687" t="s">
        <v>223</v>
      </c>
      <c r="Q687" s="6">
        <v>45210</v>
      </c>
      <c r="R687">
        <v>1</v>
      </c>
      <c r="U687" t="s">
        <v>225</v>
      </c>
      <c r="AD687">
        <v>2</v>
      </c>
      <c r="AE687" s="7" t="s">
        <v>179</v>
      </c>
      <c r="AF687">
        <v>9</v>
      </c>
      <c r="AG687">
        <v>19</v>
      </c>
      <c r="AH687">
        <v>0</v>
      </c>
      <c r="AI687">
        <v>224</v>
      </c>
    </row>
    <row r="688" spans="1:35" x14ac:dyDescent="0.35">
      <c r="A688" t="s">
        <v>192</v>
      </c>
      <c r="B688" t="s">
        <v>24</v>
      </c>
      <c r="C688" t="s">
        <v>33</v>
      </c>
      <c r="D688" t="s">
        <v>34</v>
      </c>
      <c r="E688" t="s">
        <v>309</v>
      </c>
      <c r="F688" t="s">
        <v>310</v>
      </c>
      <c r="G688" s="20" t="s">
        <v>38</v>
      </c>
      <c r="H688" s="20" t="s">
        <v>39</v>
      </c>
      <c r="I688" t="str">
        <f t="shared" si="15"/>
        <v>Apis mellifera</v>
      </c>
      <c r="J688" t="s">
        <v>70</v>
      </c>
      <c r="K688" t="s">
        <v>332</v>
      </c>
      <c r="L688" t="s">
        <v>275</v>
      </c>
      <c r="M688" t="s">
        <v>157</v>
      </c>
      <c r="N688">
        <v>623</v>
      </c>
      <c r="O688" t="s">
        <v>155</v>
      </c>
      <c r="P688" t="s">
        <v>223</v>
      </c>
      <c r="Q688" s="6">
        <v>45210</v>
      </c>
      <c r="S688" t="s">
        <v>166</v>
      </c>
      <c r="T688" t="s">
        <v>72</v>
      </c>
      <c r="U688" t="s">
        <v>271</v>
      </c>
      <c r="AD688">
        <v>2</v>
      </c>
      <c r="AE688" s="7" t="s">
        <v>179</v>
      </c>
      <c r="AF688">
        <v>9</v>
      </c>
      <c r="AG688">
        <v>19</v>
      </c>
      <c r="AH688">
        <v>0</v>
      </c>
      <c r="AI688">
        <v>225</v>
      </c>
    </row>
    <row r="689" spans="1:35" x14ac:dyDescent="0.35">
      <c r="A689" t="s">
        <v>192</v>
      </c>
      <c r="B689" t="s">
        <v>24</v>
      </c>
      <c r="C689" t="s">
        <v>33</v>
      </c>
      <c r="D689" t="s">
        <v>34</v>
      </c>
      <c r="E689" t="s">
        <v>309</v>
      </c>
      <c r="F689" t="s">
        <v>310</v>
      </c>
      <c r="G689" s="20" t="s">
        <v>38</v>
      </c>
      <c r="H689" s="20" t="s">
        <v>39</v>
      </c>
      <c r="I689" t="str">
        <f t="shared" si="15"/>
        <v>Apis mellifera</v>
      </c>
      <c r="J689" t="s">
        <v>70</v>
      </c>
      <c r="K689" t="s">
        <v>332</v>
      </c>
      <c r="L689" t="s">
        <v>275</v>
      </c>
      <c r="M689" t="s">
        <v>157</v>
      </c>
      <c r="N689">
        <v>624</v>
      </c>
      <c r="O689" t="s">
        <v>155</v>
      </c>
      <c r="P689" t="s">
        <v>223</v>
      </c>
      <c r="Q689" s="6">
        <v>45210</v>
      </c>
      <c r="R689">
        <v>1</v>
      </c>
      <c r="S689" t="s">
        <v>166</v>
      </c>
      <c r="T689" t="s">
        <v>72</v>
      </c>
      <c r="U689" t="s">
        <v>271</v>
      </c>
      <c r="AE689" s="7" t="s">
        <v>178</v>
      </c>
      <c r="AF689">
        <v>9</v>
      </c>
      <c r="AG689">
        <v>19</v>
      </c>
      <c r="AH689">
        <v>0</v>
      </c>
      <c r="AI689">
        <v>226</v>
      </c>
    </row>
    <row r="690" spans="1:35" x14ac:dyDescent="0.35">
      <c r="A690" t="s">
        <v>192</v>
      </c>
      <c r="B690" t="s">
        <v>24</v>
      </c>
      <c r="C690" t="s">
        <v>33</v>
      </c>
      <c r="D690" t="s">
        <v>34</v>
      </c>
      <c r="E690" t="s">
        <v>309</v>
      </c>
      <c r="F690" t="s">
        <v>310</v>
      </c>
      <c r="G690" s="20" t="s">
        <v>38</v>
      </c>
      <c r="H690" s="20" t="s">
        <v>39</v>
      </c>
      <c r="I690" t="str">
        <f t="shared" si="15"/>
        <v>Apis mellifera</v>
      </c>
      <c r="J690" t="s">
        <v>70</v>
      </c>
      <c r="K690" t="s">
        <v>332</v>
      </c>
      <c r="L690" t="s">
        <v>275</v>
      </c>
      <c r="M690" t="s">
        <v>157</v>
      </c>
      <c r="N690">
        <v>625</v>
      </c>
      <c r="O690" t="s">
        <v>155</v>
      </c>
      <c r="P690" t="s">
        <v>223</v>
      </c>
      <c r="Q690" s="6">
        <v>45210</v>
      </c>
      <c r="R690">
        <v>1</v>
      </c>
      <c r="S690" t="s">
        <v>166</v>
      </c>
      <c r="T690" t="s">
        <v>72</v>
      </c>
      <c r="U690" t="s">
        <v>271</v>
      </c>
      <c r="AD690">
        <v>5</v>
      </c>
      <c r="AE690" s="7" t="s">
        <v>178</v>
      </c>
      <c r="AF690">
        <v>9</v>
      </c>
      <c r="AG690">
        <v>19</v>
      </c>
      <c r="AH690">
        <v>0</v>
      </c>
      <c r="AI690">
        <v>227</v>
      </c>
    </row>
    <row r="691" spans="1:35" x14ac:dyDescent="0.35">
      <c r="A691" t="s">
        <v>192</v>
      </c>
      <c r="B691" t="s">
        <v>24</v>
      </c>
      <c r="C691" t="s">
        <v>33</v>
      </c>
      <c r="D691" t="s">
        <v>34</v>
      </c>
      <c r="E691" t="s">
        <v>309</v>
      </c>
      <c r="F691" t="s">
        <v>310</v>
      </c>
      <c r="G691" s="20" t="s">
        <v>38</v>
      </c>
      <c r="H691" s="20" t="s">
        <v>39</v>
      </c>
      <c r="I691" t="str">
        <f t="shared" si="15"/>
        <v>Apis mellifera</v>
      </c>
      <c r="J691" t="s">
        <v>70</v>
      </c>
      <c r="K691" t="s">
        <v>332</v>
      </c>
      <c r="L691" t="s">
        <v>275</v>
      </c>
      <c r="M691" t="s">
        <v>157</v>
      </c>
      <c r="N691">
        <v>626</v>
      </c>
      <c r="O691" t="s">
        <v>155</v>
      </c>
      <c r="P691" t="s">
        <v>223</v>
      </c>
      <c r="Q691" s="6">
        <v>45210</v>
      </c>
      <c r="R691">
        <v>1</v>
      </c>
      <c r="S691" t="s">
        <v>166</v>
      </c>
      <c r="T691" t="s">
        <v>72</v>
      </c>
      <c r="U691" t="s">
        <v>271</v>
      </c>
      <c r="AD691">
        <v>2</v>
      </c>
      <c r="AE691" s="7" t="s">
        <v>179</v>
      </c>
      <c r="AF691">
        <v>9</v>
      </c>
      <c r="AG691">
        <v>19</v>
      </c>
      <c r="AH691">
        <v>0</v>
      </c>
      <c r="AI691">
        <v>228</v>
      </c>
    </row>
    <row r="692" spans="1:35" x14ac:dyDescent="0.35">
      <c r="A692" t="s">
        <v>192</v>
      </c>
      <c r="B692" t="s">
        <v>24</v>
      </c>
      <c r="C692" t="s">
        <v>33</v>
      </c>
      <c r="D692" t="s">
        <v>34</v>
      </c>
      <c r="E692" t="s">
        <v>309</v>
      </c>
      <c r="F692" t="s">
        <v>310</v>
      </c>
      <c r="G692" s="20" t="s">
        <v>38</v>
      </c>
      <c r="H692" s="20" t="s">
        <v>39</v>
      </c>
      <c r="I692" t="str">
        <f t="shared" si="15"/>
        <v>Apis mellifera</v>
      </c>
      <c r="J692" t="s">
        <v>70</v>
      </c>
      <c r="K692" t="s">
        <v>332</v>
      </c>
      <c r="L692" t="s">
        <v>275</v>
      </c>
      <c r="M692" t="s">
        <v>157</v>
      </c>
      <c r="N692">
        <v>627</v>
      </c>
      <c r="O692" t="s">
        <v>155</v>
      </c>
      <c r="P692" t="s">
        <v>223</v>
      </c>
      <c r="Q692" s="6">
        <v>45210</v>
      </c>
      <c r="R692">
        <v>1</v>
      </c>
      <c r="S692" t="s">
        <v>166</v>
      </c>
      <c r="T692" t="s">
        <v>72</v>
      </c>
      <c r="U692" t="s">
        <v>271</v>
      </c>
      <c r="AD692">
        <v>4</v>
      </c>
      <c r="AE692" s="7" t="s">
        <v>177</v>
      </c>
      <c r="AF692">
        <v>9</v>
      </c>
      <c r="AG692">
        <v>19</v>
      </c>
      <c r="AH692">
        <v>0</v>
      </c>
      <c r="AI692">
        <v>229</v>
      </c>
    </row>
    <row r="693" spans="1:35" x14ac:dyDescent="0.35">
      <c r="A693" t="s">
        <v>192</v>
      </c>
      <c r="B693" t="s">
        <v>24</v>
      </c>
      <c r="C693" t="s">
        <v>33</v>
      </c>
      <c r="D693" t="s">
        <v>34</v>
      </c>
      <c r="E693" t="s">
        <v>309</v>
      </c>
      <c r="F693" t="s">
        <v>310</v>
      </c>
      <c r="G693" s="20" t="s">
        <v>38</v>
      </c>
      <c r="H693" s="20" t="s">
        <v>39</v>
      </c>
      <c r="I693" t="str">
        <f t="shared" si="15"/>
        <v>Apis mellifera</v>
      </c>
      <c r="J693" t="s">
        <v>70</v>
      </c>
      <c r="K693" t="s">
        <v>332</v>
      </c>
      <c r="L693" t="s">
        <v>275</v>
      </c>
      <c r="M693" t="s">
        <v>157</v>
      </c>
      <c r="N693">
        <v>628</v>
      </c>
      <c r="O693" t="s">
        <v>155</v>
      </c>
      <c r="P693" t="s">
        <v>223</v>
      </c>
      <c r="Q693" s="6">
        <v>45210</v>
      </c>
      <c r="R693">
        <v>1</v>
      </c>
      <c r="U693" t="s">
        <v>225</v>
      </c>
      <c r="AD693">
        <v>4</v>
      </c>
      <c r="AE693" s="7" t="s">
        <v>178</v>
      </c>
      <c r="AF693">
        <v>9</v>
      </c>
      <c r="AG693">
        <v>19</v>
      </c>
      <c r="AH693">
        <v>0</v>
      </c>
      <c r="AI693">
        <v>230</v>
      </c>
    </row>
    <row r="694" spans="1:35" x14ac:dyDescent="0.35">
      <c r="A694" t="s">
        <v>192</v>
      </c>
      <c r="B694" t="s">
        <v>24</v>
      </c>
      <c r="C694" t="s">
        <v>33</v>
      </c>
      <c r="D694" t="s">
        <v>34</v>
      </c>
      <c r="E694" t="s">
        <v>309</v>
      </c>
      <c r="F694" t="s">
        <v>310</v>
      </c>
      <c r="G694" s="20" t="s">
        <v>38</v>
      </c>
      <c r="H694" s="20" t="s">
        <v>39</v>
      </c>
      <c r="I694" t="str">
        <f t="shared" si="15"/>
        <v>Apis mellifera</v>
      </c>
      <c r="J694" t="s">
        <v>70</v>
      </c>
      <c r="K694" t="s">
        <v>332</v>
      </c>
      <c r="L694" t="s">
        <v>275</v>
      </c>
      <c r="M694" t="s">
        <v>157</v>
      </c>
      <c r="N694">
        <v>630</v>
      </c>
      <c r="O694" t="s">
        <v>155</v>
      </c>
      <c r="P694" t="s">
        <v>223</v>
      </c>
      <c r="Q694" s="6">
        <v>45210</v>
      </c>
      <c r="R694">
        <v>0</v>
      </c>
      <c r="U694" t="s">
        <v>225</v>
      </c>
      <c r="AD694">
        <v>2</v>
      </c>
      <c r="AE694" s="7" t="s">
        <v>177</v>
      </c>
      <c r="AF694">
        <v>9</v>
      </c>
      <c r="AG694">
        <v>19</v>
      </c>
      <c r="AH694">
        <v>0</v>
      </c>
      <c r="AI694">
        <v>231</v>
      </c>
    </row>
    <row r="695" spans="1:35" x14ac:dyDescent="0.35">
      <c r="A695" t="s">
        <v>192</v>
      </c>
      <c r="B695" t="s">
        <v>24</v>
      </c>
      <c r="C695" t="s">
        <v>33</v>
      </c>
      <c r="D695" t="s">
        <v>34</v>
      </c>
      <c r="E695" t="s">
        <v>309</v>
      </c>
      <c r="F695" t="s">
        <v>310</v>
      </c>
      <c r="G695" s="20" t="s">
        <v>38</v>
      </c>
      <c r="H695" s="20" t="s">
        <v>39</v>
      </c>
      <c r="I695" t="str">
        <f t="shared" si="15"/>
        <v>Apis mellifera</v>
      </c>
      <c r="J695" t="s">
        <v>70</v>
      </c>
      <c r="K695" t="s">
        <v>332</v>
      </c>
      <c r="L695" t="s">
        <v>275</v>
      </c>
      <c r="M695" t="s">
        <v>157</v>
      </c>
      <c r="N695">
        <v>631</v>
      </c>
      <c r="O695" t="s">
        <v>155</v>
      </c>
      <c r="P695" t="s">
        <v>223</v>
      </c>
      <c r="Q695" s="6">
        <v>45210</v>
      </c>
      <c r="R695">
        <v>1</v>
      </c>
      <c r="U695" t="s">
        <v>225</v>
      </c>
      <c r="AD695">
        <v>2</v>
      </c>
      <c r="AE695" s="7" t="s">
        <v>178</v>
      </c>
      <c r="AF695">
        <v>9</v>
      </c>
      <c r="AG695">
        <v>19</v>
      </c>
      <c r="AH695">
        <v>0</v>
      </c>
      <c r="AI695">
        <v>232</v>
      </c>
    </row>
    <row r="696" spans="1:35" x14ac:dyDescent="0.35">
      <c r="A696" t="s">
        <v>192</v>
      </c>
      <c r="B696" t="s">
        <v>24</v>
      </c>
      <c r="C696" t="s">
        <v>33</v>
      </c>
      <c r="D696" t="s">
        <v>34</v>
      </c>
      <c r="E696" t="s">
        <v>309</v>
      </c>
      <c r="F696" t="s">
        <v>310</v>
      </c>
      <c r="G696" s="20" t="s">
        <v>38</v>
      </c>
      <c r="H696" s="20" t="s">
        <v>39</v>
      </c>
      <c r="I696" t="str">
        <f t="shared" si="15"/>
        <v>Apis mellifera</v>
      </c>
      <c r="J696" t="s">
        <v>70</v>
      </c>
      <c r="K696" t="s">
        <v>332</v>
      </c>
      <c r="L696" t="s">
        <v>275</v>
      </c>
      <c r="M696" t="s">
        <v>157</v>
      </c>
      <c r="N696">
        <v>633</v>
      </c>
      <c r="O696" t="s">
        <v>155</v>
      </c>
      <c r="P696" t="s">
        <v>223</v>
      </c>
      <c r="Q696" s="6">
        <v>45210</v>
      </c>
      <c r="R696">
        <v>1</v>
      </c>
      <c r="U696" t="s">
        <v>225</v>
      </c>
      <c r="AD696">
        <v>3</v>
      </c>
      <c r="AE696" s="7" t="s">
        <v>179</v>
      </c>
      <c r="AF696">
        <v>16</v>
      </c>
      <c r="AG696">
        <v>19</v>
      </c>
      <c r="AH696">
        <v>0</v>
      </c>
      <c r="AI696">
        <v>233</v>
      </c>
    </row>
    <row r="697" spans="1:35" x14ac:dyDescent="0.35">
      <c r="A697" t="s">
        <v>192</v>
      </c>
      <c r="B697" t="s">
        <v>24</v>
      </c>
      <c r="C697" t="s">
        <v>33</v>
      </c>
      <c r="D697" t="s">
        <v>34</v>
      </c>
      <c r="E697" t="s">
        <v>309</v>
      </c>
      <c r="F697" t="s">
        <v>310</v>
      </c>
      <c r="G697" s="20" t="s">
        <v>38</v>
      </c>
      <c r="H697" s="20" t="s">
        <v>39</v>
      </c>
      <c r="I697" t="str">
        <f t="shared" si="15"/>
        <v>Apis mellifera</v>
      </c>
      <c r="J697" t="s">
        <v>70</v>
      </c>
      <c r="K697" t="s">
        <v>332</v>
      </c>
      <c r="L697" t="s">
        <v>275</v>
      </c>
      <c r="M697" t="s">
        <v>157</v>
      </c>
      <c r="N697">
        <v>634</v>
      </c>
      <c r="O697" t="s">
        <v>155</v>
      </c>
      <c r="P697" t="s">
        <v>223</v>
      </c>
      <c r="Q697" s="6">
        <v>45210</v>
      </c>
      <c r="R697">
        <v>1</v>
      </c>
      <c r="U697" t="s">
        <v>225</v>
      </c>
      <c r="AD697">
        <v>1</v>
      </c>
      <c r="AE697" s="7" t="s">
        <v>179</v>
      </c>
      <c r="AF697">
        <v>16</v>
      </c>
      <c r="AG697">
        <v>19</v>
      </c>
      <c r="AH697">
        <v>0</v>
      </c>
      <c r="AI697">
        <v>234</v>
      </c>
    </row>
    <row r="698" spans="1:35" x14ac:dyDescent="0.35">
      <c r="A698" t="s">
        <v>192</v>
      </c>
      <c r="B698" t="s">
        <v>24</v>
      </c>
      <c r="C698" t="s">
        <v>33</v>
      </c>
      <c r="D698" t="s">
        <v>34</v>
      </c>
      <c r="E698" t="s">
        <v>309</v>
      </c>
      <c r="F698" t="s">
        <v>310</v>
      </c>
      <c r="G698" s="20" t="s">
        <v>38</v>
      </c>
      <c r="H698" s="20" t="s">
        <v>39</v>
      </c>
      <c r="I698" t="str">
        <f t="shared" si="15"/>
        <v>Apis mellifera</v>
      </c>
      <c r="J698" t="s">
        <v>70</v>
      </c>
      <c r="K698" t="s">
        <v>332</v>
      </c>
      <c r="L698" t="s">
        <v>275</v>
      </c>
      <c r="M698" t="s">
        <v>157</v>
      </c>
      <c r="N698">
        <v>635</v>
      </c>
      <c r="O698" t="s">
        <v>155</v>
      </c>
      <c r="P698" t="s">
        <v>223</v>
      </c>
      <c r="Q698" s="6">
        <v>45210</v>
      </c>
      <c r="R698">
        <v>1</v>
      </c>
      <c r="U698" t="s">
        <v>225</v>
      </c>
      <c r="AD698">
        <v>3</v>
      </c>
      <c r="AE698" s="7" t="s">
        <v>178</v>
      </c>
      <c r="AF698">
        <v>16</v>
      </c>
      <c r="AG698">
        <v>19</v>
      </c>
      <c r="AH698">
        <v>0</v>
      </c>
      <c r="AI698">
        <v>235</v>
      </c>
    </row>
    <row r="699" spans="1:35" x14ac:dyDescent="0.35">
      <c r="A699" t="s">
        <v>192</v>
      </c>
      <c r="B699" t="s">
        <v>24</v>
      </c>
      <c r="C699" t="s">
        <v>33</v>
      </c>
      <c r="D699" t="s">
        <v>34</v>
      </c>
      <c r="E699" t="s">
        <v>309</v>
      </c>
      <c r="F699" t="s">
        <v>310</v>
      </c>
      <c r="G699" s="20" t="s">
        <v>38</v>
      </c>
      <c r="H699" s="20" t="s">
        <v>39</v>
      </c>
      <c r="I699" t="str">
        <f t="shared" si="15"/>
        <v>Apis mellifera</v>
      </c>
      <c r="J699" t="s">
        <v>70</v>
      </c>
      <c r="K699" t="s">
        <v>332</v>
      </c>
      <c r="L699" t="s">
        <v>275</v>
      </c>
      <c r="M699" t="s">
        <v>157</v>
      </c>
      <c r="N699">
        <v>636</v>
      </c>
      <c r="O699" t="s">
        <v>155</v>
      </c>
      <c r="P699" t="s">
        <v>223</v>
      </c>
      <c r="Q699" s="6">
        <v>45210</v>
      </c>
      <c r="R699">
        <v>1</v>
      </c>
      <c r="U699" t="s">
        <v>225</v>
      </c>
      <c r="AD699">
        <v>1</v>
      </c>
      <c r="AE699" s="7" t="s">
        <v>179</v>
      </c>
      <c r="AF699">
        <v>16</v>
      </c>
      <c r="AG699">
        <v>19</v>
      </c>
      <c r="AH699">
        <v>0</v>
      </c>
      <c r="AI699">
        <v>236</v>
      </c>
    </row>
    <row r="700" spans="1:35" x14ac:dyDescent="0.35">
      <c r="A700" t="s">
        <v>192</v>
      </c>
      <c r="B700" t="s">
        <v>24</v>
      </c>
      <c r="C700" t="s">
        <v>33</v>
      </c>
      <c r="D700" t="s">
        <v>34</v>
      </c>
      <c r="E700" t="s">
        <v>309</v>
      </c>
      <c r="F700" t="s">
        <v>310</v>
      </c>
      <c r="G700" s="20" t="s">
        <v>38</v>
      </c>
      <c r="H700" s="20" t="s">
        <v>39</v>
      </c>
      <c r="I700" t="str">
        <f t="shared" si="15"/>
        <v>Apis mellifera</v>
      </c>
      <c r="J700" t="s">
        <v>70</v>
      </c>
      <c r="K700" t="s">
        <v>332</v>
      </c>
      <c r="L700" t="s">
        <v>275</v>
      </c>
      <c r="M700" t="s">
        <v>157</v>
      </c>
      <c r="N700">
        <v>637</v>
      </c>
      <c r="O700" t="s">
        <v>155</v>
      </c>
      <c r="P700" t="s">
        <v>223</v>
      </c>
      <c r="Q700" s="6">
        <v>45210</v>
      </c>
      <c r="R700">
        <v>1</v>
      </c>
      <c r="U700" t="s">
        <v>225</v>
      </c>
      <c r="AD700">
        <v>1</v>
      </c>
      <c r="AE700" s="7" t="s">
        <v>180</v>
      </c>
      <c r="AF700">
        <v>16</v>
      </c>
      <c r="AG700">
        <v>19</v>
      </c>
      <c r="AH700">
        <v>0</v>
      </c>
      <c r="AI700">
        <v>237</v>
      </c>
    </row>
    <row r="701" spans="1:35" x14ac:dyDescent="0.35">
      <c r="A701" t="s">
        <v>192</v>
      </c>
      <c r="B701" t="s">
        <v>24</v>
      </c>
      <c r="C701" t="s">
        <v>33</v>
      </c>
      <c r="D701" t="s">
        <v>34</v>
      </c>
      <c r="E701" t="s">
        <v>309</v>
      </c>
      <c r="F701" t="s">
        <v>310</v>
      </c>
      <c r="G701" s="20" t="s">
        <v>38</v>
      </c>
      <c r="H701" s="20" t="s">
        <v>39</v>
      </c>
      <c r="I701" t="str">
        <f t="shared" si="15"/>
        <v>Apis mellifera</v>
      </c>
      <c r="J701" t="s">
        <v>70</v>
      </c>
      <c r="K701" t="s">
        <v>332</v>
      </c>
      <c r="L701" t="s">
        <v>275</v>
      </c>
      <c r="M701" t="s">
        <v>157</v>
      </c>
      <c r="N701">
        <v>639</v>
      </c>
      <c r="O701" t="s">
        <v>155</v>
      </c>
      <c r="P701" t="s">
        <v>223</v>
      </c>
      <c r="Q701" s="6">
        <v>45210</v>
      </c>
      <c r="R701">
        <v>1</v>
      </c>
      <c r="U701" t="s">
        <v>225</v>
      </c>
      <c r="AD701">
        <v>3</v>
      </c>
      <c r="AE701" s="7" t="s">
        <v>179</v>
      </c>
      <c r="AF701">
        <v>16</v>
      </c>
      <c r="AG701">
        <v>19</v>
      </c>
      <c r="AH701">
        <v>0</v>
      </c>
      <c r="AI701">
        <v>238</v>
      </c>
    </row>
    <row r="702" spans="1:35" x14ac:dyDescent="0.35">
      <c r="A702" t="s">
        <v>192</v>
      </c>
      <c r="B702" t="s">
        <v>24</v>
      </c>
      <c r="C702" t="s">
        <v>33</v>
      </c>
      <c r="D702" t="s">
        <v>34</v>
      </c>
      <c r="E702" t="s">
        <v>309</v>
      </c>
      <c r="F702" t="s">
        <v>310</v>
      </c>
      <c r="G702" s="20" t="s">
        <v>38</v>
      </c>
      <c r="H702" s="20" t="s">
        <v>39</v>
      </c>
      <c r="I702" t="str">
        <f t="shared" si="15"/>
        <v>Apis mellifera</v>
      </c>
      <c r="J702" t="s">
        <v>70</v>
      </c>
      <c r="K702" t="s">
        <v>332</v>
      </c>
      <c r="L702" t="s">
        <v>275</v>
      </c>
      <c r="M702" t="s">
        <v>157</v>
      </c>
      <c r="N702">
        <v>641</v>
      </c>
      <c r="O702" t="s">
        <v>155</v>
      </c>
      <c r="P702" t="s">
        <v>223</v>
      </c>
      <c r="Q702" s="6">
        <v>45210</v>
      </c>
      <c r="R702">
        <v>1</v>
      </c>
      <c r="U702" t="s">
        <v>225</v>
      </c>
      <c r="AD702">
        <v>1</v>
      </c>
      <c r="AE702" s="7" t="s">
        <v>179</v>
      </c>
      <c r="AF702">
        <v>16</v>
      </c>
      <c r="AG702">
        <v>19</v>
      </c>
      <c r="AH702">
        <v>0</v>
      </c>
      <c r="AI702">
        <v>239</v>
      </c>
    </row>
    <row r="703" spans="1:35" x14ac:dyDescent="0.35">
      <c r="A703" t="s">
        <v>192</v>
      </c>
      <c r="B703" t="s">
        <v>24</v>
      </c>
      <c r="C703" t="s">
        <v>33</v>
      </c>
      <c r="D703" t="s">
        <v>34</v>
      </c>
      <c r="E703" t="s">
        <v>309</v>
      </c>
      <c r="F703" t="s">
        <v>310</v>
      </c>
      <c r="G703" s="20" t="s">
        <v>38</v>
      </c>
      <c r="H703" s="20" t="s">
        <v>39</v>
      </c>
      <c r="I703" t="str">
        <f t="shared" si="15"/>
        <v>Apis mellifera</v>
      </c>
      <c r="J703" t="s">
        <v>70</v>
      </c>
      <c r="K703" t="s">
        <v>332</v>
      </c>
      <c r="L703" t="s">
        <v>275</v>
      </c>
      <c r="M703" t="s">
        <v>157</v>
      </c>
      <c r="N703">
        <v>643</v>
      </c>
      <c r="O703" t="s">
        <v>155</v>
      </c>
      <c r="P703" t="s">
        <v>223</v>
      </c>
      <c r="Q703" s="6">
        <v>45210</v>
      </c>
      <c r="U703" t="s">
        <v>225</v>
      </c>
      <c r="AD703">
        <v>3</v>
      </c>
      <c r="AE703" s="7" t="s">
        <v>179</v>
      </c>
      <c r="AF703">
        <v>16</v>
      </c>
      <c r="AG703">
        <v>19</v>
      </c>
      <c r="AH703">
        <v>0</v>
      </c>
      <c r="AI703">
        <v>240</v>
      </c>
    </row>
    <row r="704" spans="1:35" x14ac:dyDescent="0.35">
      <c r="A704" t="s">
        <v>192</v>
      </c>
      <c r="B704" t="s">
        <v>24</v>
      </c>
      <c r="C704" t="s">
        <v>33</v>
      </c>
      <c r="D704" t="s">
        <v>34</v>
      </c>
      <c r="E704" t="s">
        <v>309</v>
      </c>
      <c r="F704" t="s">
        <v>310</v>
      </c>
      <c r="G704" s="20" t="s">
        <v>38</v>
      </c>
      <c r="H704" s="20" t="s">
        <v>39</v>
      </c>
      <c r="I704" t="str">
        <f t="shared" si="15"/>
        <v>Apis mellifera</v>
      </c>
      <c r="J704" t="s">
        <v>70</v>
      </c>
      <c r="K704" t="s">
        <v>332</v>
      </c>
      <c r="L704" t="s">
        <v>275</v>
      </c>
      <c r="M704" t="s">
        <v>157</v>
      </c>
      <c r="N704">
        <v>644</v>
      </c>
      <c r="O704" t="s">
        <v>155</v>
      </c>
      <c r="P704" t="s">
        <v>223</v>
      </c>
      <c r="Q704" s="6">
        <v>45210</v>
      </c>
      <c r="U704" t="s">
        <v>225</v>
      </c>
      <c r="AD704">
        <v>2</v>
      </c>
      <c r="AE704" s="7" t="s">
        <v>180</v>
      </c>
      <c r="AF704">
        <v>16</v>
      </c>
      <c r="AG704">
        <v>19</v>
      </c>
      <c r="AH704">
        <v>0</v>
      </c>
      <c r="AI704">
        <v>241</v>
      </c>
    </row>
    <row r="705" spans="1:35" x14ac:dyDescent="0.35">
      <c r="A705" t="s">
        <v>192</v>
      </c>
      <c r="B705" t="s">
        <v>24</v>
      </c>
      <c r="C705" t="s">
        <v>33</v>
      </c>
      <c r="D705" t="s">
        <v>34</v>
      </c>
      <c r="E705" t="s">
        <v>309</v>
      </c>
      <c r="F705" t="s">
        <v>310</v>
      </c>
      <c r="G705" s="20" t="s">
        <v>38</v>
      </c>
      <c r="H705" s="20" t="s">
        <v>39</v>
      </c>
      <c r="I705" t="str">
        <f t="shared" si="15"/>
        <v>Apis mellifera</v>
      </c>
      <c r="J705" t="s">
        <v>70</v>
      </c>
      <c r="K705" t="s">
        <v>332</v>
      </c>
      <c r="L705" t="s">
        <v>275</v>
      </c>
      <c r="M705" t="s">
        <v>157</v>
      </c>
      <c r="N705">
        <v>645</v>
      </c>
      <c r="O705" t="s">
        <v>155</v>
      </c>
      <c r="P705" t="s">
        <v>223</v>
      </c>
      <c r="Q705" s="6">
        <v>45210</v>
      </c>
      <c r="U705" t="s">
        <v>225</v>
      </c>
      <c r="AD705">
        <v>2</v>
      </c>
      <c r="AE705" s="7" t="s">
        <v>179</v>
      </c>
      <c r="AF705">
        <v>16</v>
      </c>
      <c r="AG705">
        <v>19</v>
      </c>
      <c r="AH705">
        <v>0</v>
      </c>
      <c r="AI705">
        <v>242</v>
      </c>
    </row>
    <row r="706" spans="1:35" x14ac:dyDescent="0.35">
      <c r="A706" t="s">
        <v>192</v>
      </c>
      <c r="B706" t="s">
        <v>24</v>
      </c>
      <c r="C706" t="s">
        <v>33</v>
      </c>
      <c r="D706" t="s">
        <v>34</v>
      </c>
      <c r="E706" t="s">
        <v>309</v>
      </c>
      <c r="F706" t="s">
        <v>310</v>
      </c>
      <c r="G706" s="20" t="s">
        <v>38</v>
      </c>
      <c r="H706" s="20" t="s">
        <v>39</v>
      </c>
      <c r="I706" t="str">
        <f t="shared" si="15"/>
        <v>Apis mellifera</v>
      </c>
      <c r="J706" t="s">
        <v>70</v>
      </c>
      <c r="K706" t="s">
        <v>332</v>
      </c>
      <c r="L706" t="s">
        <v>275</v>
      </c>
      <c r="M706" t="s">
        <v>157</v>
      </c>
      <c r="N706">
        <v>646</v>
      </c>
      <c r="O706" t="s">
        <v>155</v>
      </c>
      <c r="P706" t="s">
        <v>223</v>
      </c>
      <c r="Q706" s="6">
        <v>45210</v>
      </c>
      <c r="R706">
        <v>1</v>
      </c>
      <c r="S706" t="s">
        <v>166</v>
      </c>
      <c r="T706" t="s">
        <v>72</v>
      </c>
      <c r="U706" t="s">
        <v>271</v>
      </c>
      <c r="AD706">
        <v>1</v>
      </c>
      <c r="AE706" s="7" t="s">
        <v>178</v>
      </c>
      <c r="AF706">
        <v>9</v>
      </c>
      <c r="AG706">
        <v>19</v>
      </c>
      <c r="AH706">
        <v>0</v>
      </c>
      <c r="AI706">
        <v>243</v>
      </c>
    </row>
    <row r="707" spans="1:35" x14ac:dyDescent="0.35">
      <c r="A707" t="s">
        <v>192</v>
      </c>
      <c r="B707" t="s">
        <v>24</v>
      </c>
      <c r="C707" t="s">
        <v>33</v>
      </c>
      <c r="D707" t="s">
        <v>34</v>
      </c>
      <c r="E707" t="s">
        <v>309</v>
      </c>
      <c r="F707" t="s">
        <v>310</v>
      </c>
      <c r="G707" s="20" t="s">
        <v>38</v>
      </c>
      <c r="H707" s="20" t="s">
        <v>39</v>
      </c>
      <c r="I707" t="str">
        <f t="shared" si="15"/>
        <v>Apis mellifera</v>
      </c>
      <c r="J707" t="s">
        <v>70</v>
      </c>
      <c r="K707" t="s">
        <v>332</v>
      </c>
      <c r="L707" t="s">
        <v>275</v>
      </c>
      <c r="M707" t="s">
        <v>157</v>
      </c>
      <c r="N707">
        <v>647</v>
      </c>
      <c r="O707" t="s">
        <v>155</v>
      </c>
      <c r="P707" t="s">
        <v>223</v>
      </c>
      <c r="Q707" s="6">
        <v>45210</v>
      </c>
      <c r="R707">
        <v>0</v>
      </c>
      <c r="S707" t="s">
        <v>166</v>
      </c>
      <c r="T707" t="s">
        <v>72</v>
      </c>
      <c r="U707" t="s">
        <v>271</v>
      </c>
      <c r="AD707">
        <v>4</v>
      </c>
      <c r="AE707" s="7" t="s">
        <v>178</v>
      </c>
      <c r="AF707">
        <v>13</v>
      </c>
      <c r="AG707">
        <v>12</v>
      </c>
      <c r="AH707">
        <v>7</v>
      </c>
      <c r="AI707">
        <v>244</v>
      </c>
    </row>
    <row r="708" spans="1:35" x14ac:dyDescent="0.35">
      <c r="A708" t="s">
        <v>192</v>
      </c>
      <c r="B708" t="s">
        <v>24</v>
      </c>
      <c r="C708" t="s">
        <v>33</v>
      </c>
      <c r="D708" t="s">
        <v>34</v>
      </c>
      <c r="E708" t="s">
        <v>309</v>
      </c>
      <c r="F708" t="s">
        <v>310</v>
      </c>
      <c r="G708" s="20" t="s">
        <v>38</v>
      </c>
      <c r="H708" s="20" t="s">
        <v>39</v>
      </c>
      <c r="I708" t="str">
        <f t="shared" si="15"/>
        <v>Apis mellifera</v>
      </c>
      <c r="J708" t="s">
        <v>70</v>
      </c>
      <c r="K708" t="s">
        <v>332</v>
      </c>
      <c r="L708" t="s">
        <v>275</v>
      </c>
      <c r="M708" t="s">
        <v>157</v>
      </c>
      <c r="N708">
        <v>649</v>
      </c>
      <c r="O708" t="s">
        <v>155</v>
      </c>
      <c r="P708" t="s">
        <v>223</v>
      </c>
      <c r="Q708" s="6">
        <v>45210</v>
      </c>
      <c r="R708">
        <v>1</v>
      </c>
      <c r="S708" t="s">
        <v>166</v>
      </c>
      <c r="T708" t="s">
        <v>72</v>
      </c>
      <c r="U708" t="s">
        <v>271</v>
      </c>
      <c r="AD708">
        <v>3</v>
      </c>
      <c r="AE708" s="7" t="s">
        <v>179</v>
      </c>
      <c r="AF708">
        <v>13</v>
      </c>
      <c r="AG708">
        <v>12</v>
      </c>
      <c r="AH708">
        <v>7</v>
      </c>
      <c r="AI708">
        <v>245</v>
      </c>
    </row>
    <row r="709" spans="1:35" x14ac:dyDescent="0.35">
      <c r="A709" t="s">
        <v>192</v>
      </c>
      <c r="B709" t="s">
        <v>24</v>
      </c>
      <c r="C709" t="s">
        <v>33</v>
      </c>
      <c r="D709" t="s">
        <v>34</v>
      </c>
      <c r="E709" t="s">
        <v>309</v>
      </c>
      <c r="F709" t="s">
        <v>310</v>
      </c>
      <c r="G709" s="20" t="s">
        <v>38</v>
      </c>
      <c r="H709" s="20" t="s">
        <v>39</v>
      </c>
      <c r="I709" t="str">
        <f t="shared" si="15"/>
        <v>Apis mellifera</v>
      </c>
      <c r="J709" t="s">
        <v>70</v>
      </c>
      <c r="K709" t="s">
        <v>332</v>
      </c>
      <c r="L709" t="s">
        <v>275</v>
      </c>
      <c r="M709" t="s">
        <v>157</v>
      </c>
      <c r="N709">
        <v>651</v>
      </c>
      <c r="O709" t="s">
        <v>155</v>
      </c>
      <c r="P709" t="s">
        <v>223</v>
      </c>
      <c r="Q709" s="6">
        <v>45210</v>
      </c>
      <c r="R709">
        <v>1</v>
      </c>
      <c r="S709" t="s">
        <v>166</v>
      </c>
      <c r="T709" t="s">
        <v>72</v>
      </c>
      <c r="U709" t="s">
        <v>271</v>
      </c>
      <c r="AD709">
        <v>2</v>
      </c>
      <c r="AE709" s="7" t="s">
        <v>180</v>
      </c>
      <c r="AF709">
        <v>13</v>
      </c>
      <c r="AG709">
        <v>12</v>
      </c>
      <c r="AH709">
        <v>7</v>
      </c>
      <c r="AI709">
        <v>246</v>
      </c>
    </row>
    <row r="710" spans="1:35" x14ac:dyDescent="0.35">
      <c r="A710" t="s">
        <v>192</v>
      </c>
      <c r="B710" t="s">
        <v>24</v>
      </c>
      <c r="C710" t="s">
        <v>33</v>
      </c>
      <c r="D710" t="s">
        <v>34</v>
      </c>
      <c r="E710" t="s">
        <v>309</v>
      </c>
      <c r="F710" t="s">
        <v>310</v>
      </c>
      <c r="G710" s="20" t="s">
        <v>38</v>
      </c>
      <c r="H710" s="20" t="s">
        <v>39</v>
      </c>
      <c r="I710" t="str">
        <f t="shared" si="15"/>
        <v>Apis mellifera</v>
      </c>
      <c r="J710" t="s">
        <v>70</v>
      </c>
      <c r="K710" t="s">
        <v>332</v>
      </c>
      <c r="L710" t="s">
        <v>275</v>
      </c>
      <c r="M710" t="s">
        <v>157</v>
      </c>
      <c r="N710">
        <v>652</v>
      </c>
      <c r="O710" t="s">
        <v>155</v>
      </c>
      <c r="P710" t="s">
        <v>223</v>
      </c>
      <c r="Q710" s="6">
        <v>45210</v>
      </c>
      <c r="R710">
        <v>1</v>
      </c>
      <c r="S710" t="s">
        <v>166</v>
      </c>
      <c r="T710" t="s">
        <v>72</v>
      </c>
      <c r="U710" t="s">
        <v>271</v>
      </c>
      <c r="AD710">
        <v>2</v>
      </c>
      <c r="AE710" s="7" t="s">
        <v>179</v>
      </c>
      <c r="AF710">
        <v>13</v>
      </c>
      <c r="AG710">
        <v>12</v>
      </c>
      <c r="AH710">
        <v>7</v>
      </c>
      <c r="AI710">
        <v>247</v>
      </c>
    </row>
    <row r="711" spans="1:35" x14ac:dyDescent="0.35">
      <c r="A711" t="s">
        <v>192</v>
      </c>
      <c r="B711" t="s">
        <v>24</v>
      </c>
      <c r="C711" t="s">
        <v>33</v>
      </c>
      <c r="D711" t="s">
        <v>34</v>
      </c>
      <c r="E711" t="s">
        <v>309</v>
      </c>
      <c r="F711" t="s">
        <v>310</v>
      </c>
      <c r="G711" s="20" t="s">
        <v>38</v>
      </c>
      <c r="H711" s="20" t="s">
        <v>39</v>
      </c>
      <c r="I711" t="str">
        <f t="shared" si="15"/>
        <v>Apis mellifera</v>
      </c>
      <c r="J711" t="s">
        <v>70</v>
      </c>
      <c r="K711" t="s">
        <v>332</v>
      </c>
      <c r="L711" t="s">
        <v>275</v>
      </c>
      <c r="M711" t="s">
        <v>157</v>
      </c>
      <c r="N711">
        <v>653</v>
      </c>
      <c r="O711" t="s">
        <v>155</v>
      </c>
      <c r="P711" t="s">
        <v>223</v>
      </c>
      <c r="Q711" s="6">
        <v>45210</v>
      </c>
      <c r="R711">
        <v>1</v>
      </c>
      <c r="S711" t="s">
        <v>166</v>
      </c>
      <c r="T711" t="s">
        <v>72</v>
      </c>
      <c r="U711" t="s">
        <v>271</v>
      </c>
      <c r="AD711">
        <v>3</v>
      </c>
      <c r="AE711" s="7" t="s">
        <v>180</v>
      </c>
      <c r="AF711">
        <v>13</v>
      </c>
      <c r="AG711">
        <v>12</v>
      </c>
      <c r="AH711">
        <v>7</v>
      </c>
      <c r="AI711">
        <v>248</v>
      </c>
    </row>
    <row r="712" spans="1:35" x14ac:dyDescent="0.35">
      <c r="A712" t="s">
        <v>192</v>
      </c>
      <c r="B712" t="s">
        <v>24</v>
      </c>
      <c r="C712" t="s">
        <v>33</v>
      </c>
      <c r="D712" t="s">
        <v>34</v>
      </c>
      <c r="E712" t="s">
        <v>309</v>
      </c>
      <c r="F712" t="s">
        <v>310</v>
      </c>
      <c r="G712" s="20" t="s">
        <v>38</v>
      </c>
      <c r="H712" s="20" t="s">
        <v>39</v>
      </c>
      <c r="I712" t="str">
        <f t="shared" si="15"/>
        <v>Apis mellifera</v>
      </c>
      <c r="J712" t="s">
        <v>70</v>
      </c>
      <c r="K712" t="s">
        <v>332</v>
      </c>
      <c r="L712" t="s">
        <v>275</v>
      </c>
      <c r="M712" t="s">
        <v>157</v>
      </c>
      <c r="N712">
        <v>654</v>
      </c>
      <c r="O712" t="s">
        <v>155</v>
      </c>
      <c r="P712" t="s">
        <v>223</v>
      </c>
      <c r="Q712" s="6">
        <v>45210</v>
      </c>
      <c r="R712">
        <v>1</v>
      </c>
      <c r="S712" t="s">
        <v>166</v>
      </c>
      <c r="T712" t="s">
        <v>72</v>
      </c>
      <c r="U712" t="s">
        <v>271</v>
      </c>
      <c r="AD712">
        <v>1</v>
      </c>
      <c r="AE712" s="7" t="s">
        <v>180</v>
      </c>
      <c r="AF712">
        <v>13</v>
      </c>
      <c r="AG712">
        <v>12</v>
      </c>
      <c r="AH712">
        <v>7</v>
      </c>
      <c r="AI712">
        <v>249</v>
      </c>
    </row>
    <row r="713" spans="1:35" x14ac:dyDescent="0.35">
      <c r="A713" t="s">
        <v>192</v>
      </c>
      <c r="B713" t="s">
        <v>24</v>
      </c>
      <c r="C713" t="s">
        <v>33</v>
      </c>
      <c r="D713" t="s">
        <v>34</v>
      </c>
      <c r="E713" t="s">
        <v>309</v>
      </c>
      <c r="F713" t="s">
        <v>310</v>
      </c>
      <c r="G713" s="20" t="s">
        <v>38</v>
      </c>
      <c r="H713" s="20" t="s">
        <v>39</v>
      </c>
      <c r="I713" t="str">
        <f t="shared" si="15"/>
        <v>Apis mellifera</v>
      </c>
      <c r="J713" t="s">
        <v>70</v>
      </c>
      <c r="K713" t="s">
        <v>332</v>
      </c>
      <c r="L713" t="s">
        <v>275</v>
      </c>
      <c r="M713" t="s">
        <v>157</v>
      </c>
      <c r="N713">
        <v>656</v>
      </c>
      <c r="O713" t="s">
        <v>155</v>
      </c>
      <c r="P713" t="s">
        <v>223</v>
      </c>
      <c r="Q713" s="6">
        <v>45210</v>
      </c>
      <c r="U713" t="s">
        <v>225</v>
      </c>
      <c r="AE713" s="7"/>
      <c r="AF713">
        <v>13</v>
      </c>
      <c r="AG713">
        <v>12</v>
      </c>
      <c r="AH713">
        <v>7</v>
      </c>
      <c r="AI713">
        <v>250</v>
      </c>
    </row>
    <row r="714" spans="1:35" x14ac:dyDescent="0.35">
      <c r="A714" t="s">
        <v>192</v>
      </c>
      <c r="B714" t="s">
        <v>24</v>
      </c>
      <c r="C714" t="s">
        <v>33</v>
      </c>
      <c r="D714" t="s">
        <v>34</v>
      </c>
      <c r="E714" t="s">
        <v>309</v>
      </c>
      <c r="F714" t="s">
        <v>310</v>
      </c>
      <c r="G714" s="20" t="s">
        <v>38</v>
      </c>
      <c r="H714" s="20" t="s">
        <v>39</v>
      </c>
      <c r="I714" t="str">
        <f t="shared" si="15"/>
        <v>Apis mellifera</v>
      </c>
      <c r="J714" t="s">
        <v>70</v>
      </c>
      <c r="K714" t="s">
        <v>332</v>
      </c>
      <c r="L714" t="s">
        <v>275</v>
      </c>
      <c r="M714" t="s">
        <v>157</v>
      </c>
      <c r="N714">
        <v>657</v>
      </c>
      <c r="O714" t="s">
        <v>155</v>
      </c>
      <c r="P714" t="s">
        <v>223</v>
      </c>
      <c r="Q714" s="6">
        <v>45210</v>
      </c>
      <c r="R714">
        <v>1</v>
      </c>
      <c r="S714" t="s">
        <v>166</v>
      </c>
      <c r="T714" t="s">
        <v>72</v>
      </c>
      <c r="U714" t="s">
        <v>271</v>
      </c>
      <c r="AD714">
        <v>2</v>
      </c>
      <c r="AE714" s="7" t="s">
        <v>180</v>
      </c>
      <c r="AF714">
        <v>13</v>
      </c>
      <c r="AG714">
        <v>12</v>
      </c>
      <c r="AH714">
        <v>7</v>
      </c>
      <c r="AI714">
        <v>251</v>
      </c>
    </row>
    <row r="715" spans="1:35" x14ac:dyDescent="0.35">
      <c r="A715" t="s">
        <v>192</v>
      </c>
      <c r="B715" t="s">
        <v>24</v>
      </c>
      <c r="C715" t="s">
        <v>33</v>
      </c>
      <c r="D715" t="s">
        <v>34</v>
      </c>
      <c r="E715" t="s">
        <v>309</v>
      </c>
      <c r="F715" t="s">
        <v>310</v>
      </c>
      <c r="G715" s="20" t="s">
        <v>38</v>
      </c>
      <c r="H715" s="20" t="s">
        <v>39</v>
      </c>
      <c r="I715" t="str">
        <f t="shared" si="15"/>
        <v>Apis mellifera</v>
      </c>
      <c r="J715" t="s">
        <v>70</v>
      </c>
      <c r="K715" t="s">
        <v>332</v>
      </c>
      <c r="L715" t="s">
        <v>275</v>
      </c>
      <c r="M715" t="s">
        <v>157</v>
      </c>
      <c r="N715">
        <v>662</v>
      </c>
      <c r="O715" t="s">
        <v>155</v>
      </c>
      <c r="P715" t="s">
        <v>223</v>
      </c>
      <c r="Q715" s="6">
        <v>45210</v>
      </c>
      <c r="R715">
        <v>1</v>
      </c>
      <c r="S715" t="s">
        <v>166</v>
      </c>
      <c r="T715" t="s">
        <v>72</v>
      </c>
      <c r="U715" t="s">
        <v>271</v>
      </c>
      <c r="AD715">
        <v>2</v>
      </c>
      <c r="AE715" s="7" t="s">
        <v>178</v>
      </c>
      <c r="AF715">
        <v>13</v>
      </c>
      <c r="AG715">
        <v>12</v>
      </c>
      <c r="AH715">
        <v>7</v>
      </c>
      <c r="AI715">
        <v>252</v>
      </c>
    </row>
    <row r="716" spans="1:35" x14ac:dyDescent="0.35">
      <c r="A716" t="s">
        <v>192</v>
      </c>
      <c r="B716" t="s">
        <v>24</v>
      </c>
      <c r="C716" t="s">
        <v>33</v>
      </c>
      <c r="D716" t="s">
        <v>34</v>
      </c>
      <c r="E716" t="s">
        <v>309</v>
      </c>
      <c r="F716" t="s">
        <v>310</v>
      </c>
      <c r="G716" s="20" t="s">
        <v>38</v>
      </c>
      <c r="H716" s="20" t="s">
        <v>39</v>
      </c>
      <c r="I716" t="str">
        <f t="shared" si="15"/>
        <v>Apis mellifera</v>
      </c>
      <c r="J716" t="s">
        <v>70</v>
      </c>
      <c r="K716" t="s">
        <v>332</v>
      </c>
      <c r="L716" t="s">
        <v>275</v>
      </c>
      <c r="M716" t="s">
        <v>157</v>
      </c>
      <c r="N716">
        <v>663</v>
      </c>
      <c r="O716" t="s">
        <v>155</v>
      </c>
      <c r="P716" t="s">
        <v>223</v>
      </c>
      <c r="Q716" s="6">
        <v>45210</v>
      </c>
      <c r="R716">
        <v>1</v>
      </c>
      <c r="S716" t="s">
        <v>166</v>
      </c>
      <c r="T716" t="s">
        <v>72</v>
      </c>
      <c r="U716" t="s">
        <v>271</v>
      </c>
      <c r="AD716">
        <v>1</v>
      </c>
      <c r="AE716" s="7" t="s">
        <v>179</v>
      </c>
      <c r="AF716">
        <v>13</v>
      </c>
      <c r="AG716">
        <v>12</v>
      </c>
      <c r="AH716">
        <v>7</v>
      </c>
      <c r="AI716">
        <v>253</v>
      </c>
    </row>
    <row r="717" spans="1:35" x14ac:dyDescent="0.35">
      <c r="A717" t="s">
        <v>192</v>
      </c>
      <c r="B717" t="s">
        <v>24</v>
      </c>
      <c r="C717" t="s">
        <v>33</v>
      </c>
      <c r="D717" t="s">
        <v>34</v>
      </c>
      <c r="E717" t="s">
        <v>309</v>
      </c>
      <c r="F717" t="s">
        <v>310</v>
      </c>
      <c r="G717" s="20" t="s">
        <v>38</v>
      </c>
      <c r="H717" s="20" t="s">
        <v>39</v>
      </c>
      <c r="I717" t="str">
        <f t="shared" si="15"/>
        <v>Apis mellifera</v>
      </c>
      <c r="J717" t="s">
        <v>70</v>
      </c>
      <c r="K717" t="s">
        <v>332</v>
      </c>
      <c r="L717" t="s">
        <v>275</v>
      </c>
      <c r="M717" t="s">
        <v>157</v>
      </c>
      <c r="N717">
        <v>664</v>
      </c>
      <c r="O717" t="s">
        <v>155</v>
      </c>
      <c r="P717" t="s">
        <v>223</v>
      </c>
      <c r="Q717" s="6">
        <v>45210</v>
      </c>
      <c r="R717">
        <v>1</v>
      </c>
      <c r="S717" t="s">
        <v>166</v>
      </c>
      <c r="T717" t="s">
        <v>72</v>
      </c>
      <c r="U717" t="s">
        <v>271</v>
      </c>
      <c r="AD717">
        <v>2</v>
      </c>
      <c r="AE717" s="7" t="s">
        <v>179</v>
      </c>
      <c r="AF717">
        <v>13</v>
      </c>
      <c r="AG717">
        <v>12</v>
      </c>
      <c r="AH717">
        <v>7</v>
      </c>
      <c r="AI717">
        <v>254</v>
      </c>
    </row>
    <row r="718" spans="1:35" x14ac:dyDescent="0.35">
      <c r="A718" t="s">
        <v>192</v>
      </c>
      <c r="B718" t="s">
        <v>24</v>
      </c>
      <c r="C718" t="s">
        <v>33</v>
      </c>
      <c r="D718" t="s">
        <v>34</v>
      </c>
      <c r="E718" t="s">
        <v>309</v>
      </c>
      <c r="F718" t="s">
        <v>310</v>
      </c>
      <c r="G718" s="20" t="s">
        <v>38</v>
      </c>
      <c r="H718" s="20" t="s">
        <v>39</v>
      </c>
      <c r="I718" t="str">
        <f t="shared" si="15"/>
        <v>Apis mellifera</v>
      </c>
      <c r="J718" t="s">
        <v>70</v>
      </c>
      <c r="K718" t="s">
        <v>332</v>
      </c>
      <c r="L718" t="s">
        <v>275</v>
      </c>
      <c r="M718" t="s">
        <v>157</v>
      </c>
      <c r="N718">
        <v>665</v>
      </c>
      <c r="O718" t="s">
        <v>155</v>
      </c>
      <c r="P718" t="s">
        <v>223</v>
      </c>
      <c r="Q718" s="6">
        <v>45210</v>
      </c>
      <c r="R718">
        <v>1</v>
      </c>
      <c r="U718" t="s">
        <v>225</v>
      </c>
      <c r="AD718">
        <v>3</v>
      </c>
      <c r="AE718" s="7" t="s">
        <v>179</v>
      </c>
      <c r="AF718">
        <v>13</v>
      </c>
      <c r="AG718">
        <v>12</v>
      </c>
      <c r="AH718">
        <v>7</v>
      </c>
      <c r="AI718">
        <v>255</v>
      </c>
    </row>
    <row r="719" spans="1:35" x14ac:dyDescent="0.35">
      <c r="A719" t="s">
        <v>192</v>
      </c>
      <c r="B719" t="s">
        <v>24</v>
      </c>
      <c r="C719" t="s">
        <v>33</v>
      </c>
      <c r="D719" t="s">
        <v>34</v>
      </c>
      <c r="E719" t="s">
        <v>309</v>
      </c>
      <c r="F719" t="s">
        <v>310</v>
      </c>
      <c r="G719" s="20" t="s">
        <v>38</v>
      </c>
      <c r="H719" s="20" t="s">
        <v>39</v>
      </c>
      <c r="I719" t="str">
        <f t="shared" si="15"/>
        <v>Apis mellifera</v>
      </c>
      <c r="J719" t="s">
        <v>70</v>
      </c>
      <c r="K719" t="s">
        <v>332</v>
      </c>
      <c r="L719" t="s">
        <v>275</v>
      </c>
      <c r="M719" t="s">
        <v>157</v>
      </c>
      <c r="N719">
        <v>666</v>
      </c>
      <c r="O719" t="s">
        <v>155</v>
      </c>
      <c r="P719" t="s">
        <v>223</v>
      </c>
      <c r="Q719" s="6">
        <v>45210</v>
      </c>
      <c r="R719">
        <v>1</v>
      </c>
      <c r="S719" t="s">
        <v>166</v>
      </c>
      <c r="T719" t="s">
        <v>72</v>
      </c>
      <c r="U719" t="s">
        <v>271</v>
      </c>
      <c r="AD719">
        <v>1</v>
      </c>
      <c r="AE719" s="7" t="s">
        <v>177</v>
      </c>
      <c r="AF719">
        <v>13</v>
      </c>
      <c r="AG719">
        <v>12</v>
      </c>
      <c r="AH719">
        <v>7</v>
      </c>
      <c r="AI719">
        <v>256</v>
      </c>
    </row>
    <row r="720" spans="1:35" x14ac:dyDescent="0.35">
      <c r="A720" t="s">
        <v>192</v>
      </c>
      <c r="B720" t="s">
        <v>24</v>
      </c>
      <c r="C720" t="s">
        <v>33</v>
      </c>
      <c r="D720" t="s">
        <v>34</v>
      </c>
      <c r="E720" t="s">
        <v>309</v>
      </c>
      <c r="F720" t="s">
        <v>310</v>
      </c>
      <c r="G720" s="20" t="s">
        <v>38</v>
      </c>
      <c r="H720" s="20" t="s">
        <v>39</v>
      </c>
      <c r="I720" t="str">
        <f t="shared" si="15"/>
        <v>Apis mellifera</v>
      </c>
      <c r="J720" t="s">
        <v>70</v>
      </c>
      <c r="K720" t="s">
        <v>332</v>
      </c>
      <c r="L720" t="s">
        <v>275</v>
      </c>
      <c r="M720" t="s">
        <v>157</v>
      </c>
      <c r="N720">
        <v>667</v>
      </c>
      <c r="O720" t="s">
        <v>155</v>
      </c>
      <c r="P720" t="s">
        <v>223</v>
      </c>
      <c r="Q720" s="6">
        <v>45210</v>
      </c>
      <c r="R720">
        <v>1</v>
      </c>
      <c r="U720" t="s">
        <v>225</v>
      </c>
      <c r="AD720">
        <v>2</v>
      </c>
      <c r="AE720" s="7" t="s">
        <v>180</v>
      </c>
      <c r="AF720">
        <v>13</v>
      </c>
      <c r="AG720">
        <v>12</v>
      </c>
      <c r="AH720">
        <v>7</v>
      </c>
      <c r="AI720">
        <v>257</v>
      </c>
    </row>
    <row r="721" spans="1:35" x14ac:dyDescent="0.35">
      <c r="A721" t="s">
        <v>192</v>
      </c>
      <c r="B721" t="s">
        <v>24</v>
      </c>
      <c r="C721" t="s">
        <v>33</v>
      </c>
      <c r="D721" t="s">
        <v>34</v>
      </c>
      <c r="E721" t="s">
        <v>309</v>
      </c>
      <c r="F721" t="s">
        <v>310</v>
      </c>
      <c r="G721" s="20" t="s">
        <v>38</v>
      </c>
      <c r="H721" s="20" t="s">
        <v>39</v>
      </c>
      <c r="I721" t="str">
        <f t="shared" si="15"/>
        <v>Apis mellifera</v>
      </c>
      <c r="J721" t="s">
        <v>70</v>
      </c>
      <c r="K721" t="s">
        <v>332</v>
      </c>
      <c r="L721" t="s">
        <v>275</v>
      </c>
      <c r="M721" t="s">
        <v>157</v>
      </c>
      <c r="N721">
        <v>668</v>
      </c>
      <c r="O721" t="s">
        <v>155</v>
      </c>
      <c r="P721" t="s">
        <v>223</v>
      </c>
      <c r="Q721" s="6">
        <v>45210</v>
      </c>
      <c r="R721">
        <v>1</v>
      </c>
      <c r="U721" t="s">
        <v>225</v>
      </c>
      <c r="AD721">
        <v>1</v>
      </c>
      <c r="AE721" s="7" t="s">
        <v>178</v>
      </c>
      <c r="AF721">
        <v>13</v>
      </c>
      <c r="AG721">
        <v>12</v>
      </c>
      <c r="AH721">
        <v>7</v>
      </c>
      <c r="AI721">
        <v>258</v>
      </c>
    </row>
    <row r="722" spans="1:35" x14ac:dyDescent="0.35">
      <c r="A722" t="s">
        <v>192</v>
      </c>
      <c r="B722" t="s">
        <v>24</v>
      </c>
      <c r="C722" t="s">
        <v>33</v>
      </c>
      <c r="D722" t="s">
        <v>34</v>
      </c>
      <c r="E722" t="s">
        <v>309</v>
      </c>
      <c r="F722" t="s">
        <v>310</v>
      </c>
      <c r="G722" s="20" t="s">
        <v>38</v>
      </c>
      <c r="H722" s="20" t="s">
        <v>39</v>
      </c>
      <c r="I722" t="str">
        <f t="shared" si="15"/>
        <v>Apis mellifera</v>
      </c>
      <c r="J722" t="s">
        <v>70</v>
      </c>
      <c r="K722" t="s">
        <v>332</v>
      </c>
      <c r="L722" t="s">
        <v>275</v>
      </c>
      <c r="M722" t="s">
        <v>157</v>
      </c>
      <c r="N722">
        <v>669</v>
      </c>
      <c r="O722" t="s">
        <v>155</v>
      </c>
      <c r="P722" t="s">
        <v>223</v>
      </c>
      <c r="Q722" s="6">
        <v>45210</v>
      </c>
      <c r="U722" t="s">
        <v>225</v>
      </c>
      <c r="AF722">
        <v>13</v>
      </c>
      <c r="AG722">
        <v>12</v>
      </c>
      <c r="AH722">
        <v>7</v>
      </c>
      <c r="AI722">
        <v>259</v>
      </c>
    </row>
    <row r="723" spans="1:35" x14ac:dyDescent="0.35">
      <c r="A723" t="s">
        <v>192</v>
      </c>
      <c r="B723" t="s">
        <v>24</v>
      </c>
      <c r="C723" t="s">
        <v>33</v>
      </c>
      <c r="D723" t="s">
        <v>34</v>
      </c>
      <c r="E723" t="s">
        <v>309</v>
      </c>
      <c r="F723" t="s">
        <v>310</v>
      </c>
      <c r="G723" s="20" t="s">
        <v>38</v>
      </c>
      <c r="H723" s="20" t="s">
        <v>39</v>
      </c>
      <c r="I723" t="str">
        <f t="shared" si="15"/>
        <v>Apis mellifera</v>
      </c>
      <c r="J723" t="s">
        <v>70</v>
      </c>
      <c r="K723" t="s">
        <v>332</v>
      </c>
      <c r="L723" t="s">
        <v>275</v>
      </c>
      <c r="M723" t="s">
        <v>157</v>
      </c>
      <c r="N723">
        <v>670</v>
      </c>
      <c r="O723" t="s">
        <v>155</v>
      </c>
      <c r="P723" t="s">
        <v>223</v>
      </c>
      <c r="Q723" s="6">
        <v>45210</v>
      </c>
      <c r="U723" t="s">
        <v>225</v>
      </c>
      <c r="AF723">
        <v>13</v>
      </c>
      <c r="AG723">
        <v>12</v>
      </c>
      <c r="AH723">
        <v>7</v>
      </c>
      <c r="AI723">
        <v>260</v>
      </c>
    </row>
    <row r="724" spans="1:35" x14ac:dyDescent="0.35">
      <c r="A724" t="s">
        <v>192</v>
      </c>
      <c r="B724" t="s">
        <v>24</v>
      </c>
      <c r="C724" t="s">
        <v>33</v>
      </c>
      <c r="D724" t="s">
        <v>34</v>
      </c>
      <c r="E724" t="s">
        <v>309</v>
      </c>
      <c r="F724" t="s">
        <v>310</v>
      </c>
      <c r="G724" s="20" t="s">
        <v>38</v>
      </c>
      <c r="H724" s="20" t="s">
        <v>39</v>
      </c>
      <c r="I724" t="str">
        <f t="shared" si="15"/>
        <v>Apis mellifera</v>
      </c>
      <c r="J724" t="s">
        <v>70</v>
      </c>
      <c r="K724" t="s">
        <v>332</v>
      </c>
      <c r="L724" t="s">
        <v>275</v>
      </c>
      <c r="M724" t="s">
        <v>157</v>
      </c>
      <c r="N724">
        <v>671</v>
      </c>
      <c r="O724" t="s">
        <v>155</v>
      </c>
      <c r="P724" t="s">
        <v>223</v>
      </c>
      <c r="Q724" s="6">
        <v>45210</v>
      </c>
      <c r="U724" t="s">
        <v>225</v>
      </c>
      <c r="AF724">
        <v>13</v>
      </c>
      <c r="AG724">
        <v>12</v>
      </c>
      <c r="AH724">
        <v>7</v>
      </c>
      <c r="AI724">
        <v>261</v>
      </c>
    </row>
    <row r="725" spans="1:35" x14ac:dyDescent="0.35">
      <c r="A725" t="s">
        <v>192</v>
      </c>
      <c r="B725" t="s">
        <v>24</v>
      </c>
      <c r="C725" t="s">
        <v>33</v>
      </c>
      <c r="D725" t="s">
        <v>34</v>
      </c>
      <c r="E725" t="s">
        <v>309</v>
      </c>
      <c r="F725" t="s">
        <v>310</v>
      </c>
      <c r="G725" s="20" t="s">
        <v>38</v>
      </c>
      <c r="H725" s="20" t="s">
        <v>39</v>
      </c>
      <c r="I725" t="str">
        <f t="shared" si="15"/>
        <v>Apis mellifera</v>
      </c>
      <c r="J725" t="s">
        <v>70</v>
      </c>
      <c r="K725" t="s">
        <v>332</v>
      </c>
      <c r="L725" t="s">
        <v>275</v>
      </c>
      <c r="M725" t="s">
        <v>157</v>
      </c>
      <c r="N725">
        <v>683</v>
      </c>
      <c r="O725" t="s">
        <v>155</v>
      </c>
      <c r="P725" t="s">
        <v>222</v>
      </c>
      <c r="Q725" s="6">
        <v>45208</v>
      </c>
      <c r="R725">
        <v>1</v>
      </c>
      <c r="U725" t="s">
        <v>225</v>
      </c>
      <c r="AD725">
        <v>1</v>
      </c>
      <c r="AE725" s="7" t="s">
        <v>178</v>
      </c>
      <c r="AF725">
        <v>26</v>
      </c>
      <c r="AG725">
        <v>0</v>
      </c>
      <c r="AH725">
        <v>0</v>
      </c>
      <c r="AI725">
        <v>72</v>
      </c>
    </row>
    <row r="726" spans="1:35" x14ac:dyDescent="0.35">
      <c r="A726" t="s">
        <v>192</v>
      </c>
      <c r="B726" t="s">
        <v>24</v>
      </c>
      <c r="C726" t="s">
        <v>33</v>
      </c>
      <c r="D726" t="s">
        <v>34</v>
      </c>
      <c r="E726" t="s">
        <v>309</v>
      </c>
      <c r="F726" t="s">
        <v>310</v>
      </c>
      <c r="G726" s="20" t="s">
        <v>38</v>
      </c>
      <c r="H726" s="20" t="s">
        <v>39</v>
      </c>
      <c r="I726" t="str">
        <f t="shared" si="15"/>
        <v>Apis mellifera</v>
      </c>
      <c r="J726" t="s">
        <v>70</v>
      </c>
      <c r="K726" t="s">
        <v>332</v>
      </c>
      <c r="L726" t="s">
        <v>275</v>
      </c>
      <c r="M726" t="s">
        <v>157</v>
      </c>
      <c r="N726">
        <v>684</v>
      </c>
      <c r="O726" t="s">
        <v>155</v>
      </c>
      <c r="P726" t="s">
        <v>222</v>
      </c>
      <c r="Q726" s="6">
        <v>45208</v>
      </c>
      <c r="R726">
        <v>1</v>
      </c>
      <c r="U726" t="s">
        <v>225</v>
      </c>
      <c r="AD726">
        <v>1</v>
      </c>
      <c r="AE726" s="7" t="s">
        <v>180</v>
      </c>
      <c r="AF726">
        <v>26</v>
      </c>
      <c r="AG726">
        <v>0</v>
      </c>
      <c r="AH726">
        <v>0</v>
      </c>
      <c r="AI726">
        <v>73</v>
      </c>
    </row>
    <row r="727" spans="1:35" x14ac:dyDescent="0.35">
      <c r="A727" t="s">
        <v>192</v>
      </c>
      <c r="B727" t="s">
        <v>24</v>
      </c>
      <c r="C727" t="s">
        <v>33</v>
      </c>
      <c r="D727" t="s">
        <v>34</v>
      </c>
      <c r="E727" t="s">
        <v>309</v>
      </c>
      <c r="F727" t="s">
        <v>310</v>
      </c>
      <c r="G727" s="20" t="s">
        <v>38</v>
      </c>
      <c r="H727" s="20" t="s">
        <v>39</v>
      </c>
      <c r="I727" t="str">
        <f t="shared" si="15"/>
        <v>Apis mellifera</v>
      </c>
      <c r="J727" t="s">
        <v>70</v>
      </c>
      <c r="K727" t="s">
        <v>332</v>
      </c>
      <c r="L727" t="s">
        <v>275</v>
      </c>
      <c r="M727" t="s">
        <v>157</v>
      </c>
      <c r="N727">
        <v>685</v>
      </c>
      <c r="O727" t="s">
        <v>155</v>
      </c>
      <c r="P727" t="s">
        <v>222</v>
      </c>
      <c r="Q727" s="6">
        <v>45208</v>
      </c>
      <c r="R727">
        <v>1</v>
      </c>
      <c r="U727" t="s">
        <v>225</v>
      </c>
      <c r="AD727">
        <v>1</v>
      </c>
      <c r="AE727" s="7" t="s">
        <v>177</v>
      </c>
      <c r="AF727">
        <v>26</v>
      </c>
      <c r="AG727">
        <v>0</v>
      </c>
      <c r="AH727">
        <v>0</v>
      </c>
      <c r="AI727">
        <v>74</v>
      </c>
    </row>
    <row r="728" spans="1:35" x14ac:dyDescent="0.35">
      <c r="A728" t="s">
        <v>192</v>
      </c>
      <c r="B728" t="s">
        <v>24</v>
      </c>
      <c r="C728" t="s">
        <v>33</v>
      </c>
      <c r="D728" t="s">
        <v>34</v>
      </c>
      <c r="E728" t="s">
        <v>309</v>
      </c>
      <c r="F728" t="s">
        <v>310</v>
      </c>
      <c r="G728" s="20" t="s">
        <v>38</v>
      </c>
      <c r="H728" s="20" t="s">
        <v>39</v>
      </c>
      <c r="I728" t="str">
        <f t="shared" si="15"/>
        <v>Apis mellifera</v>
      </c>
      <c r="J728" t="s">
        <v>70</v>
      </c>
      <c r="K728" t="s">
        <v>332</v>
      </c>
      <c r="L728" t="s">
        <v>275</v>
      </c>
      <c r="M728" t="s">
        <v>157</v>
      </c>
      <c r="N728">
        <v>686</v>
      </c>
      <c r="O728" t="s">
        <v>155</v>
      </c>
      <c r="P728" t="s">
        <v>222</v>
      </c>
      <c r="Q728" s="6">
        <v>45208</v>
      </c>
      <c r="R728">
        <v>1</v>
      </c>
      <c r="U728" t="s">
        <v>225</v>
      </c>
      <c r="AD728">
        <v>1</v>
      </c>
      <c r="AE728" s="7" t="s">
        <v>178</v>
      </c>
      <c r="AF728">
        <v>26</v>
      </c>
      <c r="AG728">
        <v>0</v>
      </c>
      <c r="AH728">
        <v>0</v>
      </c>
      <c r="AI728">
        <v>75</v>
      </c>
    </row>
    <row r="729" spans="1:35" x14ac:dyDescent="0.35">
      <c r="A729" t="s">
        <v>192</v>
      </c>
      <c r="B729" t="s">
        <v>24</v>
      </c>
      <c r="C729" t="s">
        <v>33</v>
      </c>
      <c r="D729" t="s">
        <v>34</v>
      </c>
      <c r="E729" t="s">
        <v>309</v>
      </c>
      <c r="F729" t="s">
        <v>310</v>
      </c>
      <c r="G729" s="20" t="s">
        <v>38</v>
      </c>
      <c r="H729" s="20" t="s">
        <v>39</v>
      </c>
      <c r="I729" t="str">
        <f t="shared" si="15"/>
        <v>Apis mellifera</v>
      </c>
      <c r="J729" t="s">
        <v>70</v>
      </c>
      <c r="K729" t="s">
        <v>332</v>
      </c>
      <c r="L729" t="s">
        <v>275</v>
      </c>
      <c r="M729" t="s">
        <v>157</v>
      </c>
      <c r="N729">
        <v>687</v>
      </c>
      <c r="O729" t="s">
        <v>155</v>
      </c>
      <c r="P729" t="s">
        <v>222</v>
      </c>
      <c r="Q729" s="6">
        <v>45208</v>
      </c>
      <c r="R729">
        <v>1</v>
      </c>
      <c r="U729" t="s">
        <v>225</v>
      </c>
      <c r="AD729">
        <v>1</v>
      </c>
      <c r="AE729" s="7" t="s">
        <v>177</v>
      </c>
      <c r="AF729">
        <v>26</v>
      </c>
      <c r="AG729">
        <v>0</v>
      </c>
      <c r="AH729">
        <v>0</v>
      </c>
      <c r="AI729">
        <v>76</v>
      </c>
    </row>
    <row r="730" spans="1:35" x14ac:dyDescent="0.35">
      <c r="A730" t="s">
        <v>192</v>
      </c>
      <c r="B730" t="s">
        <v>24</v>
      </c>
      <c r="C730" t="s">
        <v>33</v>
      </c>
      <c r="D730" t="s">
        <v>34</v>
      </c>
      <c r="E730" t="s">
        <v>309</v>
      </c>
      <c r="F730" t="s">
        <v>310</v>
      </c>
      <c r="G730" s="20" t="s">
        <v>38</v>
      </c>
      <c r="H730" s="20" t="s">
        <v>39</v>
      </c>
      <c r="I730" t="str">
        <f t="shared" si="15"/>
        <v>Apis mellifera</v>
      </c>
      <c r="J730" t="s">
        <v>70</v>
      </c>
      <c r="K730" t="s">
        <v>332</v>
      </c>
      <c r="L730" t="s">
        <v>275</v>
      </c>
      <c r="M730" t="s">
        <v>157</v>
      </c>
      <c r="N730">
        <v>690</v>
      </c>
      <c r="O730" t="s">
        <v>155</v>
      </c>
      <c r="P730" t="s">
        <v>222</v>
      </c>
      <c r="Q730" s="6">
        <v>45208</v>
      </c>
      <c r="R730">
        <v>1</v>
      </c>
      <c r="S730" s="13" t="s">
        <v>166</v>
      </c>
      <c r="T730" t="s">
        <v>72</v>
      </c>
      <c r="U730" t="s">
        <v>271</v>
      </c>
      <c r="AD730">
        <v>1</v>
      </c>
      <c r="AE730" s="7" t="s">
        <v>183</v>
      </c>
      <c r="AF730">
        <v>18</v>
      </c>
      <c r="AG730">
        <v>0</v>
      </c>
      <c r="AH730">
        <v>0</v>
      </c>
      <c r="AI730">
        <v>77</v>
      </c>
    </row>
    <row r="731" spans="1:35" x14ac:dyDescent="0.35">
      <c r="A731" t="s">
        <v>192</v>
      </c>
      <c r="B731" t="s">
        <v>24</v>
      </c>
      <c r="C731" t="s">
        <v>33</v>
      </c>
      <c r="D731" t="s">
        <v>34</v>
      </c>
      <c r="E731" t="s">
        <v>309</v>
      </c>
      <c r="F731" t="s">
        <v>310</v>
      </c>
      <c r="G731" s="20" t="s">
        <v>38</v>
      </c>
      <c r="H731" s="20" t="s">
        <v>39</v>
      </c>
      <c r="I731" t="str">
        <f t="shared" si="15"/>
        <v>Apis mellifera</v>
      </c>
      <c r="J731" t="s">
        <v>70</v>
      </c>
      <c r="K731" t="s">
        <v>332</v>
      </c>
      <c r="L731" t="s">
        <v>275</v>
      </c>
      <c r="M731" t="s">
        <v>157</v>
      </c>
      <c r="N731">
        <v>691</v>
      </c>
      <c r="O731" t="s">
        <v>155</v>
      </c>
      <c r="P731" t="s">
        <v>222</v>
      </c>
      <c r="Q731" s="6">
        <v>45208</v>
      </c>
      <c r="R731">
        <v>1</v>
      </c>
      <c r="S731" s="13" t="s">
        <v>166</v>
      </c>
      <c r="T731" t="s">
        <v>72</v>
      </c>
      <c r="U731" t="s">
        <v>271</v>
      </c>
      <c r="AD731">
        <v>1</v>
      </c>
      <c r="AE731" s="7" t="s">
        <v>184</v>
      </c>
      <c r="AF731">
        <v>18</v>
      </c>
      <c r="AG731">
        <v>0</v>
      </c>
      <c r="AH731">
        <v>0</v>
      </c>
      <c r="AI731">
        <v>78</v>
      </c>
    </row>
    <row r="732" spans="1:35" x14ac:dyDescent="0.35">
      <c r="A732" t="s">
        <v>192</v>
      </c>
      <c r="B732" t="s">
        <v>24</v>
      </c>
      <c r="C732" t="s">
        <v>33</v>
      </c>
      <c r="D732" t="s">
        <v>34</v>
      </c>
      <c r="E732" t="s">
        <v>309</v>
      </c>
      <c r="F732" t="s">
        <v>310</v>
      </c>
      <c r="G732" s="20" t="s">
        <v>38</v>
      </c>
      <c r="H732" s="20" t="s">
        <v>39</v>
      </c>
      <c r="I732" t="str">
        <f t="shared" si="15"/>
        <v>Apis mellifera</v>
      </c>
      <c r="J732" t="s">
        <v>70</v>
      </c>
      <c r="K732" t="s">
        <v>332</v>
      </c>
      <c r="L732" t="s">
        <v>275</v>
      </c>
      <c r="M732" t="s">
        <v>157</v>
      </c>
      <c r="N732">
        <v>692</v>
      </c>
      <c r="O732" t="s">
        <v>155</v>
      </c>
      <c r="P732" t="s">
        <v>222</v>
      </c>
      <c r="Q732" s="6">
        <v>45208</v>
      </c>
      <c r="R732">
        <v>1</v>
      </c>
      <c r="S732" s="14" t="s">
        <v>166</v>
      </c>
      <c r="T732" t="s">
        <v>72</v>
      </c>
      <c r="U732" t="s">
        <v>271</v>
      </c>
      <c r="AD732">
        <v>3</v>
      </c>
      <c r="AE732" s="7" t="s">
        <v>185</v>
      </c>
      <c r="AF732">
        <v>18</v>
      </c>
      <c r="AG732">
        <v>0</v>
      </c>
      <c r="AH732">
        <v>0</v>
      </c>
      <c r="AI732">
        <v>79</v>
      </c>
    </row>
    <row r="733" spans="1:35" x14ac:dyDescent="0.35">
      <c r="A733" t="s">
        <v>192</v>
      </c>
      <c r="B733" t="s">
        <v>24</v>
      </c>
      <c r="C733" t="s">
        <v>33</v>
      </c>
      <c r="D733" t="s">
        <v>34</v>
      </c>
      <c r="E733" t="s">
        <v>309</v>
      </c>
      <c r="F733" t="s">
        <v>310</v>
      </c>
      <c r="G733" s="20" t="s">
        <v>38</v>
      </c>
      <c r="H733" s="20" t="s">
        <v>39</v>
      </c>
      <c r="I733" t="str">
        <f t="shared" si="15"/>
        <v>Apis mellifera</v>
      </c>
      <c r="J733" t="s">
        <v>70</v>
      </c>
      <c r="K733" t="s">
        <v>332</v>
      </c>
      <c r="L733" t="s">
        <v>275</v>
      </c>
      <c r="M733" t="s">
        <v>157</v>
      </c>
      <c r="N733">
        <v>693</v>
      </c>
      <c r="O733" t="s">
        <v>155</v>
      </c>
      <c r="P733" t="s">
        <v>222</v>
      </c>
      <c r="Q733" s="6">
        <v>45208</v>
      </c>
      <c r="R733">
        <v>1</v>
      </c>
      <c r="S733" s="14" t="s">
        <v>166</v>
      </c>
      <c r="T733" t="s">
        <v>72</v>
      </c>
      <c r="U733" t="s">
        <v>271</v>
      </c>
      <c r="AD733">
        <v>4</v>
      </c>
      <c r="AE733" s="7" t="s">
        <v>186</v>
      </c>
      <c r="AF733">
        <v>18</v>
      </c>
      <c r="AG733">
        <v>0</v>
      </c>
      <c r="AH733">
        <v>0</v>
      </c>
      <c r="AI733">
        <v>80</v>
      </c>
    </row>
    <row r="734" spans="1:35" x14ac:dyDescent="0.35">
      <c r="A734" t="s">
        <v>192</v>
      </c>
      <c r="B734" t="s">
        <v>24</v>
      </c>
      <c r="C734" t="s">
        <v>33</v>
      </c>
      <c r="D734" t="s">
        <v>34</v>
      </c>
      <c r="E734" t="s">
        <v>309</v>
      </c>
      <c r="F734" t="s">
        <v>310</v>
      </c>
      <c r="G734" s="20" t="s">
        <v>38</v>
      </c>
      <c r="H734" s="20" t="s">
        <v>39</v>
      </c>
      <c r="I734" t="str">
        <f t="shared" si="15"/>
        <v>Apis mellifera</v>
      </c>
      <c r="J734" t="s">
        <v>70</v>
      </c>
      <c r="K734" t="s">
        <v>332</v>
      </c>
      <c r="L734" t="s">
        <v>275</v>
      </c>
      <c r="M734" t="s">
        <v>157</v>
      </c>
      <c r="N734">
        <v>694</v>
      </c>
      <c r="O734" t="s">
        <v>155</v>
      </c>
      <c r="P734" t="s">
        <v>222</v>
      </c>
      <c r="Q734" s="6">
        <v>45208</v>
      </c>
      <c r="R734">
        <v>0</v>
      </c>
      <c r="U734" t="s">
        <v>225</v>
      </c>
      <c r="AD734">
        <v>4</v>
      </c>
      <c r="AE734" s="7" t="s">
        <v>178</v>
      </c>
      <c r="AF734">
        <v>28</v>
      </c>
      <c r="AG734">
        <v>0</v>
      </c>
      <c r="AH734">
        <v>0</v>
      </c>
      <c r="AI734">
        <v>81</v>
      </c>
    </row>
    <row r="735" spans="1:35" x14ac:dyDescent="0.35">
      <c r="A735" t="s">
        <v>192</v>
      </c>
      <c r="B735" t="s">
        <v>24</v>
      </c>
      <c r="C735" t="s">
        <v>33</v>
      </c>
      <c r="D735" t="s">
        <v>34</v>
      </c>
      <c r="E735" t="s">
        <v>309</v>
      </c>
      <c r="F735" t="s">
        <v>310</v>
      </c>
      <c r="G735" s="20" t="s">
        <v>38</v>
      </c>
      <c r="H735" s="20" t="s">
        <v>39</v>
      </c>
      <c r="I735" t="str">
        <f t="shared" si="15"/>
        <v>Apis mellifera</v>
      </c>
      <c r="J735" t="s">
        <v>70</v>
      </c>
      <c r="K735" t="s">
        <v>332</v>
      </c>
      <c r="L735" t="s">
        <v>275</v>
      </c>
      <c r="M735" t="s">
        <v>157</v>
      </c>
      <c r="N735">
        <v>695</v>
      </c>
      <c r="O735" t="s">
        <v>155</v>
      </c>
      <c r="P735" t="s">
        <v>222</v>
      </c>
      <c r="Q735" s="6">
        <v>45208</v>
      </c>
      <c r="R735">
        <v>1</v>
      </c>
      <c r="U735" t="s">
        <v>225</v>
      </c>
      <c r="AD735">
        <v>3</v>
      </c>
      <c r="AE735" s="7" t="s">
        <v>178</v>
      </c>
      <c r="AF735">
        <v>28</v>
      </c>
      <c r="AG735">
        <v>0</v>
      </c>
      <c r="AH735">
        <v>0</v>
      </c>
      <c r="AI735">
        <v>82</v>
      </c>
    </row>
    <row r="736" spans="1:35" x14ac:dyDescent="0.35">
      <c r="A736" t="s">
        <v>192</v>
      </c>
      <c r="B736" t="s">
        <v>24</v>
      </c>
      <c r="C736" t="s">
        <v>33</v>
      </c>
      <c r="D736" t="s">
        <v>34</v>
      </c>
      <c r="E736" t="s">
        <v>309</v>
      </c>
      <c r="F736" t="s">
        <v>310</v>
      </c>
      <c r="G736" s="20" t="s">
        <v>38</v>
      </c>
      <c r="H736" s="20" t="s">
        <v>39</v>
      </c>
      <c r="I736" t="str">
        <f t="shared" si="15"/>
        <v>Apis mellifera</v>
      </c>
      <c r="J736" t="s">
        <v>70</v>
      </c>
      <c r="K736" t="s">
        <v>332</v>
      </c>
      <c r="L736" t="s">
        <v>275</v>
      </c>
      <c r="M736" t="s">
        <v>157</v>
      </c>
      <c r="N736">
        <v>696</v>
      </c>
      <c r="O736" t="s">
        <v>155</v>
      </c>
      <c r="P736" t="s">
        <v>222</v>
      </c>
      <c r="Q736" s="6">
        <v>45208</v>
      </c>
      <c r="R736">
        <v>0</v>
      </c>
      <c r="U736" t="s">
        <v>225</v>
      </c>
      <c r="AD736">
        <v>2</v>
      </c>
      <c r="AE736" s="7" t="s">
        <v>178</v>
      </c>
      <c r="AF736">
        <v>28</v>
      </c>
      <c r="AG736">
        <v>0</v>
      </c>
      <c r="AH736">
        <v>0</v>
      </c>
      <c r="AI736">
        <v>83</v>
      </c>
    </row>
    <row r="737" spans="1:35" x14ac:dyDescent="0.35">
      <c r="A737" t="s">
        <v>192</v>
      </c>
      <c r="B737" t="s">
        <v>24</v>
      </c>
      <c r="C737" t="s">
        <v>33</v>
      </c>
      <c r="D737" t="s">
        <v>34</v>
      </c>
      <c r="E737" t="s">
        <v>309</v>
      </c>
      <c r="F737" t="s">
        <v>310</v>
      </c>
      <c r="G737" s="20" t="s">
        <v>38</v>
      </c>
      <c r="H737" s="20" t="s">
        <v>39</v>
      </c>
      <c r="I737" t="str">
        <f t="shared" si="15"/>
        <v>Apis mellifera</v>
      </c>
      <c r="J737" t="s">
        <v>70</v>
      </c>
      <c r="K737" t="s">
        <v>332</v>
      </c>
      <c r="L737" t="s">
        <v>275</v>
      </c>
      <c r="M737" t="s">
        <v>157</v>
      </c>
      <c r="N737">
        <v>697</v>
      </c>
      <c r="O737" t="s">
        <v>155</v>
      </c>
      <c r="P737" t="s">
        <v>222</v>
      </c>
      <c r="Q737" s="6">
        <v>45208</v>
      </c>
      <c r="R737">
        <v>0</v>
      </c>
      <c r="U737" t="s">
        <v>225</v>
      </c>
      <c r="AD737">
        <v>6</v>
      </c>
      <c r="AE737" s="7" t="s">
        <v>178</v>
      </c>
      <c r="AF737">
        <v>28</v>
      </c>
      <c r="AG737">
        <v>0</v>
      </c>
      <c r="AH737">
        <v>0</v>
      </c>
      <c r="AI737">
        <v>84</v>
      </c>
    </row>
    <row r="738" spans="1:35" x14ac:dyDescent="0.35">
      <c r="A738" t="s">
        <v>192</v>
      </c>
      <c r="B738" t="s">
        <v>24</v>
      </c>
      <c r="C738" t="s">
        <v>33</v>
      </c>
      <c r="D738" t="s">
        <v>34</v>
      </c>
      <c r="E738" t="s">
        <v>309</v>
      </c>
      <c r="F738" t="s">
        <v>310</v>
      </c>
      <c r="G738" s="20" t="s">
        <v>38</v>
      </c>
      <c r="H738" s="20" t="s">
        <v>39</v>
      </c>
      <c r="I738" t="str">
        <f t="shared" si="15"/>
        <v>Apis mellifera</v>
      </c>
      <c r="J738" t="s">
        <v>70</v>
      </c>
      <c r="K738" t="s">
        <v>332</v>
      </c>
      <c r="L738" t="s">
        <v>275</v>
      </c>
      <c r="M738" t="s">
        <v>157</v>
      </c>
      <c r="N738">
        <v>698</v>
      </c>
      <c r="O738" t="s">
        <v>155</v>
      </c>
      <c r="P738" t="s">
        <v>222</v>
      </c>
      <c r="Q738" s="6">
        <v>45208</v>
      </c>
      <c r="R738">
        <v>0</v>
      </c>
      <c r="U738" t="s">
        <v>225</v>
      </c>
      <c r="AD738">
        <v>3</v>
      </c>
      <c r="AE738" s="7" t="s">
        <v>178</v>
      </c>
      <c r="AF738">
        <v>28</v>
      </c>
      <c r="AG738">
        <v>0</v>
      </c>
      <c r="AH738">
        <v>0</v>
      </c>
      <c r="AI738">
        <v>85</v>
      </c>
    </row>
    <row r="739" spans="1:35" x14ac:dyDescent="0.35">
      <c r="A739" t="s">
        <v>192</v>
      </c>
      <c r="B739" t="s">
        <v>24</v>
      </c>
      <c r="C739" t="s">
        <v>33</v>
      </c>
      <c r="D739" t="s">
        <v>34</v>
      </c>
      <c r="E739" t="s">
        <v>309</v>
      </c>
      <c r="F739" t="s">
        <v>310</v>
      </c>
      <c r="G739" s="20" t="s">
        <v>38</v>
      </c>
      <c r="H739" s="20" t="s">
        <v>39</v>
      </c>
      <c r="I739" t="str">
        <f t="shared" si="15"/>
        <v>Apis mellifera</v>
      </c>
      <c r="J739" t="s">
        <v>70</v>
      </c>
      <c r="K739" t="s">
        <v>332</v>
      </c>
      <c r="L739" t="s">
        <v>275</v>
      </c>
      <c r="M739" t="s">
        <v>157</v>
      </c>
      <c r="N739">
        <v>699</v>
      </c>
      <c r="O739" t="s">
        <v>155</v>
      </c>
      <c r="P739" t="s">
        <v>222</v>
      </c>
      <c r="Q739" s="6">
        <v>45208</v>
      </c>
      <c r="R739">
        <v>1</v>
      </c>
      <c r="U739" t="s">
        <v>225</v>
      </c>
      <c r="AD739">
        <v>4</v>
      </c>
      <c r="AE739" s="7" t="s">
        <v>178</v>
      </c>
      <c r="AF739">
        <v>28</v>
      </c>
      <c r="AG739">
        <v>0</v>
      </c>
      <c r="AH739">
        <v>0</v>
      </c>
      <c r="AI739">
        <v>86</v>
      </c>
    </row>
    <row r="740" spans="1:35" x14ac:dyDescent="0.35">
      <c r="A740" t="s">
        <v>192</v>
      </c>
      <c r="B740" t="s">
        <v>24</v>
      </c>
      <c r="C740" t="s">
        <v>33</v>
      </c>
      <c r="D740" t="s">
        <v>34</v>
      </c>
      <c r="E740" t="s">
        <v>309</v>
      </c>
      <c r="F740" t="s">
        <v>310</v>
      </c>
      <c r="G740" s="20" t="s">
        <v>38</v>
      </c>
      <c r="H740" s="20" t="s">
        <v>39</v>
      </c>
      <c r="I740" t="str">
        <f t="shared" si="15"/>
        <v>Apis mellifera</v>
      </c>
      <c r="J740" t="s">
        <v>70</v>
      </c>
      <c r="K740" t="s">
        <v>332</v>
      </c>
      <c r="L740" t="s">
        <v>275</v>
      </c>
      <c r="M740" t="s">
        <v>157</v>
      </c>
      <c r="N740">
        <v>700</v>
      </c>
      <c r="O740" t="s">
        <v>155</v>
      </c>
      <c r="P740" t="s">
        <v>222</v>
      </c>
      <c r="Q740" s="6">
        <v>45208</v>
      </c>
      <c r="R740">
        <v>1</v>
      </c>
      <c r="U740" t="s">
        <v>225</v>
      </c>
      <c r="AD740">
        <v>2</v>
      </c>
      <c r="AE740" s="7" t="s">
        <v>178</v>
      </c>
      <c r="AF740">
        <v>28</v>
      </c>
      <c r="AG740">
        <v>0</v>
      </c>
      <c r="AH740">
        <v>0</v>
      </c>
      <c r="AI740">
        <v>87</v>
      </c>
    </row>
    <row r="741" spans="1:35" x14ac:dyDescent="0.35">
      <c r="A741" t="s">
        <v>192</v>
      </c>
      <c r="B741" t="s">
        <v>24</v>
      </c>
      <c r="C741" t="s">
        <v>33</v>
      </c>
      <c r="D741" t="s">
        <v>34</v>
      </c>
      <c r="E741" t="s">
        <v>309</v>
      </c>
      <c r="F741" t="s">
        <v>310</v>
      </c>
      <c r="G741" s="20" t="s">
        <v>38</v>
      </c>
      <c r="H741" s="20" t="s">
        <v>39</v>
      </c>
      <c r="I741" t="str">
        <f t="shared" si="15"/>
        <v>Apis mellifera</v>
      </c>
      <c r="J741" t="s">
        <v>70</v>
      </c>
      <c r="K741" t="s">
        <v>332</v>
      </c>
      <c r="L741" t="s">
        <v>275</v>
      </c>
      <c r="M741" t="s">
        <v>157</v>
      </c>
      <c r="N741">
        <v>702</v>
      </c>
      <c r="O741" t="s">
        <v>155</v>
      </c>
      <c r="P741" t="s">
        <v>222</v>
      </c>
      <c r="Q741" s="6">
        <v>45208</v>
      </c>
      <c r="R741">
        <v>1</v>
      </c>
      <c r="U741" t="s">
        <v>225</v>
      </c>
      <c r="AD741">
        <v>2</v>
      </c>
      <c r="AE741" s="7" t="s">
        <v>178</v>
      </c>
      <c r="AF741">
        <v>28</v>
      </c>
      <c r="AG741">
        <v>0</v>
      </c>
      <c r="AH741">
        <v>0</v>
      </c>
      <c r="AI741">
        <v>88</v>
      </c>
    </row>
    <row r="742" spans="1:35" x14ac:dyDescent="0.35">
      <c r="A742" t="s">
        <v>192</v>
      </c>
      <c r="B742" t="s">
        <v>24</v>
      </c>
      <c r="C742" t="s">
        <v>33</v>
      </c>
      <c r="D742" t="s">
        <v>34</v>
      </c>
      <c r="E742" t="s">
        <v>309</v>
      </c>
      <c r="F742" t="s">
        <v>310</v>
      </c>
      <c r="G742" s="20" t="s">
        <v>38</v>
      </c>
      <c r="H742" s="20" t="s">
        <v>39</v>
      </c>
      <c r="I742" t="str">
        <f t="shared" ref="I742:I805" si="16">G742&amp;" "&amp;H742</f>
        <v>Apis mellifera</v>
      </c>
      <c r="J742" t="s">
        <v>70</v>
      </c>
      <c r="K742" t="s">
        <v>332</v>
      </c>
      <c r="L742" t="s">
        <v>275</v>
      </c>
      <c r="M742" t="s">
        <v>157</v>
      </c>
      <c r="N742">
        <v>703</v>
      </c>
      <c r="O742" t="s">
        <v>155</v>
      </c>
      <c r="P742" t="s">
        <v>222</v>
      </c>
      <c r="Q742" s="6">
        <v>45208</v>
      </c>
      <c r="R742">
        <v>1</v>
      </c>
      <c r="U742" t="s">
        <v>225</v>
      </c>
      <c r="AD742">
        <v>2</v>
      </c>
      <c r="AE742" s="7" t="s">
        <v>178</v>
      </c>
      <c r="AF742">
        <v>28</v>
      </c>
      <c r="AG742">
        <v>0</v>
      </c>
      <c r="AH742">
        <v>0</v>
      </c>
      <c r="AI742">
        <v>89</v>
      </c>
    </row>
    <row r="743" spans="1:35" x14ac:dyDescent="0.35">
      <c r="A743" t="s">
        <v>192</v>
      </c>
      <c r="B743" t="s">
        <v>24</v>
      </c>
      <c r="C743" t="s">
        <v>33</v>
      </c>
      <c r="D743" t="s">
        <v>34</v>
      </c>
      <c r="E743" t="s">
        <v>309</v>
      </c>
      <c r="F743" t="s">
        <v>310</v>
      </c>
      <c r="G743" s="20" t="s">
        <v>38</v>
      </c>
      <c r="H743" s="20" t="s">
        <v>39</v>
      </c>
      <c r="I743" t="str">
        <f t="shared" si="16"/>
        <v>Apis mellifera</v>
      </c>
      <c r="J743" t="s">
        <v>70</v>
      </c>
      <c r="K743" t="s">
        <v>332</v>
      </c>
      <c r="L743" t="s">
        <v>275</v>
      </c>
      <c r="M743" t="s">
        <v>157</v>
      </c>
      <c r="N743">
        <v>704</v>
      </c>
      <c r="O743" t="s">
        <v>155</v>
      </c>
      <c r="P743" t="s">
        <v>222</v>
      </c>
      <c r="Q743" s="6">
        <v>45208</v>
      </c>
      <c r="U743" t="s">
        <v>225</v>
      </c>
      <c r="AD743">
        <v>3</v>
      </c>
      <c r="AE743" s="7" t="s">
        <v>178</v>
      </c>
      <c r="AF743">
        <v>28</v>
      </c>
      <c r="AG743">
        <v>0</v>
      </c>
      <c r="AH743">
        <v>0</v>
      </c>
      <c r="AI743">
        <v>90</v>
      </c>
    </row>
    <row r="744" spans="1:35" x14ac:dyDescent="0.35">
      <c r="A744" t="s">
        <v>192</v>
      </c>
      <c r="B744" t="s">
        <v>24</v>
      </c>
      <c r="C744" t="s">
        <v>33</v>
      </c>
      <c r="D744" t="s">
        <v>34</v>
      </c>
      <c r="E744" t="s">
        <v>309</v>
      </c>
      <c r="F744" t="s">
        <v>310</v>
      </c>
      <c r="G744" s="20" t="s">
        <v>38</v>
      </c>
      <c r="H744" s="20" t="s">
        <v>39</v>
      </c>
      <c r="I744" t="str">
        <f t="shared" si="16"/>
        <v>Apis mellifera</v>
      </c>
      <c r="J744" t="s">
        <v>70</v>
      </c>
      <c r="K744" t="s">
        <v>332</v>
      </c>
      <c r="L744" t="s">
        <v>275</v>
      </c>
      <c r="M744" t="s">
        <v>157</v>
      </c>
      <c r="N744">
        <v>705</v>
      </c>
      <c r="O744" t="s">
        <v>155</v>
      </c>
      <c r="P744" t="s">
        <v>222</v>
      </c>
      <c r="Q744" s="6">
        <v>45208</v>
      </c>
      <c r="R744">
        <v>0</v>
      </c>
      <c r="U744" t="s">
        <v>225</v>
      </c>
      <c r="AD744">
        <v>3</v>
      </c>
      <c r="AE744" s="7" t="s">
        <v>178</v>
      </c>
      <c r="AF744">
        <v>28</v>
      </c>
      <c r="AG744">
        <v>0</v>
      </c>
      <c r="AH744">
        <v>0</v>
      </c>
      <c r="AI744">
        <v>91</v>
      </c>
    </row>
    <row r="745" spans="1:35" x14ac:dyDescent="0.35">
      <c r="A745" t="s">
        <v>192</v>
      </c>
      <c r="B745" t="s">
        <v>24</v>
      </c>
      <c r="C745" t="s">
        <v>33</v>
      </c>
      <c r="D745" t="s">
        <v>34</v>
      </c>
      <c r="E745" t="s">
        <v>309</v>
      </c>
      <c r="F745" t="s">
        <v>310</v>
      </c>
      <c r="G745" s="20" t="s">
        <v>38</v>
      </c>
      <c r="H745" s="20" t="s">
        <v>39</v>
      </c>
      <c r="I745" t="str">
        <f t="shared" si="16"/>
        <v>Apis mellifera</v>
      </c>
      <c r="J745" t="s">
        <v>70</v>
      </c>
      <c r="K745" t="s">
        <v>332</v>
      </c>
      <c r="L745" t="s">
        <v>275</v>
      </c>
      <c r="M745" t="s">
        <v>157</v>
      </c>
      <c r="N745">
        <v>706</v>
      </c>
      <c r="O745" t="s">
        <v>155</v>
      </c>
      <c r="P745" t="s">
        <v>222</v>
      </c>
      <c r="Q745" s="6">
        <v>45208</v>
      </c>
      <c r="R745">
        <v>1</v>
      </c>
      <c r="U745" t="s">
        <v>225</v>
      </c>
      <c r="AD745">
        <v>2</v>
      </c>
      <c r="AE745" s="7" t="s">
        <v>177</v>
      </c>
      <c r="AF745">
        <v>34</v>
      </c>
      <c r="AG745">
        <v>0</v>
      </c>
      <c r="AH745">
        <v>0</v>
      </c>
      <c r="AI745">
        <v>92</v>
      </c>
    </row>
    <row r="746" spans="1:35" x14ac:dyDescent="0.35">
      <c r="A746" t="s">
        <v>192</v>
      </c>
      <c r="B746" t="s">
        <v>24</v>
      </c>
      <c r="C746" t="s">
        <v>33</v>
      </c>
      <c r="D746" t="s">
        <v>34</v>
      </c>
      <c r="E746" t="s">
        <v>309</v>
      </c>
      <c r="F746" t="s">
        <v>310</v>
      </c>
      <c r="G746" s="20" t="s">
        <v>38</v>
      </c>
      <c r="H746" s="20" t="s">
        <v>39</v>
      </c>
      <c r="I746" t="str">
        <f t="shared" si="16"/>
        <v>Apis mellifera</v>
      </c>
      <c r="J746" t="s">
        <v>70</v>
      </c>
      <c r="K746" t="s">
        <v>332</v>
      </c>
      <c r="L746" t="s">
        <v>275</v>
      </c>
      <c r="M746" t="s">
        <v>157</v>
      </c>
      <c r="N746">
        <v>707</v>
      </c>
      <c r="O746" t="s">
        <v>155</v>
      </c>
      <c r="P746" t="s">
        <v>222</v>
      </c>
      <c r="Q746" s="6">
        <v>45208</v>
      </c>
      <c r="R746">
        <v>1</v>
      </c>
      <c r="U746" t="s">
        <v>225</v>
      </c>
      <c r="AD746">
        <v>2</v>
      </c>
      <c r="AE746" s="7" t="s">
        <v>187</v>
      </c>
      <c r="AF746">
        <v>34</v>
      </c>
      <c r="AG746">
        <v>0</v>
      </c>
      <c r="AH746">
        <v>0</v>
      </c>
      <c r="AI746">
        <v>93</v>
      </c>
    </row>
    <row r="747" spans="1:35" x14ac:dyDescent="0.35">
      <c r="A747" t="s">
        <v>192</v>
      </c>
      <c r="B747" t="s">
        <v>24</v>
      </c>
      <c r="C747" t="s">
        <v>33</v>
      </c>
      <c r="D747" t="s">
        <v>34</v>
      </c>
      <c r="E747" t="s">
        <v>309</v>
      </c>
      <c r="F747" t="s">
        <v>310</v>
      </c>
      <c r="G747" s="20" t="s">
        <v>38</v>
      </c>
      <c r="H747" s="20" t="s">
        <v>39</v>
      </c>
      <c r="I747" t="str">
        <f t="shared" si="16"/>
        <v>Apis mellifera</v>
      </c>
      <c r="J747" t="s">
        <v>70</v>
      </c>
      <c r="K747" t="s">
        <v>332</v>
      </c>
      <c r="L747" t="s">
        <v>275</v>
      </c>
      <c r="M747" t="s">
        <v>157</v>
      </c>
      <c r="N747">
        <v>708</v>
      </c>
      <c r="O747" t="s">
        <v>155</v>
      </c>
      <c r="P747" t="s">
        <v>222</v>
      </c>
      <c r="Q747" s="6">
        <v>45208</v>
      </c>
      <c r="R747">
        <v>1</v>
      </c>
      <c r="U747" t="s">
        <v>225</v>
      </c>
      <c r="AD747">
        <v>5</v>
      </c>
      <c r="AE747" s="7" t="s">
        <v>178</v>
      </c>
      <c r="AF747">
        <v>34</v>
      </c>
      <c r="AG747">
        <v>0</v>
      </c>
      <c r="AH747">
        <v>0</v>
      </c>
      <c r="AI747">
        <v>94</v>
      </c>
    </row>
    <row r="748" spans="1:35" x14ac:dyDescent="0.35">
      <c r="A748" t="s">
        <v>192</v>
      </c>
      <c r="B748" t="s">
        <v>24</v>
      </c>
      <c r="C748" t="s">
        <v>33</v>
      </c>
      <c r="D748" t="s">
        <v>34</v>
      </c>
      <c r="E748" t="s">
        <v>309</v>
      </c>
      <c r="F748" t="s">
        <v>310</v>
      </c>
      <c r="G748" s="20" t="s">
        <v>38</v>
      </c>
      <c r="H748" s="20" t="s">
        <v>39</v>
      </c>
      <c r="I748" t="str">
        <f t="shared" si="16"/>
        <v>Apis mellifera</v>
      </c>
      <c r="J748" t="s">
        <v>70</v>
      </c>
      <c r="K748" t="s">
        <v>332</v>
      </c>
      <c r="L748" t="s">
        <v>275</v>
      </c>
      <c r="M748" t="s">
        <v>157</v>
      </c>
      <c r="N748">
        <v>709</v>
      </c>
      <c r="O748" t="s">
        <v>155</v>
      </c>
      <c r="P748" t="s">
        <v>222</v>
      </c>
      <c r="Q748" s="6">
        <v>45208</v>
      </c>
      <c r="R748">
        <v>1</v>
      </c>
      <c r="U748" t="s">
        <v>225</v>
      </c>
      <c r="AD748">
        <v>2</v>
      </c>
      <c r="AE748" s="7" t="s">
        <v>187</v>
      </c>
      <c r="AF748">
        <v>34</v>
      </c>
      <c r="AG748">
        <v>0</v>
      </c>
      <c r="AH748">
        <v>0</v>
      </c>
      <c r="AI748">
        <v>95</v>
      </c>
    </row>
    <row r="749" spans="1:35" x14ac:dyDescent="0.35">
      <c r="A749" t="s">
        <v>192</v>
      </c>
      <c r="B749" t="s">
        <v>24</v>
      </c>
      <c r="C749" t="s">
        <v>33</v>
      </c>
      <c r="D749" t="s">
        <v>34</v>
      </c>
      <c r="E749" t="s">
        <v>309</v>
      </c>
      <c r="F749" t="s">
        <v>310</v>
      </c>
      <c r="G749" s="20" t="s">
        <v>38</v>
      </c>
      <c r="H749" s="20" t="s">
        <v>39</v>
      </c>
      <c r="I749" t="str">
        <f t="shared" si="16"/>
        <v>Apis mellifera</v>
      </c>
      <c r="J749" t="s">
        <v>70</v>
      </c>
      <c r="K749" t="s">
        <v>332</v>
      </c>
      <c r="L749" t="s">
        <v>275</v>
      </c>
      <c r="M749" t="s">
        <v>157</v>
      </c>
      <c r="N749">
        <v>710</v>
      </c>
      <c r="O749" t="s">
        <v>155</v>
      </c>
      <c r="P749" t="s">
        <v>222</v>
      </c>
      <c r="Q749" s="6">
        <v>45208</v>
      </c>
      <c r="R749">
        <v>0</v>
      </c>
      <c r="U749" t="s">
        <v>225</v>
      </c>
      <c r="AD749">
        <v>4</v>
      </c>
      <c r="AE749" s="7" t="s">
        <v>177</v>
      </c>
      <c r="AF749">
        <v>34</v>
      </c>
      <c r="AG749">
        <v>0</v>
      </c>
      <c r="AH749">
        <v>0</v>
      </c>
      <c r="AI749">
        <v>96</v>
      </c>
    </row>
    <row r="750" spans="1:35" x14ac:dyDescent="0.35">
      <c r="A750" t="s">
        <v>192</v>
      </c>
      <c r="B750" t="s">
        <v>24</v>
      </c>
      <c r="C750" t="s">
        <v>33</v>
      </c>
      <c r="D750" t="s">
        <v>34</v>
      </c>
      <c r="E750" t="s">
        <v>309</v>
      </c>
      <c r="F750" t="s">
        <v>310</v>
      </c>
      <c r="G750" s="20" t="s">
        <v>38</v>
      </c>
      <c r="H750" s="20" t="s">
        <v>39</v>
      </c>
      <c r="I750" t="str">
        <f t="shared" si="16"/>
        <v>Apis mellifera</v>
      </c>
      <c r="J750" t="s">
        <v>70</v>
      </c>
      <c r="K750" t="s">
        <v>332</v>
      </c>
      <c r="L750" t="s">
        <v>275</v>
      </c>
      <c r="M750" t="s">
        <v>157</v>
      </c>
      <c r="N750">
        <v>712</v>
      </c>
      <c r="O750" t="s">
        <v>155</v>
      </c>
      <c r="P750" t="s">
        <v>222</v>
      </c>
      <c r="Q750" s="6">
        <v>45208</v>
      </c>
      <c r="R750">
        <v>1</v>
      </c>
      <c r="U750" t="s">
        <v>225</v>
      </c>
      <c r="AD750">
        <v>3</v>
      </c>
      <c r="AE750" s="7" t="s">
        <v>187</v>
      </c>
      <c r="AF750">
        <v>34</v>
      </c>
      <c r="AG750">
        <v>0</v>
      </c>
      <c r="AH750">
        <v>0</v>
      </c>
      <c r="AI750">
        <v>97</v>
      </c>
    </row>
    <row r="751" spans="1:35" x14ac:dyDescent="0.35">
      <c r="A751" t="s">
        <v>192</v>
      </c>
      <c r="B751" t="s">
        <v>24</v>
      </c>
      <c r="C751" t="s">
        <v>33</v>
      </c>
      <c r="D751" t="s">
        <v>34</v>
      </c>
      <c r="E751" t="s">
        <v>309</v>
      </c>
      <c r="F751" t="s">
        <v>310</v>
      </c>
      <c r="G751" s="20" t="s">
        <v>38</v>
      </c>
      <c r="H751" s="20" t="s">
        <v>39</v>
      </c>
      <c r="I751" t="str">
        <f t="shared" si="16"/>
        <v>Apis mellifera</v>
      </c>
      <c r="J751" t="s">
        <v>70</v>
      </c>
      <c r="K751" t="s">
        <v>332</v>
      </c>
      <c r="L751" t="s">
        <v>275</v>
      </c>
      <c r="M751" t="s">
        <v>157</v>
      </c>
      <c r="N751">
        <v>713</v>
      </c>
      <c r="O751" t="s">
        <v>155</v>
      </c>
      <c r="P751" t="s">
        <v>222</v>
      </c>
      <c r="Q751" s="6">
        <v>45208</v>
      </c>
      <c r="R751">
        <v>1</v>
      </c>
      <c r="U751" t="s">
        <v>225</v>
      </c>
      <c r="AD751">
        <v>2</v>
      </c>
      <c r="AE751" s="7" t="s">
        <v>187</v>
      </c>
      <c r="AF751">
        <v>34</v>
      </c>
      <c r="AG751">
        <v>0</v>
      </c>
      <c r="AH751">
        <v>0</v>
      </c>
      <c r="AI751">
        <v>98</v>
      </c>
    </row>
    <row r="752" spans="1:35" x14ac:dyDescent="0.35">
      <c r="A752" t="s">
        <v>192</v>
      </c>
      <c r="B752" t="s">
        <v>24</v>
      </c>
      <c r="C752" t="s">
        <v>33</v>
      </c>
      <c r="D752" t="s">
        <v>34</v>
      </c>
      <c r="E752" t="s">
        <v>309</v>
      </c>
      <c r="F752" t="s">
        <v>310</v>
      </c>
      <c r="G752" s="20" t="s">
        <v>38</v>
      </c>
      <c r="H752" s="20" t="s">
        <v>39</v>
      </c>
      <c r="I752" t="str">
        <f t="shared" si="16"/>
        <v>Apis mellifera</v>
      </c>
      <c r="J752" t="s">
        <v>70</v>
      </c>
      <c r="K752" t="s">
        <v>332</v>
      </c>
      <c r="L752" t="s">
        <v>275</v>
      </c>
      <c r="M752" t="s">
        <v>157</v>
      </c>
      <c r="N752">
        <v>714</v>
      </c>
      <c r="O752" t="s">
        <v>155</v>
      </c>
      <c r="P752" t="s">
        <v>222</v>
      </c>
      <c r="Q752" s="6">
        <v>45208</v>
      </c>
      <c r="R752">
        <v>1</v>
      </c>
      <c r="U752" t="s">
        <v>225</v>
      </c>
      <c r="AD752">
        <v>1</v>
      </c>
      <c r="AE752" s="7" t="s">
        <v>178</v>
      </c>
      <c r="AF752">
        <v>34</v>
      </c>
      <c r="AG752">
        <v>0</v>
      </c>
      <c r="AH752">
        <v>0</v>
      </c>
      <c r="AI752">
        <v>99</v>
      </c>
    </row>
    <row r="753" spans="1:35" x14ac:dyDescent="0.35">
      <c r="A753" t="s">
        <v>192</v>
      </c>
      <c r="B753" t="s">
        <v>24</v>
      </c>
      <c r="C753" t="s">
        <v>33</v>
      </c>
      <c r="D753" t="s">
        <v>34</v>
      </c>
      <c r="E753" t="s">
        <v>309</v>
      </c>
      <c r="F753" t="s">
        <v>310</v>
      </c>
      <c r="G753" s="20" t="s">
        <v>38</v>
      </c>
      <c r="H753" s="20" t="s">
        <v>39</v>
      </c>
      <c r="I753" t="str">
        <f t="shared" si="16"/>
        <v>Apis mellifera</v>
      </c>
      <c r="J753" t="s">
        <v>70</v>
      </c>
      <c r="K753" t="s">
        <v>332</v>
      </c>
      <c r="L753" t="s">
        <v>275</v>
      </c>
      <c r="M753" t="s">
        <v>157</v>
      </c>
      <c r="N753">
        <v>715</v>
      </c>
      <c r="O753" t="s">
        <v>155</v>
      </c>
      <c r="P753" t="s">
        <v>222</v>
      </c>
      <c r="Q753" s="6">
        <v>45208</v>
      </c>
      <c r="R753">
        <v>0</v>
      </c>
      <c r="U753" t="s">
        <v>225</v>
      </c>
      <c r="AD753">
        <v>3</v>
      </c>
      <c r="AE753" s="7" t="s">
        <v>177</v>
      </c>
      <c r="AF753">
        <v>34</v>
      </c>
      <c r="AG753">
        <v>0</v>
      </c>
      <c r="AH753">
        <v>0</v>
      </c>
      <c r="AI753">
        <v>100</v>
      </c>
    </row>
    <row r="754" spans="1:35" x14ac:dyDescent="0.35">
      <c r="A754" t="s">
        <v>192</v>
      </c>
      <c r="B754" t="s">
        <v>24</v>
      </c>
      <c r="C754" t="s">
        <v>33</v>
      </c>
      <c r="D754" t="s">
        <v>34</v>
      </c>
      <c r="E754" t="s">
        <v>309</v>
      </c>
      <c r="F754" t="s">
        <v>310</v>
      </c>
      <c r="G754" s="20" t="s">
        <v>38</v>
      </c>
      <c r="H754" s="20" t="s">
        <v>39</v>
      </c>
      <c r="I754" t="str">
        <f t="shared" si="16"/>
        <v>Apis mellifera</v>
      </c>
      <c r="J754" t="s">
        <v>70</v>
      </c>
      <c r="K754" t="s">
        <v>332</v>
      </c>
      <c r="L754" t="s">
        <v>275</v>
      </c>
      <c r="M754" t="s">
        <v>157</v>
      </c>
      <c r="N754">
        <v>716</v>
      </c>
      <c r="O754" t="s">
        <v>155</v>
      </c>
      <c r="P754" t="s">
        <v>222</v>
      </c>
      <c r="Q754" s="6">
        <v>45208</v>
      </c>
      <c r="R754">
        <v>1</v>
      </c>
      <c r="U754" t="s">
        <v>225</v>
      </c>
      <c r="AD754">
        <v>2</v>
      </c>
      <c r="AE754" s="7" t="s">
        <v>178</v>
      </c>
      <c r="AF754">
        <v>34</v>
      </c>
      <c r="AG754">
        <v>0</v>
      </c>
      <c r="AH754">
        <v>0</v>
      </c>
      <c r="AI754">
        <v>101</v>
      </c>
    </row>
    <row r="755" spans="1:35" x14ac:dyDescent="0.35">
      <c r="A755" t="s">
        <v>192</v>
      </c>
      <c r="B755" t="s">
        <v>24</v>
      </c>
      <c r="C755" t="s">
        <v>33</v>
      </c>
      <c r="D755" t="s">
        <v>34</v>
      </c>
      <c r="E755" t="s">
        <v>309</v>
      </c>
      <c r="F755" t="s">
        <v>310</v>
      </c>
      <c r="G755" s="20" t="s">
        <v>38</v>
      </c>
      <c r="H755" s="20" t="s">
        <v>39</v>
      </c>
      <c r="I755" t="str">
        <f t="shared" si="16"/>
        <v>Apis mellifera</v>
      </c>
      <c r="J755" t="s">
        <v>70</v>
      </c>
      <c r="K755" t="s">
        <v>332</v>
      </c>
      <c r="L755" t="s">
        <v>275</v>
      </c>
      <c r="M755" t="s">
        <v>157</v>
      </c>
      <c r="N755">
        <v>719</v>
      </c>
      <c r="O755" t="s">
        <v>155</v>
      </c>
      <c r="P755" t="s">
        <v>222</v>
      </c>
      <c r="Q755" s="6">
        <v>45208</v>
      </c>
      <c r="R755">
        <v>0</v>
      </c>
      <c r="S755" s="3" t="s">
        <v>166</v>
      </c>
      <c r="T755" t="s">
        <v>72</v>
      </c>
      <c r="U755" t="s">
        <v>271</v>
      </c>
      <c r="AD755">
        <v>3</v>
      </c>
      <c r="AE755" s="7" t="s">
        <v>187</v>
      </c>
      <c r="AF755">
        <v>34</v>
      </c>
      <c r="AG755">
        <v>0</v>
      </c>
      <c r="AH755">
        <v>0</v>
      </c>
      <c r="AI755">
        <v>102</v>
      </c>
    </row>
    <row r="756" spans="1:35" x14ac:dyDescent="0.35">
      <c r="A756" t="s">
        <v>192</v>
      </c>
      <c r="B756" t="s">
        <v>24</v>
      </c>
      <c r="C756" t="s">
        <v>33</v>
      </c>
      <c r="D756" t="s">
        <v>34</v>
      </c>
      <c r="E756" t="s">
        <v>309</v>
      </c>
      <c r="F756" t="s">
        <v>310</v>
      </c>
      <c r="G756" s="20" t="s">
        <v>38</v>
      </c>
      <c r="H756" s="20" t="s">
        <v>39</v>
      </c>
      <c r="I756" t="str">
        <f t="shared" si="16"/>
        <v>Apis mellifera</v>
      </c>
      <c r="J756" t="s">
        <v>70</v>
      </c>
      <c r="K756" t="s">
        <v>332</v>
      </c>
      <c r="L756" t="s">
        <v>275</v>
      </c>
      <c r="M756" t="s">
        <v>157</v>
      </c>
      <c r="N756">
        <v>720</v>
      </c>
      <c r="O756" t="s">
        <v>155</v>
      </c>
      <c r="P756" t="s">
        <v>222</v>
      </c>
      <c r="Q756" s="6">
        <v>45208</v>
      </c>
      <c r="R756">
        <v>1</v>
      </c>
      <c r="S756" s="3" t="s">
        <v>166</v>
      </c>
      <c r="T756" t="s">
        <v>72</v>
      </c>
      <c r="U756" t="s">
        <v>271</v>
      </c>
      <c r="AD756">
        <v>2</v>
      </c>
      <c r="AE756" s="7" t="s">
        <v>187</v>
      </c>
      <c r="AF756">
        <v>34</v>
      </c>
      <c r="AG756">
        <v>0</v>
      </c>
      <c r="AH756">
        <v>0</v>
      </c>
      <c r="AI756">
        <v>103</v>
      </c>
    </row>
    <row r="757" spans="1:35" x14ac:dyDescent="0.35">
      <c r="A757" t="s">
        <v>192</v>
      </c>
      <c r="B757" t="s">
        <v>24</v>
      </c>
      <c r="C757" t="s">
        <v>33</v>
      </c>
      <c r="D757" t="s">
        <v>34</v>
      </c>
      <c r="E757" t="s">
        <v>309</v>
      </c>
      <c r="F757" t="s">
        <v>310</v>
      </c>
      <c r="G757" s="20" t="s">
        <v>38</v>
      </c>
      <c r="H757" s="20" t="s">
        <v>39</v>
      </c>
      <c r="I757" t="str">
        <f t="shared" si="16"/>
        <v>Apis mellifera</v>
      </c>
      <c r="J757" t="s">
        <v>70</v>
      </c>
      <c r="K757" t="s">
        <v>332</v>
      </c>
      <c r="L757" t="s">
        <v>275</v>
      </c>
      <c r="M757" t="s">
        <v>157</v>
      </c>
      <c r="N757">
        <v>721</v>
      </c>
      <c r="O757" t="s">
        <v>155</v>
      </c>
      <c r="P757" t="s">
        <v>222</v>
      </c>
      <c r="Q757" s="6">
        <v>45208</v>
      </c>
      <c r="R757">
        <v>1</v>
      </c>
      <c r="U757" t="s">
        <v>225</v>
      </c>
      <c r="AD757">
        <v>2</v>
      </c>
      <c r="AE757" s="7" t="s">
        <v>178</v>
      </c>
      <c r="AF757">
        <v>37</v>
      </c>
      <c r="AG757">
        <v>0</v>
      </c>
      <c r="AH757">
        <v>0</v>
      </c>
      <c r="AI757">
        <v>104</v>
      </c>
    </row>
    <row r="758" spans="1:35" x14ac:dyDescent="0.35">
      <c r="A758" t="s">
        <v>192</v>
      </c>
      <c r="B758" t="s">
        <v>24</v>
      </c>
      <c r="C758" t="s">
        <v>33</v>
      </c>
      <c r="D758" t="s">
        <v>34</v>
      </c>
      <c r="E758" t="s">
        <v>309</v>
      </c>
      <c r="F758" t="s">
        <v>310</v>
      </c>
      <c r="G758" s="20" t="s">
        <v>38</v>
      </c>
      <c r="H758" s="20" t="s">
        <v>39</v>
      </c>
      <c r="I758" t="str">
        <f t="shared" si="16"/>
        <v>Apis mellifera</v>
      </c>
      <c r="J758" t="s">
        <v>70</v>
      </c>
      <c r="K758" t="s">
        <v>332</v>
      </c>
      <c r="L758" t="s">
        <v>275</v>
      </c>
      <c r="M758" t="s">
        <v>157</v>
      </c>
      <c r="N758">
        <v>722</v>
      </c>
      <c r="O758" t="s">
        <v>155</v>
      </c>
      <c r="P758" t="s">
        <v>222</v>
      </c>
      <c r="Q758" s="6">
        <v>45208</v>
      </c>
      <c r="R758">
        <v>1</v>
      </c>
      <c r="U758" t="s">
        <v>225</v>
      </c>
      <c r="AD758">
        <v>1</v>
      </c>
      <c r="AE758" s="7" t="s">
        <v>179</v>
      </c>
      <c r="AF758">
        <v>37</v>
      </c>
      <c r="AG758">
        <v>0</v>
      </c>
      <c r="AH758">
        <v>0</v>
      </c>
      <c r="AI758">
        <v>105</v>
      </c>
    </row>
    <row r="759" spans="1:35" x14ac:dyDescent="0.35">
      <c r="A759" t="s">
        <v>192</v>
      </c>
      <c r="B759" t="s">
        <v>24</v>
      </c>
      <c r="C759" t="s">
        <v>33</v>
      </c>
      <c r="D759" t="s">
        <v>34</v>
      </c>
      <c r="E759" t="s">
        <v>309</v>
      </c>
      <c r="F759" t="s">
        <v>310</v>
      </c>
      <c r="G759" s="20" t="s">
        <v>38</v>
      </c>
      <c r="H759" s="20" t="s">
        <v>39</v>
      </c>
      <c r="I759" t="str">
        <f t="shared" si="16"/>
        <v>Apis mellifera</v>
      </c>
      <c r="J759" t="s">
        <v>70</v>
      </c>
      <c r="K759" t="s">
        <v>332</v>
      </c>
      <c r="L759" t="s">
        <v>275</v>
      </c>
      <c r="M759" t="s">
        <v>157</v>
      </c>
      <c r="N759">
        <v>723</v>
      </c>
      <c r="O759" t="s">
        <v>155</v>
      </c>
      <c r="P759" t="s">
        <v>222</v>
      </c>
      <c r="Q759" s="6">
        <v>45208</v>
      </c>
      <c r="R759">
        <v>1</v>
      </c>
      <c r="U759" t="s">
        <v>225</v>
      </c>
      <c r="AD759">
        <v>1</v>
      </c>
      <c r="AE759" s="7" t="s">
        <v>178</v>
      </c>
      <c r="AF759">
        <v>37</v>
      </c>
      <c r="AG759">
        <v>0</v>
      </c>
      <c r="AH759">
        <v>0</v>
      </c>
      <c r="AI759">
        <v>106</v>
      </c>
    </row>
    <row r="760" spans="1:35" x14ac:dyDescent="0.35">
      <c r="A760" t="s">
        <v>192</v>
      </c>
      <c r="B760" t="s">
        <v>24</v>
      </c>
      <c r="C760" t="s">
        <v>33</v>
      </c>
      <c r="D760" t="s">
        <v>34</v>
      </c>
      <c r="E760" t="s">
        <v>309</v>
      </c>
      <c r="F760" t="s">
        <v>310</v>
      </c>
      <c r="G760" s="20" t="s">
        <v>38</v>
      </c>
      <c r="H760" s="20" t="s">
        <v>39</v>
      </c>
      <c r="I760" t="str">
        <f t="shared" si="16"/>
        <v>Apis mellifera</v>
      </c>
      <c r="J760" t="s">
        <v>70</v>
      </c>
      <c r="K760" t="s">
        <v>332</v>
      </c>
      <c r="L760" t="s">
        <v>275</v>
      </c>
      <c r="M760" t="s">
        <v>157</v>
      </c>
      <c r="N760">
        <v>724</v>
      </c>
      <c r="O760" t="s">
        <v>155</v>
      </c>
      <c r="P760" t="s">
        <v>222</v>
      </c>
      <c r="Q760" s="6">
        <v>45208</v>
      </c>
      <c r="R760">
        <v>1</v>
      </c>
      <c r="U760" t="s">
        <v>225</v>
      </c>
      <c r="AD760">
        <v>2</v>
      </c>
      <c r="AE760" s="7" t="s">
        <v>178</v>
      </c>
      <c r="AF760">
        <v>37</v>
      </c>
      <c r="AG760">
        <v>0</v>
      </c>
      <c r="AH760">
        <v>0</v>
      </c>
      <c r="AI760">
        <v>107</v>
      </c>
    </row>
    <row r="761" spans="1:35" x14ac:dyDescent="0.35">
      <c r="A761" t="s">
        <v>192</v>
      </c>
      <c r="B761" t="s">
        <v>24</v>
      </c>
      <c r="C761" t="s">
        <v>33</v>
      </c>
      <c r="D761" t="s">
        <v>34</v>
      </c>
      <c r="E761" t="s">
        <v>309</v>
      </c>
      <c r="F761" t="s">
        <v>310</v>
      </c>
      <c r="G761" s="20" t="s">
        <v>38</v>
      </c>
      <c r="H761" s="20" t="s">
        <v>39</v>
      </c>
      <c r="I761" t="str">
        <f t="shared" si="16"/>
        <v>Apis mellifera</v>
      </c>
      <c r="J761" t="s">
        <v>70</v>
      </c>
      <c r="K761" t="s">
        <v>332</v>
      </c>
      <c r="L761" t="s">
        <v>275</v>
      </c>
      <c r="M761" t="s">
        <v>157</v>
      </c>
      <c r="N761">
        <v>725</v>
      </c>
      <c r="O761" t="s">
        <v>155</v>
      </c>
      <c r="P761" t="s">
        <v>222</v>
      </c>
      <c r="Q761" s="6">
        <v>45208</v>
      </c>
      <c r="R761">
        <v>1</v>
      </c>
      <c r="U761" t="s">
        <v>225</v>
      </c>
      <c r="AD761">
        <v>3</v>
      </c>
      <c r="AE761" s="7" t="s">
        <v>178</v>
      </c>
      <c r="AF761">
        <v>37</v>
      </c>
      <c r="AG761">
        <v>0</v>
      </c>
      <c r="AH761">
        <v>0</v>
      </c>
      <c r="AI761">
        <v>108</v>
      </c>
    </row>
    <row r="762" spans="1:35" x14ac:dyDescent="0.35">
      <c r="A762" t="s">
        <v>192</v>
      </c>
      <c r="B762" t="s">
        <v>24</v>
      </c>
      <c r="C762" t="s">
        <v>33</v>
      </c>
      <c r="D762" t="s">
        <v>34</v>
      </c>
      <c r="E762" t="s">
        <v>309</v>
      </c>
      <c r="F762" t="s">
        <v>310</v>
      </c>
      <c r="G762" s="20" t="s">
        <v>38</v>
      </c>
      <c r="H762" s="20" t="s">
        <v>39</v>
      </c>
      <c r="I762" t="str">
        <f t="shared" si="16"/>
        <v>Apis mellifera</v>
      </c>
      <c r="J762" t="s">
        <v>70</v>
      </c>
      <c r="K762" t="s">
        <v>332</v>
      </c>
      <c r="L762" t="s">
        <v>275</v>
      </c>
      <c r="M762" t="s">
        <v>157</v>
      </c>
      <c r="N762">
        <v>726</v>
      </c>
      <c r="O762" t="s">
        <v>155</v>
      </c>
      <c r="P762" t="s">
        <v>222</v>
      </c>
      <c r="Q762" s="6">
        <v>45208</v>
      </c>
      <c r="R762">
        <v>1</v>
      </c>
      <c r="U762" t="s">
        <v>225</v>
      </c>
      <c r="AD762">
        <v>2</v>
      </c>
      <c r="AE762" s="7" t="s">
        <v>188</v>
      </c>
      <c r="AF762">
        <v>37</v>
      </c>
      <c r="AG762">
        <v>0</v>
      </c>
      <c r="AH762">
        <v>0</v>
      </c>
      <c r="AI762">
        <v>109</v>
      </c>
    </row>
    <row r="763" spans="1:35" x14ac:dyDescent="0.35">
      <c r="A763" t="s">
        <v>192</v>
      </c>
      <c r="B763" t="s">
        <v>24</v>
      </c>
      <c r="C763" t="s">
        <v>33</v>
      </c>
      <c r="D763" t="s">
        <v>34</v>
      </c>
      <c r="E763" t="s">
        <v>309</v>
      </c>
      <c r="F763" t="s">
        <v>310</v>
      </c>
      <c r="G763" s="20" t="s">
        <v>38</v>
      </c>
      <c r="H763" s="20" t="s">
        <v>39</v>
      </c>
      <c r="I763" t="str">
        <f t="shared" si="16"/>
        <v>Apis mellifera</v>
      </c>
      <c r="J763" t="s">
        <v>70</v>
      </c>
      <c r="K763" t="s">
        <v>332</v>
      </c>
      <c r="L763" t="s">
        <v>275</v>
      </c>
      <c r="M763" t="s">
        <v>157</v>
      </c>
      <c r="N763">
        <v>727</v>
      </c>
      <c r="O763" t="s">
        <v>155</v>
      </c>
      <c r="P763" t="s">
        <v>222</v>
      </c>
      <c r="Q763" s="6">
        <v>45208</v>
      </c>
      <c r="R763">
        <v>0</v>
      </c>
      <c r="U763" t="s">
        <v>225</v>
      </c>
      <c r="AD763">
        <v>2</v>
      </c>
      <c r="AE763" s="7" t="s">
        <v>177</v>
      </c>
      <c r="AF763">
        <v>37</v>
      </c>
      <c r="AG763">
        <v>0</v>
      </c>
      <c r="AH763">
        <v>0</v>
      </c>
      <c r="AI763">
        <v>110</v>
      </c>
    </row>
    <row r="764" spans="1:35" x14ac:dyDescent="0.35">
      <c r="A764" t="s">
        <v>192</v>
      </c>
      <c r="B764" t="s">
        <v>24</v>
      </c>
      <c r="C764" t="s">
        <v>33</v>
      </c>
      <c r="D764" t="s">
        <v>34</v>
      </c>
      <c r="E764" t="s">
        <v>309</v>
      </c>
      <c r="F764" t="s">
        <v>310</v>
      </c>
      <c r="G764" s="20" t="s">
        <v>38</v>
      </c>
      <c r="H764" s="20" t="s">
        <v>39</v>
      </c>
      <c r="I764" t="str">
        <f t="shared" si="16"/>
        <v>Apis mellifera</v>
      </c>
      <c r="J764" t="s">
        <v>70</v>
      </c>
      <c r="K764" t="s">
        <v>332</v>
      </c>
      <c r="L764" t="s">
        <v>275</v>
      </c>
      <c r="M764" t="s">
        <v>157</v>
      </c>
      <c r="N764">
        <v>728</v>
      </c>
      <c r="O764" t="s">
        <v>155</v>
      </c>
      <c r="P764" t="s">
        <v>222</v>
      </c>
      <c r="Q764" s="6">
        <v>45208</v>
      </c>
      <c r="R764">
        <v>0</v>
      </c>
      <c r="U764" t="s">
        <v>225</v>
      </c>
      <c r="AD764">
        <v>1</v>
      </c>
      <c r="AE764" s="7" t="s">
        <v>177</v>
      </c>
      <c r="AF764">
        <v>37</v>
      </c>
      <c r="AG764">
        <v>0</v>
      </c>
      <c r="AH764">
        <v>0</v>
      </c>
      <c r="AI764">
        <v>111</v>
      </c>
    </row>
    <row r="765" spans="1:35" x14ac:dyDescent="0.35">
      <c r="A765" t="s">
        <v>192</v>
      </c>
      <c r="B765" t="s">
        <v>24</v>
      </c>
      <c r="C765" t="s">
        <v>33</v>
      </c>
      <c r="D765" t="s">
        <v>34</v>
      </c>
      <c r="E765" t="s">
        <v>309</v>
      </c>
      <c r="F765" t="s">
        <v>310</v>
      </c>
      <c r="G765" s="20" t="s">
        <v>38</v>
      </c>
      <c r="H765" s="20" t="s">
        <v>39</v>
      </c>
      <c r="I765" t="str">
        <f t="shared" si="16"/>
        <v>Apis mellifera</v>
      </c>
      <c r="J765" t="s">
        <v>70</v>
      </c>
      <c r="K765" t="s">
        <v>332</v>
      </c>
      <c r="L765" t="s">
        <v>275</v>
      </c>
      <c r="M765" t="s">
        <v>157</v>
      </c>
      <c r="N765">
        <v>729</v>
      </c>
      <c r="O765" t="s">
        <v>155</v>
      </c>
      <c r="P765" t="s">
        <v>222</v>
      </c>
      <c r="Q765" s="6">
        <v>45208</v>
      </c>
      <c r="R765">
        <v>1</v>
      </c>
      <c r="U765" t="s">
        <v>225</v>
      </c>
      <c r="AD765">
        <v>1</v>
      </c>
      <c r="AE765" s="7" t="s">
        <v>178</v>
      </c>
      <c r="AF765">
        <v>37</v>
      </c>
      <c r="AG765">
        <v>0</v>
      </c>
      <c r="AH765">
        <v>0</v>
      </c>
      <c r="AI765">
        <v>112</v>
      </c>
    </row>
    <row r="766" spans="1:35" x14ac:dyDescent="0.35">
      <c r="A766" t="s">
        <v>192</v>
      </c>
      <c r="B766" t="s">
        <v>24</v>
      </c>
      <c r="C766" t="s">
        <v>33</v>
      </c>
      <c r="D766" t="s">
        <v>34</v>
      </c>
      <c r="E766" t="s">
        <v>309</v>
      </c>
      <c r="F766" t="s">
        <v>310</v>
      </c>
      <c r="G766" s="20" t="s">
        <v>38</v>
      </c>
      <c r="H766" s="20" t="s">
        <v>39</v>
      </c>
      <c r="I766" t="str">
        <f t="shared" si="16"/>
        <v>Apis mellifera</v>
      </c>
      <c r="J766" t="s">
        <v>70</v>
      </c>
      <c r="K766" t="s">
        <v>332</v>
      </c>
      <c r="L766" t="s">
        <v>275</v>
      </c>
      <c r="M766" t="s">
        <v>157</v>
      </c>
      <c r="N766">
        <v>730</v>
      </c>
      <c r="O766" t="s">
        <v>155</v>
      </c>
      <c r="P766" t="s">
        <v>222</v>
      </c>
      <c r="Q766" s="6">
        <v>45208</v>
      </c>
      <c r="R766">
        <v>1</v>
      </c>
      <c r="U766" t="s">
        <v>225</v>
      </c>
      <c r="AD766">
        <v>1</v>
      </c>
      <c r="AE766" s="7" t="s">
        <v>177</v>
      </c>
      <c r="AF766">
        <v>37</v>
      </c>
      <c r="AG766">
        <v>0</v>
      </c>
      <c r="AH766">
        <v>0</v>
      </c>
      <c r="AI766">
        <v>113</v>
      </c>
    </row>
    <row r="767" spans="1:35" x14ac:dyDescent="0.35">
      <c r="A767" t="s">
        <v>192</v>
      </c>
      <c r="B767" t="s">
        <v>24</v>
      </c>
      <c r="C767" t="s">
        <v>33</v>
      </c>
      <c r="D767" t="s">
        <v>34</v>
      </c>
      <c r="E767" t="s">
        <v>309</v>
      </c>
      <c r="F767" t="s">
        <v>310</v>
      </c>
      <c r="G767" s="20" t="s">
        <v>38</v>
      </c>
      <c r="H767" s="20" t="s">
        <v>39</v>
      </c>
      <c r="I767" t="str">
        <f t="shared" si="16"/>
        <v>Apis mellifera</v>
      </c>
      <c r="J767" t="s">
        <v>70</v>
      </c>
      <c r="K767" t="s">
        <v>332</v>
      </c>
      <c r="L767" t="s">
        <v>275</v>
      </c>
      <c r="M767" t="s">
        <v>157</v>
      </c>
      <c r="N767">
        <v>731</v>
      </c>
      <c r="O767" t="s">
        <v>155</v>
      </c>
      <c r="P767" t="s">
        <v>222</v>
      </c>
      <c r="Q767" s="6">
        <v>45208</v>
      </c>
      <c r="R767">
        <v>0</v>
      </c>
      <c r="U767" t="s">
        <v>225</v>
      </c>
      <c r="AD767">
        <v>1</v>
      </c>
      <c r="AE767" s="7" t="s">
        <v>178</v>
      </c>
      <c r="AF767">
        <v>37</v>
      </c>
      <c r="AG767">
        <v>0</v>
      </c>
      <c r="AH767">
        <v>0</v>
      </c>
      <c r="AI767">
        <v>114</v>
      </c>
    </row>
    <row r="768" spans="1:35" x14ac:dyDescent="0.35">
      <c r="A768" t="s">
        <v>192</v>
      </c>
      <c r="B768" t="s">
        <v>24</v>
      </c>
      <c r="C768" t="s">
        <v>33</v>
      </c>
      <c r="D768" t="s">
        <v>34</v>
      </c>
      <c r="E768" t="s">
        <v>309</v>
      </c>
      <c r="F768" t="s">
        <v>310</v>
      </c>
      <c r="G768" s="20" t="s">
        <v>38</v>
      </c>
      <c r="H768" s="20" t="s">
        <v>39</v>
      </c>
      <c r="I768" t="str">
        <f t="shared" si="16"/>
        <v>Apis mellifera</v>
      </c>
      <c r="J768" t="s">
        <v>70</v>
      </c>
      <c r="K768" t="s">
        <v>332</v>
      </c>
      <c r="L768" t="s">
        <v>275</v>
      </c>
      <c r="M768" t="s">
        <v>157</v>
      </c>
      <c r="N768">
        <v>732</v>
      </c>
      <c r="O768" t="s">
        <v>155</v>
      </c>
      <c r="P768" t="s">
        <v>222</v>
      </c>
      <c r="Q768" s="6">
        <v>45208</v>
      </c>
      <c r="R768">
        <v>1</v>
      </c>
      <c r="U768" t="s">
        <v>225</v>
      </c>
      <c r="AD768">
        <v>2</v>
      </c>
      <c r="AE768" s="7" t="s">
        <v>177</v>
      </c>
      <c r="AF768">
        <v>37</v>
      </c>
      <c r="AG768">
        <v>0</v>
      </c>
      <c r="AH768">
        <v>0</v>
      </c>
      <c r="AI768">
        <v>115</v>
      </c>
    </row>
    <row r="769" spans="1:35" x14ac:dyDescent="0.35">
      <c r="A769" t="s">
        <v>192</v>
      </c>
      <c r="B769" t="s">
        <v>24</v>
      </c>
      <c r="C769" t="s">
        <v>33</v>
      </c>
      <c r="D769" t="s">
        <v>34</v>
      </c>
      <c r="E769" t="s">
        <v>309</v>
      </c>
      <c r="F769" t="s">
        <v>310</v>
      </c>
      <c r="G769" s="20" t="s">
        <v>38</v>
      </c>
      <c r="H769" s="20" t="s">
        <v>39</v>
      </c>
      <c r="I769" t="str">
        <f t="shared" si="16"/>
        <v>Apis mellifera</v>
      </c>
      <c r="J769" t="s">
        <v>70</v>
      </c>
      <c r="K769" t="s">
        <v>332</v>
      </c>
      <c r="L769" t="s">
        <v>275</v>
      </c>
      <c r="M769" t="s">
        <v>157</v>
      </c>
      <c r="N769">
        <v>733</v>
      </c>
      <c r="O769" t="s">
        <v>155</v>
      </c>
      <c r="P769" t="s">
        <v>222</v>
      </c>
      <c r="Q769" s="6">
        <v>45208</v>
      </c>
      <c r="R769">
        <v>1</v>
      </c>
      <c r="U769" t="s">
        <v>225</v>
      </c>
      <c r="AD769">
        <v>1</v>
      </c>
      <c r="AE769" s="7" t="s">
        <v>178</v>
      </c>
      <c r="AF769">
        <v>37</v>
      </c>
      <c r="AG769">
        <v>0</v>
      </c>
      <c r="AH769">
        <v>0</v>
      </c>
      <c r="AI769">
        <v>116</v>
      </c>
    </row>
    <row r="770" spans="1:35" x14ac:dyDescent="0.35">
      <c r="A770" t="s">
        <v>192</v>
      </c>
      <c r="B770" t="s">
        <v>24</v>
      </c>
      <c r="C770" t="s">
        <v>33</v>
      </c>
      <c r="D770" t="s">
        <v>34</v>
      </c>
      <c r="E770" t="s">
        <v>309</v>
      </c>
      <c r="F770" t="s">
        <v>310</v>
      </c>
      <c r="G770" s="20" t="s">
        <v>38</v>
      </c>
      <c r="H770" s="20" t="s">
        <v>39</v>
      </c>
      <c r="I770" t="str">
        <f t="shared" si="16"/>
        <v>Apis mellifera</v>
      </c>
      <c r="J770" t="s">
        <v>70</v>
      </c>
      <c r="K770" t="s">
        <v>332</v>
      </c>
      <c r="L770" t="s">
        <v>275</v>
      </c>
      <c r="M770" t="s">
        <v>157</v>
      </c>
      <c r="N770">
        <v>734</v>
      </c>
      <c r="O770" t="s">
        <v>155</v>
      </c>
      <c r="P770" t="s">
        <v>222</v>
      </c>
      <c r="Q770" s="6">
        <v>45208</v>
      </c>
      <c r="R770">
        <v>1</v>
      </c>
      <c r="U770" t="s">
        <v>225</v>
      </c>
      <c r="AD770">
        <v>1</v>
      </c>
      <c r="AE770" s="7" t="s">
        <v>177</v>
      </c>
      <c r="AF770">
        <v>37</v>
      </c>
      <c r="AG770">
        <v>0</v>
      </c>
      <c r="AH770">
        <v>0</v>
      </c>
      <c r="AI770">
        <v>117</v>
      </c>
    </row>
    <row r="771" spans="1:35" x14ac:dyDescent="0.35">
      <c r="A771" t="s">
        <v>192</v>
      </c>
      <c r="B771" t="s">
        <v>24</v>
      </c>
      <c r="C771" t="s">
        <v>33</v>
      </c>
      <c r="D771" t="s">
        <v>34</v>
      </c>
      <c r="E771" t="s">
        <v>309</v>
      </c>
      <c r="F771" t="s">
        <v>310</v>
      </c>
      <c r="G771" s="20" t="s">
        <v>38</v>
      </c>
      <c r="H771" s="20" t="s">
        <v>39</v>
      </c>
      <c r="I771" t="str">
        <f t="shared" si="16"/>
        <v>Apis mellifera</v>
      </c>
      <c r="J771" t="s">
        <v>70</v>
      </c>
      <c r="K771" t="s">
        <v>332</v>
      </c>
      <c r="L771" t="s">
        <v>275</v>
      </c>
      <c r="M771" t="s">
        <v>157</v>
      </c>
      <c r="N771">
        <v>735</v>
      </c>
      <c r="O771" t="s">
        <v>155</v>
      </c>
      <c r="P771" t="s">
        <v>222</v>
      </c>
      <c r="Q771" s="6">
        <v>45208</v>
      </c>
      <c r="R771">
        <v>0</v>
      </c>
      <c r="U771" t="s">
        <v>225</v>
      </c>
      <c r="AD771">
        <v>1</v>
      </c>
      <c r="AE771" s="7" t="s">
        <v>178</v>
      </c>
      <c r="AF771">
        <v>37</v>
      </c>
      <c r="AG771">
        <v>0</v>
      </c>
      <c r="AH771">
        <v>0</v>
      </c>
      <c r="AI771">
        <v>118</v>
      </c>
    </row>
    <row r="772" spans="1:35" x14ac:dyDescent="0.35">
      <c r="A772" t="s">
        <v>192</v>
      </c>
      <c r="B772" t="s">
        <v>24</v>
      </c>
      <c r="C772" t="s">
        <v>33</v>
      </c>
      <c r="D772" t="s">
        <v>34</v>
      </c>
      <c r="E772" t="s">
        <v>309</v>
      </c>
      <c r="F772" t="s">
        <v>310</v>
      </c>
      <c r="G772" s="20" t="s">
        <v>38</v>
      </c>
      <c r="H772" s="20" t="s">
        <v>39</v>
      </c>
      <c r="I772" t="str">
        <f t="shared" si="16"/>
        <v>Apis mellifera</v>
      </c>
      <c r="J772" t="s">
        <v>70</v>
      </c>
      <c r="K772" t="s">
        <v>332</v>
      </c>
      <c r="L772" t="s">
        <v>275</v>
      </c>
      <c r="M772" t="s">
        <v>157</v>
      </c>
      <c r="N772">
        <v>736</v>
      </c>
      <c r="O772" t="s">
        <v>155</v>
      </c>
      <c r="P772" t="s">
        <v>222</v>
      </c>
      <c r="Q772" s="6">
        <v>45208</v>
      </c>
      <c r="R772">
        <v>1</v>
      </c>
      <c r="U772" t="s">
        <v>225</v>
      </c>
      <c r="AD772">
        <v>1</v>
      </c>
      <c r="AE772" s="7" t="s">
        <v>178</v>
      </c>
      <c r="AF772">
        <v>37</v>
      </c>
      <c r="AG772">
        <v>0</v>
      </c>
      <c r="AH772">
        <v>0</v>
      </c>
      <c r="AI772">
        <v>119</v>
      </c>
    </row>
    <row r="773" spans="1:35" x14ac:dyDescent="0.35">
      <c r="A773" t="s">
        <v>192</v>
      </c>
      <c r="B773" t="s">
        <v>24</v>
      </c>
      <c r="C773" t="s">
        <v>33</v>
      </c>
      <c r="D773" t="s">
        <v>34</v>
      </c>
      <c r="E773" t="s">
        <v>309</v>
      </c>
      <c r="F773" t="s">
        <v>310</v>
      </c>
      <c r="G773" s="20" t="s">
        <v>38</v>
      </c>
      <c r="H773" s="20" t="s">
        <v>39</v>
      </c>
      <c r="I773" t="str">
        <f t="shared" si="16"/>
        <v>Apis mellifera</v>
      </c>
      <c r="J773" t="s">
        <v>70</v>
      </c>
      <c r="K773" t="s">
        <v>332</v>
      </c>
      <c r="L773" t="s">
        <v>275</v>
      </c>
      <c r="M773" t="s">
        <v>157</v>
      </c>
      <c r="N773">
        <v>737</v>
      </c>
      <c r="O773" t="s">
        <v>155</v>
      </c>
      <c r="P773" t="s">
        <v>222</v>
      </c>
      <c r="Q773" s="6">
        <v>45208</v>
      </c>
      <c r="R773">
        <v>0</v>
      </c>
      <c r="U773" t="s">
        <v>225</v>
      </c>
      <c r="AD773">
        <v>1</v>
      </c>
      <c r="AE773" s="7" t="s">
        <v>177</v>
      </c>
      <c r="AF773">
        <v>37</v>
      </c>
      <c r="AG773">
        <v>0</v>
      </c>
      <c r="AH773">
        <v>0</v>
      </c>
      <c r="AI773">
        <v>120</v>
      </c>
    </row>
    <row r="774" spans="1:35" x14ac:dyDescent="0.35">
      <c r="A774" t="s">
        <v>192</v>
      </c>
      <c r="B774" t="s">
        <v>24</v>
      </c>
      <c r="C774" t="s">
        <v>33</v>
      </c>
      <c r="D774" t="s">
        <v>34</v>
      </c>
      <c r="E774" t="s">
        <v>309</v>
      </c>
      <c r="F774" t="s">
        <v>310</v>
      </c>
      <c r="G774" s="20" t="s">
        <v>38</v>
      </c>
      <c r="H774" s="20" t="s">
        <v>39</v>
      </c>
      <c r="I774" t="str">
        <f t="shared" si="16"/>
        <v>Apis mellifera</v>
      </c>
      <c r="J774" t="s">
        <v>70</v>
      </c>
      <c r="K774" t="s">
        <v>332</v>
      </c>
      <c r="L774" t="s">
        <v>275</v>
      </c>
      <c r="M774" t="s">
        <v>157</v>
      </c>
      <c r="N774">
        <v>740</v>
      </c>
      <c r="O774" t="s">
        <v>155</v>
      </c>
      <c r="P774" t="s">
        <v>222</v>
      </c>
      <c r="Q774" s="6">
        <v>45208</v>
      </c>
      <c r="R774">
        <v>1</v>
      </c>
      <c r="U774" t="s">
        <v>225</v>
      </c>
      <c r="AD774">
        <v>1</v>
      </c>
      <c r="AE774" s="7" t="s">
        <v>178</v>
      </c>
      <c r="AF774">
        <v>37</v>
      </c>
      <c r="AG774">
        <v>0</v>
      </c>
      <c r="AH774">
        <v>0</v>
      </c>
      <c r="AI774">
        <v>121</v>
      </c>
    </row>
    <row r="775" spans="1:35" x14ac:dyDescent="0.35">
      <c r="A775" t="s">
        <v>192</v>
      </c>
      <c r="B775" t="s">
        <v>24</v>
      </c>
      <c r="C775" t="s">
        <v>33</v>
      </c>
      <c r="D775" t="s">
        <v>34</v>
      </c>
      <c r="E775" t="s">
        <v>309</v>
      </c>
      <c r="F775" t="s">
        <v>310</v>
      </c>
      <c r="G775" s="20" t="s">
        <v>38</v>
      </c>
      <c r="H775" s="20" t="s">
        <v>39</v>
      </c>
      <c r="I775" t="str">
        <f t="shared" si="16"/>
        <v>Apis mellifera</v>
      </c>
      <c r="J775" t="s">
        <v>70</v>
      </c>
      <c r="K775" t="s">
        <v>332</v>
      </c>
      <c r="L775" t="s">
        <v>275</v>
      </c>
      <c r="M775" t="s">
        <v>157</v>
      </c>
      <c r="N775">
        <v>741</v>
      </c>
      <c r="O775" t="s">
        <v>155</v>
      </c>
      <c r="P775" t="s">
        <v>222</v>
      </c>
      <c r="Q775" s="6">
        <v>45208</v>
      </c>
      <c r="R775">
        <v>0</v>
      </c>
      <c r="U775" t="s">
        <v>225</v>
      </c>
      <c r="AE775" s="7" t="s">
        <v>177</v>
      </c>
      <c r="AF775">
        <v>37</v>
      </c>
      <c r="AG775">
        <v>0</v>
      </c>
      <c r="AH775">
        <v>0</v>
      </c>
      <c r="AI775">
        <v>122</v>
      </c>
    </row>
    <row r="776" spans="1:35" x14ac:dyDescent="0.35">
      <c r="A776" t="s">
        <v>192</v>
      </c>
      <c r="B776" t="s">
        <v>24</v>
      </c>
      <c r="C776" t="s">
        <v>33</v>
      </c>
      <c r="D776" t="s">
        <v>34</v>
      </c>
      <c r="E776" t="s">
        <v>309</v>
      </c>
      <c r="F776" t="s">
        <v>310</v>
      </c>
      <c r="G776" s="20" t="s">
        <v>38</v>
      </c>
      <c r="H776" s="20" t="s">
        <v>39</v>
      </c>
      <c r="I776" t="str">
        <f t="shared" si="16"/>
        <v>Apis mellifera</v>
      </c>
      <c r="J776" t="s">
        <v>70</v>
      </c>
      <c r="K776" t="s">
        <v>332</v>
      </c>
      <c r="L776" t="s">
        <v>275</v>
      </c>
      <c r="M776" t="s">
        <v>157</v>
      </c>
      <c r="N776">
        <v>742</v>
      </c>
      <c r="O776" t="s">
        <v>155</v>
      </c>
      <c r="P776" t="s">
        <v>222</v>
      </c>
      <c r="Q776" s="6">
        <v>45208</v>
      </c>
      <c r="R776">
        <v>1</v>
      </c>
      <c r="U776" t="s">
        <v>225</v>
      </c>
      <c r="AE776" s="7" t="s">
        <v>178</v>
      </c>
      <c r="AF776">
        <v>37</v>
      </c>
      <c r="AG776">
        <v>0</v>
      </c>
      <c r="AH776">
        <v>0</v>
      </c>
      <c r="AI776">
        <v>123</v>
      </c>
    </row>
    <row r="777" spans="1:35" x14ac:dyDescent="0.35">
      <c r="A777" t="s">
        <v>192</v>
      </c>
      <c r="B777" t="s">
        <v>24</v>
      </c>
      <c r="C777" t="s">
        <v>33</v>
      </c>
      <c r="D777" t="s">
        <v>34</v>
      </c>
      <c r="E777" t="s">
        <v>309</v>
      </c>
      <c r="F777" t="s">
        <v>310</v>
      </c>
      <c r="G777" s="20" t="s">
        <v>38</v>
      </c>
      <c r="H777" s="20" t="s">
        <v>39</v>
      </c>
      <c r="I777" t="str">
        <f t="shared" si="16"/>
        <v>Apis mellifera</v>
      </c>
      <c r="J777" t="s">
        <v>70</v>
      </c>
      <c r="K777" t="s">
        <v>332</v>
      </c>
      <c r="L777" t="s">
        <v>275</v>
      </c>
      <c r="M777" t="s">
        <v>157</v>
      </c>
      <c r="N777">
        <v>743</v>
      </c>
      <c r="O777" t="s">
        <v>155</v>
      </c>
      <c r="P777" t="s">
        <v>222</v>
      </c>
      <c r="Q777" s="6">
        <v>45208</v>
      </c>
      <c r="R777">
        <v>1</v>
      </c>
      <c r="U777" t="s">
        <v>225</v>
      </c>
      <c r="AE777" s="7" t="s">
        <v>178</v>
      </c>
      <c r="AF777">
        <v>37</v>
      </c>
      <c r="AG777">
        <v>0</v>
      </c>
      <c r="AH777">
        <v>0</v>
      </c>
      <c r="AI777">
        <v>124</v>
      </c>
    </row>
    <row r="778" spans="1:35" x14ac:dyDescent="0.35">
      <c r="A778" t="s">
        <v>192</v>
      </c>
      <c r="B778" t="s">
        <v>24</v>
      </c>
      <c r="C778" t="s">
        <v>33</v>
      </c>
      <c r="D778" t="s">
        <v>34</v>
      </c>
      <c r="E778" t="s">
        <v>309</v>
      </c>
      <c r="F778" t="s">
        <v>310</v>
      </c>
      <c r="G778" s="20" t="s">
        <v>38</v>
      </c>
      <c r="H778" s="20" t="s">
        <v>39</v>
      </c>
      <c r="I778" t="str">
        <f t="shared" si="16"/>
        <v>Apis mellifera</v>
      </c>
      <c r="J778" t="s">
        <v>70</v>
      </c>
      <c r="K778" t="s">
        <v>332</v>
      </c>
      <c r="L778" t="s">
        <v>275</v>
      </c>
      <c r="M778" t="s">
        <v>157</v>
      </c>
      <c r="N778">
        <v>744</v>
      </c>
      <c r="O778" t="s">
        <v>155</v>
      </c>
      <c r="P778" t="s">
        <v>222</v>
      </c>
      <c r="Q778" s="6">
        <v>45208</v>
      </c>
      <c r="R778">
        <v>1</v>
      </c>
      <c r="U778" t="s">
        <v>225</v>
      </c>
      <c r="AE778" s="7" t="s">
        <v>177</v>
      </c>
      <c r="AF778">
        <v>37</v>
      </c>
      <c r="AG778">
        <v>0</v>
      </c>
      <c r="AH778">
        <v>0</v>
      </c>
      <c r="AI778">
        <v>125</v>
      </c>
    </row>
    <row r="779" spans="1:35" x14ac:dyDescent="0.35">
      <c r="A779" t="s">
        <v>192</v>
      </c>
      <c r="B779" t="s">
        <v>24</v>
      </c>
      <c r="C779" t="s">
        <v>33</v>
      </c>
      <c r="D779" t="s">
        <v>34</v>
      </c>
      <c r="E779" t="s">
        <v>309</v>
      </c>
      <c r="F779" t="s">
        <v>310</v>
      </c>
      <c r="G779" s="20" t="s">
        <v>38</v>
      </c>
      <c r="H779" s="20" t="s">
        <v>39</v>
      </c>
      <c r="I779" t="str">
        <f t="shared" si="16"/>
        <v>Apis mellifera</v>
      </c>
      <c r="J779" t="s">
        <v>70</v>
      </c>
      <c r="K779" t="s">
        <v>332</v>
      </c>
      <c r="L779" t="s">
        <v>275</v>
      </c>
      <c r="M779" t="s">
        <v>157</v>
      </c>
      <c r="N779">
        <v>745</v>
      </c>
      <c r="O779" t="s">
        <v>155</v>
      </c>
      <c r="P779" t="s">
        <v>222</v>
      </c>
      <c r="Q779" s="6">
        <v>45208</v>
      </c>
      <c r="R779">
        <v>1</v>
      </c>
      <c r="U779" t="s">
        <v>225</v>
      </c>
      <c r="AE779" s="7" t="s">
        <v>180</v>
      </c>
      <c r="AF779">
        <v>37</v>
      </c>
      <c r="AG779">
        <v>0</v>
      </c>
      <c r="AH779">
        <v>0</v>
      </c>
      <c r="AI779">
        <v>126</v>
      </c>
    </row>
    <row r="780" spans="1:35" x14ac:dyDescent="0.35">
      <c r="A780" t="s">
        <v>192</v>
      </c>
      <c r="B780" t="s">
        <v>24</v>
      </c>
      <c r="C780" t="s">
        <v>33</v>
      </c>
      <c r="D780" t="s">
        <v>34</v>
      </c>
      <c r="E780" t="s">
        <v>309</v>
      </c>
      <c r="F780" t="s">
        <v>310</v>
      </c>
      <c r="G780" s="20" t="s">
        <v>38</v>
      </c>
      <c r="H780" s="20" t="s">
        <v>39</v>
      </c>
      <c r="I780" t="str">
        <f t="shared" si="16"/>
        <v>Apis mellifera</v>
      </c>
      <c r="J780" t="s">
        <v>70</v>
      </c>
      <c r="K780" t="s">
        <v>332</v>
      </c>
      <c r="L780" t="s">
        <v>275</v>
      </c>
      <c r="M780" t="s">
        <v>157</v>
      </c>
      <c r="N780">
        <v>746</v>
      </c>
      <c r="O780" t="s">
        <v>155</v>
      </c>
      <c r="P780" t="s">
        <v>222</v>
      </c>
      <c r="Q780" s="6">
        <v>45208</v>
      </c>
      <c r="R780">
        <v>0</v>
      </c>
      <c r="U780" t="s">
        <v>225</v>
      </c>
      <c r="AE780" s="7" t="s">
        <v>178</v>
      </c>
      <c r="AF780">
        <v>37</v>
      </c>
      <c r="AG780">
        <v>0</v>
      </c>
      <c r="AH780">
        <v>0</v>
      </c>
      <c r="AI780">
        <v>127</v>
      </c>
    </row>
    <row r="781" spans="1:35" x14ac:dyDescent="0.35">
      <c r="A781" t="s">
        <v>192</v>
      </c>
      <c r="B781" t="s">
        <v>24</v>
      </c>
      <c r="C781" t="s">
        <v>33</v>
      </c>
      <c r="D781" t="s">
        <v>34</v>
      </c>
      <c r="E781" t="s">
        <v>309</v>
      </c>
      <c r="F781" t="s">
        <v>310</v>
      </c>
      <c r="G781" s="20" t="s">
        <v>38</v>
      </c>
      <c r="H781" s="20" t="s">
        <v>39</v>
      </c>
      <c r="I781" t="str">
        <f t="shared" si="16"/>
        <v>Apis mellifera</v>
      </c>
      <c r="J781" t="s">
        <v>70</v>
      </c>
      <c r="K781" t="s">
        <v>332</v>
      </c>
      <c r="L781" t="s">
        <v>275</v>
      </c>
      <c r="M781" t="s">
        <v>157</v>
      </c>
      <c r="N781">
        <v>747</v>
      </c>
      <c r="O781" t="s">
        <v>155</v>
      </c>
      <c r="P781" t="s">
        <v>222</v>
      </c>
      <c r="Q781" s="6">
        <v>45208</v>
      </c>
      <c r="R781">
        <v>0</v>
      </c>
      <c r="U781" t="s">
        <v>225</v>
      </c>
      <c r="AE781" s="7" t="s">
        <v>177</v>
      </c>
      <c r="AF781">
        <v>37</v>
      </c>
      <c r="AG781">
        <v>0</v>
      </c>
      <c r="AH781">
        <v>0</v>
      </c>
      <c r="AI781">
        <v>128</v>
      </c>
    </row>
    <row r="782" spans="1:35" x14ac:dyDescent="0.35">
      <c r="A782" t="s">
        <v>192</v>
      </c>
      <c r="B782" t="s">
        <v>24</v>
      </c>
      <c r="C782" t="s">
        <v>33</v>
      </c>
      <c r="D782" t="s">
        <v>34</v>
      </c>
      <c r="E782" t="s">
        <v>309</v>
      </c>
      <c r="F782" t="s">
        <v>310</v>
      </c>
      <c r="G782" s="20" t="s">
        <v>38</v>
      </c>
      <c r="H782" s="20" t="s">
        <v>39</v>
      </c>
      <c r="I782" t="str">
        <f t="shared" si="16"/>
        <v>Apis mellifera</v>
      </c>
      <c r="J782" t="s">
        <v>70</v>
      </c>
      <c r="K782" t="s">
        <v>332</v>
      </c>
      <c r="L782" t="s">
        <v>275</v>
      </c>
      <c r="M782" t="s">
        <v>157</v>
      </c>
      <c r="N782">
        <v>748</v>
      </c>
      <c r="O782" t="s">
        <v>155</v>
      </c>
      <c r="P782" t="s">
        <v>222</v>
      </c>
      <c r="Q782" s="6">
        <v>45208</v>
      </c>
      <c r="U782" t="s">
        <v>225</v>
      </c>
      <c r="AE782" s="7"/>
      <c r="AF782">
        <v>37</v>
      </c>
      <c r="AG782">
        <v>0</v>
      </c>
      <c r="AH782">
        <v>0</v>
      </c>
      <c r="AI782">
        <v>129</v>
      </c>
    </row>
    <row r="783" spans="1:35" x14ac:dyDescent="0.35">
      <c r="A783" t="s">
        <v>192</v>
      </c>
      <c r="B783" t="s">
        <v>24</v>
      </c>
      <c r="C783" t="s">
        <v>33</v>
      </c>
      <c r="D783" t="s">
        <v>34</v>
      </c>
      <c r="E783" t="s">
        <v>309</v>
      </c>
      <c r="F783" t="s">
        <v>310</v>
      </c>
      <c r="G783" s="20" t="s">
        <v>38</v>
      </c>
      <c r="H783" s="20" t="s">
        <v>39</v>
      </c>
      <c r="I783" t="str">
        <f t="shared" si="16"/>
        <v>Apis mellifera</v>
      </c>
      <c r="J783" t="s">
        <v>70</v>
      </c>
      <c r="K783" t="s">
        <v>332</v>
      </c>
      <c r="L783" t="s">
        <v>275</v>
      </c>
      <c r="M783" t="s">
        <v>157</v>
      </c>
      <c r="N783">
        <v>749</v>
      </c>
      <c r="O783" t="s">
        <v>155</v>
      </c>
      <c r="P783" t="s">
        <v>222</v>
      </c>
      <c r="Q783" s="6">
        <v>45208</v>
      </c>
      <c r="U783" t="s">
        <v>225</v>
      </c>
      <c r="AE783" s="7"/>
      <c r="AF783">
        <v>37</v>
      </c>
      <c r="AG783">
        <v>0</v>
      </c>
      <c r="AH783">
        <v>0</v>
      </c>
      <c r="AI783">
        <v>130</v>
      </c>
    </row>
    <row r="784" spans="1:35" x14ac:dyDescent="0.35">
      <c r="A784" t="s">
        <v>192</v>
      </c>
      <c r="B784" t="s">
        <v>24</v>
      </c>
      <c r="C784" t="s">
        <v>33</v>
      </c>
      <c r="D784" t="s">
        <v>34</v>
      </c>
      <c r="E784" t="s">
        <v>309</v>
      </c>
      <c r="F784" t="s">
        <v>310</v>
      </c>
      <c r="G784" s="20" t="s">
        <v>38</v>
      </c>
      <c r="H784" s="20" t="s">
        <v>39</v>
      </c>
      <c r="I784" t="str">
        <f t="shared" si="16"/>
        <v>Apis mellifera</v>
      </c>
      <c r="J784" t="s">
        <v>70</v>
      </c>
      <c r="K784" t="s">
        <v>332</v>
      </c>
      <c r="L784" t="s">
        <v>275</v>
      </c>
      <c r="M784" t="s">
        <v>157</v>
      </c>
      <c r="N784">
        <v>750</v>
      </c>
      <c r="O784" t="s">
        <v>155</v>
      </c>
      <c r="P784" t="s">
        <v>222</v>
      </c>
      <c r="Q784" s="6">
        <v>45208</v>
      </c>
      <c r="U784" t="s">
        <v>225</v>
      </c>
      <c r="AE784" s="7"/>
      <c r="AF784">
        <v>37</v>
      </c>
      <c r="AG784">
        <v>0</v>
      </c>
      <c r="AH784">
        <v>0</v>
      </c>
      <c r="AI784">
        <v>131</v>
      </c>
    </row>
    <row r="785" spans="1:35" x14ac:dyDescent="0.35">
      <c r="A785" t="s">
        <v>192</v>
      </c>
      <c r="B785" t="s">
        <v>24</v>
      </c>
      <c r="C785" t="s">
        <v>33</v>
      </c>
      <c r="D785" t="s">
        <v>34</v>
      </c>
      <c r="E785" t="s">
        <v>309</v>
      </c>
      <c r="F785" t="s">
        <v>310</v>
      </c>
      <c r="G785" s="20" t="s">
        <v>38</v>
      </c>
      <c r="H785" s="20" t="s">
        <v>39</v>
      </c>
      <c r="I785" t="str">
        <f t="shared" si="16"/>
        <v>Apis mellifera</v>
      </c>
      <c r="J785" t="s">
        <v>70</v>
      </c>
      <c r="K785" t="s">
        <v>332</v>
      </c>
      <c r="L785" t="s">
        <v>275</v>
      </c>
      <c r="M785" t="s">
        <v>157</v>
      </c>
      <c r="N785">
        <v>751</v>
      </c>
      <c r="O785" t="s">
        <v>155</v>
      </c>
      <c r="P785" t="s">
        <v>222</v>
      </c>
      <c r="Q785" s="6">
        <v>45208</v>
      </c>
      <c r="U785" t="s">
        <v>225</v>
      </c>
      <c r="AE785" s="7"/>
      <c r="AF785">
        <v>37</v>
      </c>
      <c r="AG785">
        <v>0</v>
      </c>
      <c r="AH785">
        <v>0</v>
      </c>
      <c r="AI785">
        <v>132</v>
      </c>
    </row>
    <row r="786" spans="1:35" x14ac:dyDescent="0.35">
      <c r="A786" t="s">
        <v>192</v>
      </c>
      <c r="B786" t="s">
        <v>24</v>
      </c>
      <c r="C786" t="s">
        <v>33</v>
      </c>
      <c r="D786" t="s">
        <v>34</v>
      </c>
      <c r="E786" t="s">
        <v>309</v>
      </c>
      <c r="F786" t="s">
        <v>310</v>
      </c>
      <c r="G786" s="20" t="s">
        <v>38</v>
      </c>
      <c r="H786" s="20" t="s">
        <v>39</v>
      </c>
      <c r="I786" t="str">
        <f t="shared" si="16"/>
        <v>Apis mellifera</v>
      </c>
      <c r="J786" t="s">
        <v>70</v>
      </c>
      <c r="K786" t="s">
        <v>332</v>
      </c>
      <c r="L786" t="s">
        <v>275</v>
      </c>
      <c r="M786" t="s">
        <v>157</v>
      </c>
      <c r="N786">
        <v>752</v>
      </c>
      <c r="O786" t="s">
        <v>155</v>
      </c>
      <c r="P786" t="s">
        <v>222</v>
      </c>
      <c r="Q786" s="6">
        <v>45208</v>
      </c>
      <c r="R786">
        <v>0</v>
      </c>
      <c r="U786" t="s">
        <v>225</v>
      </c>
      <c r="AE786" s="7" t="s">
        <v>177</v>
      </c>
      <c r="AF786">
        <v>37</v>
      </c>
      <c r="AG786">
        <v>0</v>
      </c>
      <c r="AH786">
        <v>0</v>
      </c>
      <c r="AI786">
        <v>133</v>
      </c>
    </row>
    <row r="787" spans="1:35" x14ac:dyDescent="0.35">
      <c r="A787" t="s">
        <v>192</v>
      </c>
      <c r="B787" t="s">
        <v>24</v>
      </c>
      <c r="C787" t="s">
        <v>33</v>
      </c>
      <c r="D787" t="s">
        <v>34</v>
      </c>
      <c r="E787" t="s">
        <v>309</v>
      </c>
      <c r="F787" t="s">
        <v>310</v>
      </c>
      <c r="G787" s="20" t="s">
        <v>38</v>
      </c>
      <c r="H787" s="20" t="s">
        <v>39</v>
      </c>
      <c r="I787" t="str">
        <f t="shared" si="16"/>
        <v>Apis mellifera</v>
      </c>
      <c r="J787" t="s">
        <v>70</v>
      </c>
      <c r="K787" t="s">
        <v>332</v>
      </c>
      <c r="L787" t="s">
        <v>275</v>
      </c>
      <c r="M787" t="s">
        <v>157</v>
      </c>
      <c r="N787">
        <v>753</v>
      </c>
      <c r="O787" t="s">
        <v>155</v>
      </c>
      <c r="P787" t="s">
        <v>222</v>
      </c>
      <c r="Q787" s="6">
        <v>45208</v>
      </c>
      <c r="R787">
        <v>0</v>
      </c>
      <c r="U787" t="s">
        <v>225</v>
      </c>
      <c r="AE787" s="7" t="s">
        <v>177</v>
      </c>
      <c r="AF787">
        <v>37</v>
      </c>
      <c r="AG787">
        <v>0</v>
      </c>
      <c r="AH787">
        <v>0</v>
      </c>
      <c r="AI787">
        <v>134</v>
      </c>
    </row>
    <row r="788" spans="1:35" x14ac:dyDescent="0.35">
      <c r="A788" t="s">
        <v>192</v>
      </c>
      <c r="B788" t="s">
        <v>24</v>
      </c>
      <c r="C788" t="s">
        <v>33</v>
      </c>
      <c r="D788" t="s">
        <v>34</v>
      </c>
      <c r="E788" t="s">
        <v>309</v>
      </c>
      <c r="F788" t="s">
        <v>310</v>
      </c>
      <c r="G788" s="20" t="s">
        <v>38</v>
      </c>
      <c r="H788" s="20" t="s">
        <v>39</v>
      </c>
      <c r="I788" t="str">
        <f t="shared" si="16"/>
        <v>Apis mellifera</v>
      </c>
      <c r="J788" t="s">
        <v>70</v>
      </c>
      <c r="K788" t="s">
        <v>332</v>
      </c>
      <c r="L788" t="s">
        <v>275</v>
      </c>
      <c r="M788" t="s">
        <v>157</v>
      </c>
      <c r="N788">
        <v>754</v>
      </c>
      <c r="O788" t="s">
        <v>155</v>
      </c>
      <c r="P788" t="s">
        <v>222</v>
      </c>
      <c r="Q788" s="6">
        <v>45208</v>
      </c>
      <c r="R788">
        <v>0</v>
      </c>
      <c r="S788" s="13" t="s">
        <v>166</v>
      </c>
      <c r="T788" t="s">
        <v>72</v>
      </c>
      <c r="U788" t="s">
        <v>271</v>
      </c>
      <c r="AD788">
        <v>1</v>
      </c>
      <c r="AE788" s="7" t="s">
        <v>177</v>
      </c>
      <c r="AF788">
        <v>34</v>
      </c>
      <c r="AG788">
        <v>0</v>
      </c>
      <c r="AH788">
        <v>0</v>
      </c>
      <c r="AI788">
        <v>135</v>
      </c>
    </row>
    <row r="789" spans="1:35" x14ac:dyDescent="0.35">
      <c r="A789" t="s">
        <v>192</v>
      </c>
      <c r="B789" t="s">
        <v>24</v>
      </c>
      <c r="C789" t="s">
        <v>33</v>
      </c>
      <c r="D789" t="s">
        <v>34</v>
      </c>
      <c r="E789" t="s">
        <v>309</v>
      </c>
      <c r="F789" t="s">
        <v>310</v>
      </c>
      <c r="G789" s="20" t="s">
        <v>38</v>
      </c>
      <c r="H789" s="20" t="s">
        <v>39</v>
      </c>
      <c r="I789" t="str">
        <f t="shared" si="16"/>
        <v>Apis mellifera</v>
      </c>
      <c r="J789" t="s">
        <v>70</v>
      </c>
      <c r="K789" t="s">
        <v>332</v>
      </c>
      <c r="L789" t="s">
        <v>275</v>
      </c>
      <c r="M789" t="s">
        <v>157</v>
      </c>
      <c r="N789">
        <v>755</v>
      </c>
      <c r="O789" t="s">
        <v>155</v>
      </c>
      <c r="P789" t="s">
        <v>222</v>
      </c>
      <c r="Q789" s="6">
        <v>45208</v>
      </c>
      <c r="S789" s="3" t="s">
        <v>166</v>
      </c>
      <c r="T789" t="s">
        <v>72</v>
      </c>
      <c r="U789" t="s">
        <v>271</v>
      </c>
      <c r="AD789">
        <v>3</v>
      </c>
      <c r="AE789" s="7" t="s">
        <v>177</v>
      </c>
      <c r="AF789">
        <v>36</v>
      </c>
      <c r="AG789">
        <v>0</v>
      </c>
      <c r="AH789">
        <v>0</v>
      </c>
      <c r="AI789">
        <v>136</v>
      </c>
    </row>
    <row r="790" spans="1:35" x14ac:dyDescent="0.35">
      <c r="A790" t="s">
        <v>192</v>
      </c>
      <c r="B790" t="s">
        <v>24</v>
      </c>
      <c r="C790" t="s">
        <v>33</v>
      </c>
      <c r="D790" t="s">
        <v>34</v>
      </c>
      <c r="E790" t="s">
        <v>309</v>
      </c>
      <c r="F790" t="s">
        <v>310</v>
      </c>
      <c r="G790" s="20" t="s">
        <v>38</v>
      </c>
      <c r="H790" s="20" t="s">
        <v>39</v>
      </c>
      <c r="I790" t="str">
        <f t="shared" si="16"/>
        <v>Apis mellifera</v>
      </c>
      <c r="J790" t="s">
        <v>70</v>
      </c>
      <c r="K790" t="s">
        <v>332</v>
      </c>
      <c r="L790" t="s">
        <v>275</v>
      </c>
      <c r="M790" t="s">
        <v>157</v>
      </c>
      <c r="N790">
        <v>756</v>
      </c>
      <c r="O790" t="s">
        <v>155</v>
      </c>
      <c r="P790" t="s">
        <v>222</v>
      </c>
      <c r="Q790" s="6">
        <v>45208</v>
      </c>
      <c r="S790" s="3" t="s">
        <v>166</v>
      </c>
      <c r="T790" t="s">
        <v>72</v>
      </c>
      <c r="U790" t="s">
        <v>271</v>
      </c>
      <c r="AD790">
        <v>1</v>
      </c>
      <c r="AE790" s="7" t="s">
        <v>178</v>
      </c>
      <c r="AF790">
        <v>36</v>
      </c>
      <c r="AG790">
        <v>0</v>
      </c>
      <c r="AH790">
        <v>0</v>
      </c>
      <c r="AI790">
        <v>137</v>
      </c>
    </row>
    <row r="791" spans="1:35" x14ac:dyDescent="0.35">
      <c r="A791" t="s">
        <v>192</v>
      </c>
      <c r="B791" t="s">
        <v>24</v>
      </c>
      <c r="C791" t="s">
        <v>33</v>
      </c>
      <c r="D791" t="s">
        <v>34</v>
      </c>
      <c r="E791" t="s">
        <v>309</v>
      </c>
      <c r="F791" t="s">
        <v>310</v>
      </c>
      <c r="G791" s="20" t="s">
        <v>38</v>
      </c>
      <c r="H791" s="20" t="s">
        <v>39</v>
      </c>
      <c r="I791" t="str">
        <f t="shared" si="16"/>
        <v>Apis mellifera</v>
      </c>
      <c r="J791" t="s">
        <v>70</v>
      </c>
      <c r="K791" t="s">
        <v>332</v>
      </c>
      <c r="L791" t="s">
        <v>275</v>
      </c>
      <c r="M791" t="s">
        <v>157</v>
      </c>
      <c r="N791">
        <v>757</v>
      </c>
      <c r="O791" t="s">
        <v>155</v>
      </c>
      <c r="P791" t="s">
        <v>222</v>
      </c>
      <c r="Q791" s="6">
        <v>45208</v>
      </c>
      <c r="S791" t="s">
        <v>166</v>
      </c>
      <c r="T791" t="s">
        <v>72</v>
      </c>
      <c r="U791" t="s">
        <v>271</v>
      </c>
      <c r="AD791">
        <v>1</v>
      </c>
      <c r="AE791" s="7"/>
      <c r="AF791">
        <v>36</v>
      </c>
      <c r="AG791">
        <v>0</v>
      </c>
      <c r="AH791">
        <v>0</v>
      </c>
      <c r="AI791">
        <v>138</v>
      </c>
    </row>
    <row r="792" spans="1:35" x14ac:dyDescent="0.35">
      <c r="A792" t="s">
        <v>192</v>
      </c>
      <c r="B792" t="s">
        <v>24</v>
      </c>
      <c r="C792" t="s">
        <v>33</v>
      </c>
      <c r="D792" t="s">
        <v>34</v>
      </c>
      <c r="E792" t="s">
        <v>309</v>
      </c>
      <c r="F792" t="s">
        <v>310</v>
      </c>
      <c r="G792" s="20" t="s">
        <v>38</v>
      </c>
      <c r="H792" s="20" t="s">
        <v>39</v>
      </c>
      <c r="I792" t="str">
        <f t="shared" si="16"/>
        <v>Apis mellifera</v>
      </c>
      <c r="J792" t="s">
        <v>70</v>
      </c>
      <c r="K792" t="s">
        <v>332</v>
      </c>
      <c r="L792" t="s">
        <v>275</v>
      </c>
      <c r="M792" t="s">
        <v>157</v>
      </c>
      <c r="N792">
        <v>758</v>
      </c>
      <c r="O792" t="s">
        <v>155</v>
      </c>
      <c r="P792" t="s">
        <v>222</v>
      </c>
      <c r="Q792" s="6">
        <v>45208</v>
      </c>
      <c r="S792" t="s">
        <v>166</v>
      </c>
      <c r="T792" t="s">
        <v>72</v>
      </c>
      <c r="U792" t="s">
        <v>271</v>
      </c>
      <c r="AD792">
        <v>1</v>
      </c>
      <c r="AE792" s="7"/>
      <c r="AF792">
        <v>36</v>
      </c>
      <c r="AG792">
        <v>0</v>
      </c>
      <c r="AH792">
        <v>0</v>
      </c>
      <c r="AI792">
        <v>139</v>
      </c>
    </row>
    <row r="793" spans="1:35" x14ac:dyDescent="0.35">
      <c r="A793" t="s">
        <v>192</v>
      </c>
      <c r="B793" t="s">
        <v>24</v>
      </c>
      <c r="C793" t="s">
        <v>33</v>
      </c>
      <c r="D793" t="s">
        <v>34</v>
      </c>
      <c r="E793" t="s">
        <v>309</v>
      </c>
      <c r="F793" t="s">
        <v>310</v>
      </c>
      <c r="G793" s="20" t="s">
        <v>38</v>
      </c>
      <c r="H793" s="20" t="s">
        <v>39</v>
      </c>
      <c r="I793" t="str">
        <f t="shared" si="16"/>
        <v>Apis mellifera</v>
      </c>
      <c r="J793" t="s">
        <v>70</v>
      </c>
      <c r="K793" t="s">
        <v>332</v>
      </c>
      <c r="L793" t="s">
        <v>275</v>
      </c>
      <c r="M793" t="s">
        <v>157</v>
      </c>
      <c r="N793">
        <v>759</v>
      </c>
      <c r="O793" t="s">
        <v>155</v>
      </c>
      <c r="P793" t="s">
        <v>222</v>
      </c>
      <c r="Q793" s="6">
        <v>45208</v>
      </c>
      <c r="U793" t="s">
        <v>225</v>
      </c>
      <c r="AE793" s="7"/>
      <c r="AF793">
        <v>36</v>
      </c>
      <c r="AG793">
        <v>0</v>
      </c>
      <c r="AH793">
        <v>0</v>
      </c>
      <c r="AI793">
        <v>140</v>
      </c>
    </row>
    <row r="794" spans="1:35" x14ac:dyDescent="0.35">
      <c r="A794" t="s">
        <v>192</v>
      </c>
      <c r="B794" t="s">
        <v>24</v>
      </c>
      <c r="C794" t="s">
        <v>33</v>
      </c>
      <c r="D794" t="s">
        <v>34</v>
      </c>
      <c r="E794" t="s">
        <v>309</v>
      </c>
      <c r="F794" t="s">
        <v>310</v>
      </c>
      <c r="G794" s="20" t="s">
        <v>38</v>
      </c>
      <c r="H794" s="20" t="s">
        <v>39</v>
      </c>
      <c r="I794" t="str">
        <f t="shared" si="16"/>
        <v>Apis mellifera</v>
      </c>
      <c r="J794" t="s">
        <v>70</v>
      </c>
      <c r="K794" t="s">
        <v>332</v>
      </c>
      <c r="L794" t="s">
        <v>275</v>
      </c>
      <c r="M794" t="s">
        <v>157</v>
      </c>
      <c r="N794">
        <v>761</v>
      </c>
      <c r="O794" t="s">
        <v>155</v>
      </c>
      <c r="P794" t="s">
        <v>222</v>
      </c>
      <c r="Q794" s="6">
        <v>45208</v>
      </c>
      <c r="R794">
        <v>1</v>
      </c>
      <c r="U794" t="s">
        <v>225</v>
      </c>
      <c r="AE794" s="7" t="s">
        <v>179</v>
      </c>
      <c r="AF794">
        <v>36</v>
      </c>
      <c r="AG794">
        <v>0</v>
      </c>
      <c r="AH794">
        <v>0</v>
      </c>
      <c r="AI794">
        <v>141</v>
      </c>
    </row>
    <row r="795" spans="1:35" x14ac:dyDescent="0.35">
      <c r="A795" t="s">
        <v>192</v>
      </c>
      <c r="B795" t="s">
        <v>24</v>
      </c>
      <c r="C795" t="s">
        <v>33</v>
      </c>
      <c r="D795" t="s">
        <v>34</v>
      </c>
      <c r="E795" t="s">
        <v>309</v>
      </c>
      <c r="F795" t="s">
        <v>310</v>
      </c>
      <c r="G795" s="20" t="s">
        <v>38</v>
      </c>
      <c r="H795" s="20" t="s">
        <v>39</v>
      </c>
      <c r="I795" t="str">
        <f t="shared" si="16"/>
        <v>Apis mellifera</v>
      </c>
      <c r="J795" t="s">
        <v>70</v>
      </c>
      <c r="K795" t="s">
        <v>332</v>
      </c>
      <c r="L795" t="s">
        <v>275</v>
      </c>
      <c r="M795" t="s">
        <v>157</v>
      </c>
      <c r="N795">
        <v>762</v>
      </c>
      <c r="O795" t="s">
        <v>155</v>
      </c>
      <c r="P795" t="s">
        <v>222</v>
      </c>
      <c r="Q795" s="6">
        <v>45208</v>
      </c>
      <c r="U795" t="s">
        <v>225</v>
      </c>
      <c r="AD795">
        <v>2</v>
      </c>
      <c r="AE795" s="7" t="s">
        <v>178</v>
      </c>
      <c r="AF795">
        <v>36</v>
      </c>
      <c r="AG795">
        <v>0</v>
      </c>
      <c r="AH795">
        <v>0</v>
      </c>
      <c r="AI795">
        <v>142</v>
      </c>
    </row>
    <row r="796" spans="1:35" x14ac:dyDescent="0.35">
      <c r="A796" t="s">
        <v>192</v>
      </c>
      <c r="B796" t="s">
        <v>24</v>
      </c>
      <c r="C796" t="s">
        <v>33</v>
      </c>
      <c r="D796" t="s">
        <v>34</v>
      </c>
      <c r="E796" t="s">
        <v>309</v>
      </c>
      <c r="F796" t="s">
        <v>310</v>
      </c>
      <c r="G796" s="20" t="s">
        <v>38</v>
      </c>
      <c r="H796" s="20" t="s">
        <v>39</v>
      </c>
      <c r="I796" t="str">
        <f t="shared" si="16"/>
        <v>Apis mellifera</v>
      </c>
      <c r="J796" t="s">
        <v>70</v>
      </c>
      <c r="K796" t="s">
        <v>332</v>
      </c>
      <c r="L796" t="s">
        <v>275</v>
      </c>
      <c r="M796" t="s">
        <v>157</v>
      </c>
      <c r="N796">
        <v>763</v>
      </c>
      <c r="O796" t="s">
        <v>155</v>
      </c>
      <c r="P796" t="s">
        <v>222</v>
      </c>
      <c r="Q796" s="6">
        <v>45208</v>
      </c>
      <c r="U796" t="s">
        <v>225</v>
      </c>
      <c r="AE796" s="7" t="s">
        <v>179</v>
      </c>
      <c r="AF796">
        <v>36</v>
      </c>
      <c r="AG796">
        <v>0</v>
      </c>
      <c r="AH796">
        <v>0</v>
      </c>
      <c r="AI796">
        <v>143</v>
      </c>
    </row>
    <row r="797" spans="1:35" x14ac:dyDescent="0.35">
      <c r="A797" t="s">
        <v>192</v>
      </c>
      <c r="B797" t="s">
        <v>24</v>
      </c>
      <c r="C797" t="s">
        <v>33</v>
      </c>
      <c r="D797" t="s">
        <v>34</v>
      </c>
      <c r="E797" t="s">
        <v>309</v>
      </c>
      <c r="F797" t="s">
        <v>310</v>
      </c>
      <c r="G797" s="20" t="s">
        <v>38</v>
      </c>
      <c r="H797" s="20" t="s">
        <v>39</v>
      </c>
      <c r="I797" t="str">
        <f t="shared" si="16"/>
        <v>Apis mellifera</v>
      </c>
      <c r="J797" t="s">
        <v>70</v>
      </c>
      <c r="K797" t="s">
        <v>332</v>
      </c>
      <c r="L797" t="s">
        <v>275</v>
      </c>
      <c r="M797" t="s">
        <v>157</v>
      </c>
      <c r="N797">
        <v>764</v>
      </c>
      <c r="O797" t="s">
        <v>155</v>
      </c>
      <c r="P797" t="s">
        <v>222</v>
      </c>
      <c r="Q797" s="6">
        <v>45208</v>
      </c>
      <c r="U797" t="s">
        <v>225</v>
      </c>
      <c r="AD797">
        <v>1</v>
      </c>
      <c r="AE797" s="7" t="s">
        <v>179</v>
      </c>
      <c r="AF797">
        <v>36</v>
      </c>
      <c r="AG797">
        <v>0</v>
      </c>
      <c r="AH797">
        <v>0</v>
      </c>
      <c r="AI797">
        <v>144</v>
      </c>
    </row>
    <row r="798" spans="1:35" x14ac:dyDescent="0.35">
      <c r="A798" t="s">
        <v>192</v>
      </c>
      <c r="B798" t="s">
        <v>24</v>
      </c>
      <c r="C798" t="s">
        <v>33</v>
      </c>
      <c r="D798" t="s">
        <v>34</v>
      </c>
      <c r="E798" t="s">
        <v>309</v>
      </c>
      <c r="F798" t="s">
        <v>310</v>
      </c>
      <c r="G798" s="20" t="s">
        <v>38</v>
      </c>
      <c r="H798" s="20" t="s">
        <v>39</v>
      </c>
      <c r="I798" t="str">
        <f t="shared" si="16"/>
        <v>Apis mellifera</v>
      </c>
      <c r="J798" t="s">
        <v>70</v>
      </c>
      <c r="K798" t="s">
        <v>332</v>
      </c>
      <c r="L798" t="s">
        <v>275</v>
      </c>
      <c r="M798" t="s">
        <v>157</v>
      </c>
      <c r="N798">
        <v>766</v>
      </c>
      <c r="O798" t="s">
        <v>155</v>
      </c>
      <c r="P798" t="s">
        <v>222</v>
      </c>
      <c r="Q798" s="6">
        <v>45208</v>
      </c>
      <c r="R798">
        <v>1</v>
      </c>
      <c r="U798" t="s">
        <v>225</v>
      </c>
      <c r="AE798" s="7"/>
      <c r="AF798">
        <v>36</v>
      </c>
      <c r="AG798">
        <v>0</v>
      </c>
      <c r="AH798">
        <v>0</v>
      </c>
      <c r="AI798">
        <v>145</v>
      </c>
    </row>
    <row r="799" spans="1:35" x14ac:dyDescent="0.35">
      <c r="A799" t="s">
        <v>192</v>
      </c>
      <c r="B799" t="s">
        <v>24</v>
      </c>
      <c r="C799" t="s">
        <v>33</v>
      </c>
      <c r="D799" t="s">
        <v>34</v>
      </c>
      <c r="E799" t="s">
        <v>309</v>
      </c>
      <c r="F799" t="s">
        <v>310</v>
      </c>
      <c r="G799" s="20" t="s">
        <v>38</v>
      </c>
      <c r="H799" s="20" t="s">
        <v>39</v>
      </c>
      <c r="I799" t="str">
        <f t="shared" si="16"/>
        <v>Apis mellifera</v>
      </c>
      <c r="J799" t="s">
        <v>70</v>
      </c>
      <c r="K799" t="s">
        <v>332</v>
      </c>
      <c r="L799" t="s">
        <v>275</v>
      </c>
      <c r="M799" t="s">
        <v>157</v>
      </c>
      <c r="N799">
        <v>767</v>
      </c>
      <c r="O799" t="s">
        <v>155</v>
      </c>
      <c r="P799" t="s">
        <v>222</v>
      </c>
      <c r="Q799" s="6">
        <v>45208</v>
      </c>
      <c r="R799">
        <v>0</v>
      </c>
      <c r="U799" t="s">
        <v>225</v>
      </c>
      <c r="AD799">
        <v>4</v>
      </c>
      <c r="AE799" s="7" t="s">
        <v>178</v>
      </c>
      <c r="AF799">
        <v>36</v>
      </c>
      <c r="AG799">
        <v>0</v>
      </c>
      <c r="AH799">
        <v>0</v>
      </c>
      <c r="AI799">
        <v>146</v>
      </c>
    </row>
    <row r="800" spans="1:35" x14ac:dyDescent="0.35">
      <c r="A800" t="s">
        <v>192</v>
      </c>
      <c r="B800" t="s">
        <v>24</v>
      </c>
      <c r="C800" t="s">
        <v>33</v>
      </c>
      <c r="D800" t="s">
        <v>34</v>
      </c>
      <c r="E800" t="s">
        <v>309</v>
      </c>
      <c r="F800" t="s">
        <v>310</v>
      </c>
      <c r="G800" s="20" t="s">
        <v>38</v>
      </c>
      <c r="H800" s="20" t="s">
        <v>39</v>
      </c>
      <c r="I800" t="str">
        <f t="shared" si="16"/>
        <v>Apis mellifera</v>
      </c>
      <c r="J800" t="s">
        <v>70</v>
      </c>
      <c r="K800" t="s">
        <v>332</v>
      </c>
      <c r="L800" t="s">
        <v>275</v>
      </c>
      <c r="M800" t="s">
        <v>157</v>
      </c>
      <c r="N800">
        <v>768</v>
      </c>
      <c r="O800" t="s">
        <v>155</v>
      </c>
      <c r="P800" t="s">
        <v>222</v>
      </c>
      <c r="Q800" s="6">
        <v>45208</v>
      </c>
      <c r="R800">
        <v>1</v>
      </c>
      <c r="U800" t="s">
        <v>225</v>
      </c>
      <c r="AD800">
        <v>2</v>
      </c>
      <c r="AE800" s="7" t="s">
        <v>179</v>
      </c>
      <c r="AF800">
        <v>36</v>
      </c>
      <c r="AG800">
        <v>0</v>
      </c>
      <c r="AH800">
        <v>0</v>
      </c>
      <c r="AI800">
        <v>147</v>
      </c>
    </row>
    <row r="801" spans="1:35" x14ac:dyDescent="0.35">
      <c r="A801" t="s">
        <v>192</v>
      </c>
      <c r="B801" t="s">
        <v>24</v>
      </c>
      <c r="C801" t="s">
        <v>33</v>
      </c>
      <c r="D801" t="s">
        <v>34</v>
      </c>
      <c r="E801" t="s">
        <v>309</v>
      </c>
      <c r="F801" t="s">
        <v>310</v>
      </c>
      <c r="G801" s="20" t="s">
        <v>38</v>
      </c>
      <c r="H801" s="20" t="s">
        <v>39</v>
      </c>
      <c r="I801" t="str">
        <f t="shared" si="16"/>
        <v>Apis mellifera</v>
      </c>
      <c r="J801" t="s">
        <v>70</v>
      </c>
      <c r="K801" t="s">
        <v>332</v>
      </c>
      <c r="L801" t="s">
        <v>275</v>
      </c>
      <c r="M801" t="s">
        <v>157</v>
      </c>
      <c r="N801">
        <v>769</v>
      </c>
      <c r="O801" t="s">
        <v>155</v>
      </c>
      <c r="P801" t="s">
        <v>222</v>
      </c>
      <c r="Q801" s="6">
        <v>45208</v>
      </c>
      <c r="R801">
        <v>1</v>
      </c>
      <c r="U801" t="s">
        <v>225</v>
      </c>
      <c r="AD801">
        <v>2</v>
      </c>
      <c r="AE801" s="7" t="s">
        <v>179</v>
      </c>
      <c r="AF801">
        <v>36</v>
      </c>
      <c r="AG801">
        <v>0</v>
      </c>
      <c r="AH801">
        <v>0</v>
      </c>
      <c r="AI801">
        <v>148</v>
      </c>
    </row>
    <row r="802" spans="1:35" x14ac:dyDescent="0.35">
      <c r="A802" t="s">
        <v>192</v>
      </c>
      <c r="B802" t="s">
        <v>24</v>
      </c>
      <c r="C802" t="s">
        <v>33</v>
      </c>
      <c r="D802" t="s">
        <v>34</v>
      </c>
      <c r="E802" t="s">
        <v>309</v>
      </c>
      <c r="F802" t="s">
        <v>310</v>
      </c>
      <c r="G802" s="20" t="s">
        <v>38</v>
      </c>
      <c r="H802" s="20" t="s">
        <v>39</v>
      </c>
      <c r="I802" t="str">
        <f t="shared" si="16"/>
        <v>Apis mellifera</v>
      </c>
      <c r="J802" t="s">
        <v>70</v>
      </c>
      <c r="K802" t="s">
        <v>332</v>
      </c>
      <c r="L802" t="s">
        <v>275</v>
      </c>
      <c r="M802" t="s">
        <v>157</v>
      </c>
      <c r="N802">
        <v>771</v>
      </c>
      <c r="O802" t="s">
        <v>155</v>
      </c>
      <c r="P802" t="s">
        <v>222</v>
      </c>
      <c r="Q802" s="6">
        <v>45208</v>
      </c>
      <c r="R802">
        <v>1</v>
      </c>
      <c r="S802" t="s">
        <v>166</v>
      </c>
      <c r="T802" t="s">
        <v>72</v>
      </c>
      <c r="U802" t="s">
        <v>271</v>
      </c>
      <c r="AD802">
        <v>3</v>
      </c>
      <c r="AE802" s="7" t="s">
        <v>178</v>
      </c>
      <c r="AF802">
        <v>36</v>
      </c>
      <c r="AG802">
        <v>0</v>
      </c>
      <c r="AH802">
        <v>0</v>
      </c>
      <c r="AI802">
        <v>149</v>
      </c>
    </row>
    <row r="803" spans="1:35" x14ac:dyDescent="0.35">
      <c r="A803" t="s">
        <v>192</v>
      </c>
      <c r="B803" t="s">
        <v>24</v>
      </c>
      <c r="C803" t="s">
        <v>33</v>
      </c>
      <c r="D803" t="s">
        <v>34</v>
      </c>
      <c r="E803" t="s">
        <v>309</v>
      </c>
      <c r="F803" t="s">
        <v>310</v>
      </c>
      <c r="G803" s="20" t="s">
        <v>38</v>
      </c>
      <c r="H803" s="20" t="s">
        <v>39</v>
      </c>
      <c r="I803" t="str">
        <f t="shared" si="16"/>
        <v>Apis mellifera</v>
      </c>
      <c r="J803" t="s">
        <v>70</v>
      </c>
      <c r="K803" t="s">
        <v>332</v>
      </c>
      <c r="L803" t="s">
        <v>275</v>
      </c>
      <c r="M803" t="s">
        <v>157</v>
      </c>
      <c r="N803">
        <v>772</v>
      </c>
      <c r="O803" t="s">
        <v>155</v>
      </c>
      <c r="P803" t="s">
        <v>222</v>
      </c>
      <c r="Q803" s="6">
        <v>45208</v>
      </c>
      <c r="R803">
        <v>1</v>
      </c>
      <c r="U803" t="s">
        <v>225</v>
      </c>
      <c r="AD803">
        <v>1</v>
      </c>
      <c r="AE803" s="7" t="s">
        <v>178</v>
      </c>
      <c r="AF803">
        <v>36</v>
      </c>
      <c r="AG803">
        <v>0</v>
      </c>
      <c r="AH803">
        <v>0</v>
      </c>
      <c r="AI803">
        <v>150</v>
      </c>
    </row>
    <row r="804" spans="1:35" x14ac:dyDescent="0.35">
      <c r="A804" t="s">
        <v>192</v>
      </c>
      <c r="B804" t="s">
        <v>24</v>
      </c>
      <c r="C804" t="s">
        <v>33</v>
      </c>
      <c r="D804" t="s">
        <v>34</v>
      </c>
      <c r="E804" t="s">
        <v>309</v>
      </c>
      <c r="F804" t="s">
        <v>310</v>
      </c>
      <c r="G804" s="20" t="s">
        <v>38</v>
      </c>
      <c r="H804" s="20" t="s">
        <v>39</v>
      </c>
      <c r="I804" t="str">
        <f t="shared" si="16"/>
        <v>Apis mellifera</v>
      </c>
      <c r="J804" t="s">
        <v>70</v>
      </c>
      <c r="K804" t="s">
        <v>332</v>
      </c>
      <c r="L804" t="s">
        <v>275</v>
      </c>
      <c r="M804" t="s">
        <v>157</v>
      </c>
      <c r="N804">
        <v>773</v>
      </c>
      <c r="O804" t="s">
        <v>155</v>
      </c>
      <c r="P804" t="s">
        <v>222</v>
      </c>
      <c r="Q804" s="6">
        <v>45208</v>
      </c>
      <c r="R804">
        <v>1</v>
      </c>
      <c r="U804" t="s">
        <v>225</v>
      </c>
      <c r="AD804">
        <v>3</v>
      </c>
      <c r="AE804" s="7" t="s">
        <v>178</v>
      </c>
      <c r="AF804">
        <v>36</v>
      </c>
      <c r="AG804">
        <v>0</v>
      </c>
      <c r="AH804">
        <v>0</v>
      </c>
      <c r="AI804">
        <v>151</v>
      </c>
    </row>
    <row r="805" spans="1:35" x14ac:dyDescent="0.35">
      <c r="A805" t="s">
        <v>192</v>
      </c>
      <c r="B805" t="s">
        <v>24</v>
      </c>
      <c r="C805" t="s">
        <v>33</v>
      </c>
      <c r="D805" t="s">
        <v>34</v>
      </c>
      <c r="E805" t="s">
        <v>309</v>
      </c>
      <c r="F805" t="s">
        <v>310</v>
      </c>
      <c r="G805" s="20" t="s">
        <v>38</v>
      </c>
      <c r="H805" s="20" t="s">
        <v>39</v>
      </c>
      <c r="I805" t="str">
        <f t="shared" si="16"/>
        <v>Apis mellifera</v>
      </c>
      <c r="J805" t="s">
        <v>70</v>
      </c>
      <c r="K805" t="s">
        <v>332</v>
      </c>
      <c r="L805" t="s">
        <v>275</v>
      </c>
      <c r="M805" t="s">
        <v>157</v>
      </c>
      <c r="N805">
        <v>774</v>
      </c>
      <c r="O805" t="s">
        <v>155</v>
      </c>
      <c r="P805" t="s">
        <v>222</v>
      </c>
      <c r="Q805" s="6">
        <v>45208</v>
      </c>
      <c r="R805">
        <v>1</v>
      </c>
      <c r="U805" t="s">
        <v>225</v>
      </c>
      <c r="AE805" s="7"/>
      <c r="AF805">
        <v>36</v>
      </c>
      <c r="AG805">
        <v>0</v>
      </c>
      <c r="AH805">
        <v>0</v>
      </c>
      <c r="AI805">
        <v>152</v>
      </c>
    </row>
    <row r="806" spans="1:35" x14ac:dyDescent="0.35">
      <c r="A806" t="s">
        <v>192</v>
      </c>
      <c r="B806" t="s">
        <v>24</v>
      </c>
      <c r="C806" t="s">
        <v>33</v>
      </c>
      <c r="D806" t="s">
        <v>34</v>
      </c>
      <c r="E806" t="s">
        <v>309</v>
      </c>
      <c r="F806" t="s">
        <v>310</v>
      </c>
      <c r="G806" s="20" t="s">
        <v>38</v>
      </c>
      <c r="H806" s="20" t="s">
        <v>39</v>
      </c>
      <c r="I806" t="str">
        <f t="shared" ref="I806:I869" si="17">G806&amp;" "&amp;H806</f>
        <v>Apis mellifera</v>
      </c>
      <c r="J806" t="s">
        <v>70</v>
      </c>
      <c r="K806" t="s">
        <v>332</v>
      </c>
      <c r="L806" t="s">
        <v>275</v>
      </c>
      <c r="M806" t="s">
        <v>157</v>
      </c>
      <c r="N806">
        <v>775</v>
      </c>
      <c r="O806" t="s">
        <v>155</v>
      </c>
      <c r="P806" t="s">
        <v>222</v>
      </c>
      <c r="Q806" s="6">
        <v>45208</v>
      </c>
      <c r="R806">
        <v>1</v>
      </c>
      <c r="U806" t="s">
        <v>225</v>
      </c>
      <c r="AD806">
        <v>1</v>
      </c>
      <c r="AE806" s="7" t="s">
        <v>179</v>
      </c>
      <c r="AF806">
        <v>36</v>
      </c>
      <c r="AG806">
        <v>0</v>
      </c>
      <c r="AH806">
        <v>0</v>
      </c>
      <c r="AI806">
        <v>153</v>
      </c>
    </row>
    <row r="807" spans="1:35" x14ac:dyDescent="0.35">
      <c r="A807" t="s">
        <v>192</v>
      </c>
      <c r="B807" t="s">
        <v>24</v>
      </c>
      <c r="C807" t="s">
        <v>33</v>
      </c>
      <c r="D807" t="s">
        <v>34</v>
      </c>
      <c r="E807" t="s">
        <v>309</v>
      </c>
      <c r="F807" t="s">
        <v>310</v>
      </c>
      <c r="G807" s="20" t="s">
        <v>38</v>
      </c>
      <c r="H807" s="20" t="s">
        <v>39</v>
      </c>
      <c r="I807" t="str">
        <f t="shared" si="17"/>
        <v>Apis mellifera</v>
      </c>
      <c r="J807" t="s">
        <v>70</v>
      </c>
      <c r="K807" t="s">
        <v>332</v>
      </c>
      <c r="L807" t="s">
        <v>275</v>
      </c>
      <c r="M807" t="s">
        <v>157</v>
      </c>
      <c r="N807">
        <v>776</v>
      </c>
      <c r="O807" t="s">
        <v>155</v>
      </c>
      <c r="P807" t="s">
        <v>222</v>
      </c>
      <c r="Q807" s="6">
        <v>45208</v>
      </c>
      <c r="R807">
        <v>1</v>
      </c>
      <c r="U807" t="s">
        <v>225</v>
      </c>
      <c r="AD807">
        <v>2</v>
      </c>
      <c r="AE807" s="7" t="s">
        <v>177</v>
      </c>
      <c r="AF807">
        <v>36</v>
      </c>
      <c r="AG807">
        <v>0</v>
      </c>
      <c r="AH807">
        <v>0</v>
      </c>
      <c r="AI807">
        <v>154</v>
      </c>
    </row>
    <row r="808" spans="1:35" x14ac:dyDescent="0.35">
      <c r="A808" t="s">
        <v>192</v>
      </c>
      <c r="B808" t="s">
        <v>24</v>
      </c>
      <c r="C808" t="s">
        <v>33</v>
      </c>
      <c r="D808" t="s">
        <v>34</v>
      </c>
      <c r="E808" t="s">
        <v>309</v>
      </c>
      <c r="F808" t="s">
        <v>310</v>
      </c>
      <c r="G808" s="20" t="s">
        <v>38</v>
      </c>
      <c r="H808" s="20" t="s">
        <v>39</v>
      </c>
      <c r="I808" t="str">
        <f t="shared" si="17"/>
        <v>Apis mellifera</v>
      </c>
      <c r="J808" t="s">
        <v>70</v>
      </c>
      <c r="K808" t="s">
        <v>332</v>
      </c>
      <c r="L808" t="s">
        <v>275</v>
      </c>
      <c r="M808" t="s">
        <v>157</v>
      </c>
      <c r="N808">
        <v>777</v>
      </c>
      <c r="O808" t="s">
        <v>155</v>
      </c>
      <c r="P808" t="s">
        <v>222</v>
      </c>
      <c r="Q808" s="6">
        <v>45208</v>
      </c>
      <c r="R808">
        <v>1</v>
      </c>
      <c r="U808" t="s">
        <v>225</v>
      </c>
      <c r="AD808">
        <v>2</v>
      </c>
      <c r="AE808" s="7" t="s">
        <v>178</v>
      </c>
      <c r="AF808">
        <v>36</v>
      </c>
      <c r="AG808">
        <v>0</v>
      </c>
      <c r="AH808">
        <v>0</v>
      </c>
      <c r="AI808">
        <v>155</v>
      </c>
    </row>
    <row r="809" spans="1:35" x14ac:dyDescent="0.35">
      <c r="A809" t="s">
        <v>192</v>
      </c>
      <c r="B809" t="s">
        <v>24</v>
      </c>
      <c r="C809" t="s">
        <v>33</v>
      </c>
      <c r="D809" t="s">
        <v>34</v>
      </c>
      <c r="E809" t="s">
        <v>309</v>
      </c>
      <c r="F809" t="s">
        <v>310</v>
      </c>
      <c r="G809" s="20" t="s">
        <v>38</v>
      </c>
      <c r="H809" s="20" t="s">
        <v>39</v>
      </c>
      <c r="I809" t="str">
        <f t="shared" si="17"/>
        <v>Apis mellifera</v>
      </c>
      <c r="J809" t="s">
        <v>70</v>
      </c>
      <c r="K809" t="s">
        <v>332</v>
      </c>
      <c r="L809" t="s">
        <v>275</v>
      </c>
      <c r="M809" t="s">
        <v>157</v>
      </c>
      <c r="N809">
        <v>778</v>
      </c>
      <c r="O809" t="s">
        <v>155</v>
      </c>
      <c r="P809" t="s">
        <v>222</v>
      </c>
      <c r="Q809" s="6">
        <v>45208</v>
      </c>
      <c r="R809">
        <v>1</v>
      </c>
      <c r="S809" t="s">
        <v>166</v>
      </c>
      <c r="T809" t="s">
        <v>72</v>
      </c>
      <c r="U809" t="s">
        <v>271</v>
      </c>
      <c r="AD809">
        <v>4</v>
      </c>
      <c r="AE809" s="7" t="s">
        <v>178</v>
      </c>
      <c r="AF809">
        <v>36</v>
      </c>
      <c r="AG809">
        <v>0</v>
      </c>
      <c r="AH809">
        <v>0</v>
      </c>
      <c r="AI809">
        <v>156</v>
      </c>
    </row>
    <row r="810" spans="1:35" x14ac:dyDescent="0.35">
      <c r="A810" t="s">
        <v>192</v>
      </c>
      <c r="B810" t="s">
        <v>24</v>
      </c>
      <c r="C810" t="s">
        <v>33</v>
      </c>
      <c r="D810" t="s">
        <v>34</v>
      </c>
      <c r="E810" t="s">
        <v>309</v>
      </c>
      <c r="F810" t="s">
        <v>310</v>
      </c>
      <c r="G810" s="20" t="s">
        <v>38</v>
      </c>
      <c r="H810" s="20" t="s">
        <v>39</v>
      </c>
      <c r="I810" t="str">
        <f t="shared" si="17"/>
        <v>Apis mellifera</v>
      </c>
      <c r="J810" t="s">
        <v>70</v>
      </c>
      <c r="K810" t="s">
        <v>332</v>
      </c>
      <c r="L810" t="s">
        <v>275</v>
      </c>
      <c r="M810" t="s">
        <v>157</v>
      </c>
      <c r="N810">
        <v>782</v>
      </c>
      <c r="O810" t="s">
        <v>155</v>
      </c>
      <c r="P810" t="s">
        <v>222</v>
      </c>
      <c r="Q810" s="6">
        <v>45208</v>
      </c>
      <c r="R810">
        <v>1</v>
      </c>
      <c r="U810" t="s">
        <v>225</v>
      </c>
      <c r="AD810">
        <v>2</v>
      </c>
      <c r="AE810" s="7"/>
      <c r="AF810">
        <v>36</v>
      </c>
      <c r="AG810">
        <v>0</v>
      </c>
      <c r="AH810">
        <v>0</v>
      </c>
      <c r="AI810">
        <v>157</v>
      </c>
    </row>
    <row r="811" spans="1:35" x14ac:dyDescent="0.35">
      <c r="A811" t="s">
        <v>192</v>
      </c>
      <c r="B811" t="s">
        <v>24</v>
      </c>
      <c r="C811" t="s">
        <v>33</v>
      </c>
      <c r="D811" t="s">
        <v>34</v>
      </c>
      <c r="E811" t="s">
        <v>309</v>
      </c>
      <c r="F811" t="s">
        <v>310</v>
      </c>
      <c r="G811" s="20" t="s">
        <v>38</v>
      </c>
      <c r="H811" s="20" t="s">
        <v>39</v>
      </c>
      <c r="I811" t="str">
        <f t="shared" si="17"/>
        <v>Apis mellifera</v>
      </c>
      <c r="J811" t="s">
        <v>70</v>
      </c>
      <c r="K811" t="s">
        <v>332</v>
      </c>
      <c r="L811" t="s">
        <v>275</v>
      </c>
      <c r="M811" t="s">
        <v>157</v>
      </c>
      <c r="N811">
        <v>783</v>
      </c>
      <c r="O811" t="s">
        <v>155</v>
      </c>
      <c r="P811" t="s">
        <v>222</v>
      </c>
      <c r="Q811" s="6">
        <v>45208</v>
      </c>
      <c r="U811" t="s">
        <v>225</v>
      </c>
      <c r="AE811" s="7"/>
      <c r="AF811">
        <v>36</v>
      </c>
      <c r="AG811">
        <v>0</v>
      </c>
      <c r="AH811">
        <v>0</v>
      </c>
      <c r="AI811">
        <v>158</v>
      </c>
    </row>
    <row r="812" spans="1:35" x14ac:dyDescent="0.35">
      <c r="A812" t="s">
        <v>192</v>
      </c>
      <c r="B812" t="s">
        <v>24</v>
      </c>
      <c r="C812" t="s">
        <v>33</v>
      </c>
      <c r="D812" t="s">
        <v>34</v>
      </c>
      <c r="E812" t="s">
        <v>309</v>
      </c>
      <c r="F812" t="s">
        <v>310</v>
      </c>
      <c r="G812" s="20" t="s">
        <v>38</v>
      </c>
      <c r="H812" s="20" t="s">
        <v>39</v>
      </c>
      <c r="I812" t="str">
        <f t="shared" si="17"/>
        <v>Apis mellifera</v>
      </c>
      <c r="J812" t="s">
        <v>70</v>
      </c>
      <c r="K812" t="s">
        <v>332</v>
      </c>
      <c r="L812" t="s">
        <v>275</v>
      </c>
      <c r="M812" t="s">
        <v>157</v>
      </c>
      <c r="N812">
        <v>784</v>
      </c>
      <c r="O812" t="s">
        <v>155</v>
      </c>
      <c r="P812" t="s">
        <v>222</v>
      </c>
      <c r="Q812" s="6">
        <v>45208</v>
      </c>
      <c r="U812" t="s">
        <v>225</v>
      </c>
      <c r="AE812" s="7"/>
      <c r="AF812">
        <v>36</v>
      </c>
      <c r="AG812">
        <v>0</v>
      </c>
      <c r="AH812">
        <v>0</v>
      </c>
      <c r="AI812">
        <v>159</v>
      </c>
    </row>
    <row r="813" spans="1:35" x14ac:dyDescent="0.35">
      <c r="A813" t="s">
        <v>192</v>
      </c>
      <c r="B813" t="s">
        <v>24</v>
      </c>
      <c r="C813" t="s">
        <v>33</v>
      </c>
      <c r="D813" t="s">
        <v>34</v>
      </c>
      <c r="E813" t="s">
        <v>309</v>
      </c>
      <c r="F813" t="s">
        <v>310</v>
      </c>
      <c r="G813" s="20" t="s">
        <v>38</v>
      </c>
      <c r="H813" s="20" t="s">
        <v>39</v>
      </c>
      <c r="I813" t="str">
        <f t="shared" si="17"/>
        <v>Apis mellifera</v>
      </c>
      <c r="J813" t="s">
        <v>70</v>
      </c>
      <c r="K813" t="s">
        <v>332</v>
      </c>
      <c r="L813" t="s">
        <v>275</v>
      </c>
      <c r="M813" t="s">
        <v>157</v>
      </c>
      <c r="N813">
        <v>785</v>
      </c>
      <c r="O813" t="s">
        <v>155</v>
      </c>
      <c r="P813" t="s">
        <v>222</v>
      </c>
      <c r="Q813" s="6">
        <v>45208</v>
      </c>
      <c r="U813" t="s">
        <v>225</v>
      </c>
      <c r="AE813" s="7"/>
      <c r="AF813">
        <v>36</v>
      </c>
      <c r="AG813">
        <v>0</v>
      </c>
      <c r="AH813">
        <v>0</v>
      </c>
      <c r="AI813">
        <v>160</v>
      </c>
    </row>
    <row r="814" spans="1:35" x14ac:dyDescent="0.35">
      <c r="A814" t="s">
        <v>192</v>
      </c>
      <c r="B814" t="s">
        <v>24</v>
      </c>
      <c r="C814" t="s">
        <v>33</v>
      </c>
      <c r="D814" t="s">
        <v>34</v>
      </c>
      <c r="E814" t="s">
        <v>309</v>
      </c>
      <c r="F814" t="s">
        <v>310</v>
      </c>
      <c r="G814" s="20" t="s">
        <v>38</v>
      </c>
      <c r="H814" s="20" t="s">
        <v>39</v>
      </c>
      <c r="I814" t="str">
        <f t="shared" si="17"/>
        <v>Apis mellifera</v>
      </c>
      <c r="J814" t="s">
        <v>70</v>
      </c>
      <c r="K814" t="s">
        <v>332</v>
      </c>
      <c r="L814" t="s">
        <v>275</v>
      </c>
      <c r="M814" t="s">
        <v>157</v>
      </c>
      <c r="N814">
        <v>786</v>
      </c>
      <c r="O814" t="s">
        <v>155</v>
      </c>
      <c r="P814" t="s">
        <v>222</v>
      </c>
      <c r="Q814" s="6">
        <v>45208</v>
      </c>
      <c r="U814" t="s">
        <v>225</v>
      </c>
      <c r="AE814" s="7"/>
      <c r="AF814">
        <v>36</v>
      </c>
      <c r="AG814">
        <v>0</v>
      </c>
      <c r="AH814">
        <v>0</v>
      </c>
      <c r="AI814">
        <v>161</v>
      </c>
    </row>
    <row r="815" spans="1:35" x14ac:dyDescent="0.35">
      <c r="A815" t="s">
        <v>192</v>
      </c>
      <c r="B815" t="s">
        <v>24</v>
      </c>
      <c r="C815" t="s">
        <v>33</v>
      </c>
      <c r="D815" t="s">
        <v>34</v>
      </c>
      <c r="E815" t="s">
        <v>309</v>
      </c>
      <c r="F815" t="s">
        <v>310</v>
      </c>
      <c r="G815" s="20" t="s">
        <v>38</v>
      </c>
      <c r="H815" s="20" t="s">
        <v>39</v>
      </c>
      <c r="I815" t="str">
        <f t="shared" si="17"/>
        <v>Apis mellifera</v>
      </c>
      <c r="J815" t="s">
        <v>70</v>
      </c>
      <c r="K815" t="s">
        <v>332</v>
      </c>
      <c r="L815" t="s">
        <v>275</v>
      </c>
      <c r="M815" t="s">
        <v>157</v>
      </c>
      <c r="N815">
        <v>787</v>
      </c>
      <c r="O815" t="s">
        <v>155</v>
      </c>
      <c r="P815" t="s">
        <v>222</v>
      </c>
      <c r="Q815" s="6">
        <v>45208</v>
      </c>
      <c r="U815" t="s">
        <v>225</v>
      </c>
      <c r="AE815" s="7"/>
      <c r="AF815">
        <v>36</v>
      </c>
      <c r="AG815">
        <v>0</v>
      </c>
      <c r="AH815">
        <v>0</v>
      </c>
      <c r="AI815">
        <v>162</v>
      </c>
    </row>
    <row r="816" spans="1:35" x14ac:dyDescent="0.35">
      <c r="A816" t="s">
        <v>192</v>
      </c>
      <c r="B816" t="s">
        <v>24</v>
      </c>
      <c r="C816" t="s">
        <v>33</v>
      </c>
      <c r="D816" t="s">
        <v>34</v>
      </c>
      <c r="E816" t="s">
        <v>309</v>
      </c>
      <c r="F816" t="s">
        <v>310</v>
      </c>
      <c r="G816" s="20" t="s">
        <v>38</v>
      </c>
      <c r="H816" s="20" t="s">
        <v>39</v>
      </c>
      <c r="I816" t="str">
        <f t="shared" si="17"/>
        <v>Apis mellifera</v>
      </c>
      <c r="J816" t="s">
        <v>70</v>
      </c>
      <c r="K816" t="s">
        <v>332</v>
      </c>
      <c r="L816" t="s">
        <v>275</v>
      </c>
      <c r="M816" t="s">
        <v>157</v>
      </c>
      <c r="N816">
        <v>788</v>
      </c>
      <c r="O816" t="s">
        <v>155</v>
      </c>
      <c r="P816" t="s">
        <v>222</v>
      </c>
      <c r="Q816" s="6">
        <v>45208</v>
      </c>
      <c r="U816" t="s">
        <v>225</v>
      </c>
      <c r="AE816" s="7"/>
      <c r="AF816">
        <v>36</v>
      </c>
      <c r="AG816">
        <v>0</v>
      </c>
      <c r="AH816">
        <v>0</v>
      </c>
      <c r="AI816">
        <v>163</v>
      </c>
    </row>
    <row r="817" spans="1:35" x14ac:dyDescent="0.35">
      <c r="A817" t="s">
        <v>192</v>
      </c>
      <c r="B817" t="s">
        <v>24</v>
      </c>
      <c r="C817" t="s">
        <v>33</v>
      </c>
      <c r="D817" t="s">
        <v>34</v>
      </c>
      <c r="E817" t="s">
        <v>309</v>
      </c>
      <c r="F817" t="s">
        <v>310</v>
      </c>
      <c r="G817" s="20" t="s">
        <v>38</v>
      </c>
      <c r="H817" s="20" t="s">
        <v>39</v>
      </c>
      <c r="I817" t="str">
        <f t="shared" si="17"/>
        <v>Apis mellifera</v>
      </c>
      <c r="J817" t="s">
        <v>70</v>
      </c>
      <c r="K817" t="s">
        <v>332</v>
      </c>
      <c r="L817" t="s">
        <v>275</v>
      </c>
      <c r="M817" t="s">
        <v>157</v>
      </c>
      <c r="N817">
        <v>789</v>
      </c>
      <c r="O817" t="s">
        <v>155</v>
      </c>
      <c r="P817" t="s">
        <v>222</v>
      </c>
      <c r="Q817" s="6">
        <v>45208</v>
      </c>
      <c r="U817" t="s">
        <v>225</v>
      </c>
      <c r="AE817" s="7"/>
      <c r="AF817">
        <v>36</v>
      </c>
      <c r="AG817">
        <v>0</v>
      </c>
      <c r="AH817">
        <v>0</v>
      </c>
      <c r="AI817">
        <v>164</v>
      </c>
    </row>
    <row r="818" spans="1:35" x14ac:dyDescent="0.35">
      <c r="A818" t="s">
        <v>192</v>
      </c>
      <c r="B818" t="s">
        <v>24</v>
      </c>
      <c r="C818" t="s">
        <v>33</v>
      </c>
      <c r="D818" t="s">
        <v>34</v>
      </c>
      <c r="E818" t="s">
        <v>309</v>
      </c>
      <c r="F818" t="s">
        <v>310</v>
      </c>
      <c r="G818" s="20" t="s">
        <v>38</v>
      </c>
      <c r="H818" s="20" t="s">
        <v>39</v>
      </c>
      <c r="I818" t="str">
        <f t="shared" si="17"/>
        <v>Apis mellifera</v>
      </c>
      <c r="J818" t="s">
        <v>70</v>
      </c>
      <c r="K818" t="s">
        <v>332</v>
      </c>
      <c r="L818" t="s">
        <v>275</v>
      </c>
      <c r="M818" t="s">
        <v>157</v>
      </c>
      <c r="N818">
        <v>790</v>
      </c>
      <c r="O818" t="s">
        <v>155</v>
      </c>
      <c r="P818" t="s">
        <v>222</v>
      </c>
      <c r="Q818" s="6">
        <v>45208</v>
      </c>
      <c r="U818" t="s">
        <v>225</v>
      </c>
      <c r="AE818" s="7"/>
      <c r="AF818">
        <v>36</v>
      </c>
      <c r="AG818">
        <v>0</v>
      </c>
      <c r="AH818">
        <v>0</v>
      </c>
      <c r="AI818">
        <v>165</v>
      </c>
    </row>
    <row r="819" spans="1:35" x14ac:dyDescent="0.35">
      <c r="A819" t="s">
        <v>192</v>
      </c>
      <c r="B819" t="s">
        <v>24</v>
      </c>
      <c r="C819" t="s">
        <v>33</v>
      </c>
      <c r="D819" t="s">
        <v>34</v>
      </c>
      <c r="E819" t="s">
        <v>309</v>
      </c>
      <c r="F819" t="s">
        <v>310</v>
      </c>
      <c r="G819" s="20" t="s">
        <v>38</v>
      </c>
      <c r="H819" s="20" t="s">
        <v>39</v>
      </c>
      <c r="I819" t="str">
        <f t="shared" si="17"/>
        <v>Apis mellifera</v>
      </c>
      <c r="J819" t="s">
        <v>70</v>
      </c>
      <c r="K819" t="s">
        <v>332</v>
      </c>
      <c r="L819" t="s">
        <v>275</v>
      </c>
      <c r="M819" t="s">
        <v>157</v>
      </c>
      <c r="N819">
        <v>791</v>
      </c>
      <c r="O819" t="s">
        <v>155</v>
      </c>
      <c r="P819" t="s">
        <v>222</v>
      </c>
      <c r="Q819" s="6">
        <v>45208</v>
      </c>
      <c r="U819" t="s">
        <v>225</v>
      </c>
      <c r="AE819" s="7"/>
      <c r="AF819">
        <v>36</v>
      </c>
      <c r="AG819">
        <v>0</v>
      </c>
      <c r="AH819">
        <v>0</v>
      </c>
      <c r="AI819">
        <v>166</v>
      </c>
    </row>
    <row r="820" spans="1:35" x14ac:dyDescent="0.35">
      <c r="A820" t="s">
        <v>192</v>
      </c>
      <c r="B820" t="s">
        <v>24</v>
      </c>
      <c r="C820" t="s">
        <v>33</v>
      </c>
      <c r="D820" t="s">
        <v>34</v>
      </c>
      <c r="E820" t="s">
        <v>309</v>
      </c>
      <c r="F820" t="s">
        <v>310</v>
      </c>
      <c r="G820" s="20" t="s">
        <v>38</v>
      </c>
      <c r="H820" s="20" t="s">
        <v>39</v>
      </c>
      <c r="I820" t="str">
        <f t="shared" si="17"/>
        <v>Apis mellifera</v>
      </c>
      <c r="J820" t="s">
        <v>70</v>
      </c>
      <c r="K820" t="s">
        <v>332</v>
      </c>
      <c r="L820" t="s">
        <v>275</v>
      </c>
      <c r="M820" t="s">
        <v>157</v>
      </c>
      <c r="N820">
        <v>792</v>
      </c>
      <c r="O820" t="s">
        <v>155</v>
      </c>
      <c r="P820" t="s">
        <v>222</v>
      </c>
      <c r="Q820" s="6">
        <v>45208</v>
      </c>
      <c r="U820" t="s">
        <v>225</v>
      </c>
      <c r="AE820" s="7"/>
      <c r="AF820">
        <v>36</v>
      </c>
      <c r="AG820">
        <v>0</v>
      </c>
      <c r="AH820">
        <v>0</v>
      </c>
      <c r="AI820">
        <v>167</v>
      </c>
    </row>
    <row r="821" spans="1:35" x14ac:dyDescent="0.35">
      <c r="A821" t="s">
        <v>192</v>
      </c>
      <c r="B821" t="s">
        <v>24</v>
      </c>
      <c r="C821" t="s">
        <v>33</v>
      </c>
      <c r="D821" t="s">
        <v>34</v>
      </c>
      <c r="E821" t="s">
        <v>309</v>
      </c>
      <c r="F821" t="s">
        <v>310</v>
      </c>
      <c r="G821" s="20" t="s">
        <v>38</v>
      </c>
      <c r="H821" s="20" t="s">
        <v>39</v>
      </c>
      <c r="I821" t="str">
        <f t="shared" si="17"/>
        <v>Apis mellifera</v>
      </c>
      <c r="J821" t="s">
        <v>70</v>
      </c>
      <c r="K821" t="s">
        <v>332</v>
      </c>
      <c r="L821" t="s">
        <v>275</v>
      </c>
      <c r="M821" t="s">
        <v>157</v>
      </c>
      <c r="N821">
        <v>793</v>
      </c>
      <c r="O821" t="s">
        <v>155</v>
      </c>
      <c r="P821" t="s">
        <v>222</v>
      </c>
      <c r="Q821" s="6">
        <v>45208</v>
      </c>
      <c r="U821" t="s">
        <v>225</v>
      </c>
      <c r="AE821" s="7"/>
      <c r="AF821">
        <v>36</v>
      </c>
      <c r="AG821">
        <v>0</v>
      </c>
      <c r="AH821">
        <v>0</v>
      </c>
      <c r="AI821">
        <v>168</v>
      </c>
    </row>
    <row r="822" spans="1:35" x14ac:dyDescent="0.35">
      <c r="A822" t="s">
        <v>192</v>
      </c>
      <c r="B822" t="s">
        <v>24</v>
      </c>
      <c r="C822" t="s">
        <v>33</v>
      </c>
      <c r="D822" t="s">
        <v>34</v>
      </c>
      <c r="E822" t="s">
        <v>309</v>
      </c>
      <c r="F822" t="s">
        <v>310</v>
      </c>
      <c r="G822" s="20" t="s">
        <v>38</v>
      </c>
      <c r="H822" s="20" t="s">
        <v>39</v>
      </c>
      <c r="I822" t="str">
        <f t="shared" si="17"/>
        <v>Apis mellifera</v>
      </c>
      <c r="J822" t="s">
        <v>70</v>
      </c>
      <c r="K822" t="s">
        <v>332</v>
      </c>
      <c r="L822" t="s">
        <v>275</v>
      </c>
      <c r="M822" t="s">
        <v>157</v>
      </c>
      <c r="N822">
        <v>794</v>
      </c>
      <c r="O822" t="s">
        <v>155</v>
      </c>
      <c r="P822" t="s">
        <v>222</v>
      </c>
      <c r="Q822" s="6">
        <v>45208</v>
      </c>
      <c r="U822" t="s">
        <v>225</v>
      </c>
      <c r="AE822" s="7"/>
      <c r="AF822">
        <v>36</v>
      </c>
      <c r="AG822">
        <v>0</v>
      </c>
      <c r="AH822">
        <v>0</v>
      </c>
      <c r="AI822">
        <v>169</v>
      </c>
    </row>
    <row r="823" spans="1:35" x14ac:dyDescent="0.35">
      <c r="A823" t="s">
        <v>192</v>
      </c>
      <c r="B823" t="s">
        <v>24</v>
      </c>
      <c r="C823" t="s">
        <v>33</v>
      </c>
      <c r="D823" t="s">
        <v>34</v>
      </c>
      <c r="E823" t="s">
        <v>309</v>
      </c>
      <c r="F823" t="s">
        <v>310</v>
      </c>
      <c r="G823" s="20" t="s">
        <v>38</v>
      </c>
      <c r="H823" s="20" t="s">
        <v>39</v>
      </c>
      <c r="I823" t="str">
        <f t="shared" si="17"/>
        <v>Apis mellifera</v>
      </c>
      <c r="J823" t="s">
        <v>70</v>
      </c>
      <c r="K823" t="s">
        <v>332</v>
      </c>
      <c r="L823" t="s">
        <v>275</v>
      </c>
      <c r="M823" t="s">
        <v>157</v>
      </c>
      <c r="N823">
        <v>795</v>
      </c>
      <c r="O823" t="s">
        <v>155</v>
      </c>
      <c r="P823" t="s">
        <v>222</v>
      </c>
      <c r="Q823" s="6">
        <v>45208</v>
      </c>
      <c r="U823" t="s">
        <v>225</v>
      </c>
      <c r="AE823" s="7"/>
      <c r="AF823">
        <v>36</v>
      </c>
      <c r="AG823">
        <v>0</v>
      </c>
      <c r="AH823">
        <v>0</v>
      </c>
      <c r="AI823">
        <v>170</v>
      </c>
    </row>
    <row r="824" spans="1:35" x14ac:dyDescent="0.35">
      <c r="A824" t="s">
        <v>192</v>
      </c>
      <c r="B824" t="s">
        <v>24</v>
      </c>
      <c r="C824" t="s">
        <v>33</v>
      </c>
      <c r="D824" t="s">
        <v>34</v>
      </c>
      <c r="E824" t="s">
        <v>309</v>
      </c>
      <c r="F824" t="s">
        <v>310</v>
      </c>
      <c r="G824" s="20" t="s">
        <v>38</v>
      </c>
      <c r="H824" s="20" t="s">
        <v>39</v>
      </c>
      <c r="I824" t="str">
        <f t="shared" si="17"/>
        <v>Apis mellifera</v>
      </c>
      <c r="J824" t="s">
        <v>70</v>
      </c>
      <c r="K824" t="s">
        <v>332</v>
      </c>
      <c r="L824" t="s">
        <v>275</v>
      </c>
      <c r="M824" t="s">
        <v>157</v>
      </c>
      <c r="N824">
        <v>796</v>
      </c>
      <c r="O824" t="s">
        <v>155</v>
      </c>
      <c r="P824" t="s">
        <v>222</v>
      </c>
      <c r="Q824" s="6">
        <v>45208</v>
      </c>
      <c r="U824" t="s">
        <v>225</v>
      </c>
      <c r="AE824" s="7"/>
      <c r="AF824">
        <v>36</v>
      </c>
      <c r="AG824">
        <v>0</v>
      </c>
      <c r="AH824">
        <v>0</v>
      </c>
      <c r="AI824">
        <v>171</v>
      </c>
    </row>
    <row r="825" spans="1:35" x14ac:dyDescent="0.35">
      <c r="A825" t="s">
        <v>192</v>
      </c>
      <c r="B825" t="s">
        <v>24</v>
      </c>
      <c r="C825" t="s">
        <v>33</v>
      </c>
      <c r="D825" t="s">
        <v>34</v>
      </c>
      <c r="E825" t="s">
        <v>309</v>
      </c>
      <c r="F825" t="s">
        <v>310</v>
      </c>
      <c r="G825" s="20" t="s">
        <v>38</v>
      </c>
      <c r="H825" s="20" t="s">
        <v>39</v>
      </c>
      <c r="I825" t="str">
        <f t="shared" si="17"/>
        <v>Apis mellifera</v>
      </c>
      <c r="J825" t="s">
        <v>70</v>
      </c>
      <c r="K825" t="s">
        <v>332</v>
      </c>
      <c r="L825" t="s">
        <v>275</v>
      </c>
      <c r="M825" t="s">
        <v>157</v>
      </c>
      <c r="N825">
        <v>797</v>
      </c>
      <c r="O825" t="s">
        <v>155</v>
      </c>
      <c r="P825" t="s">
        <v>222</v>
      </c>
      <c r="Q825" s="6">
        <v>45208</v>
      </c>
      <c r="U825" t="s">
        <v>225</v>
      </c>
      <c r="AE825" s="7"/>
      <c r="AF825">
        <v>36</v>
      </c>
      <c r="AG825">
        <v>0</v>
      </c>
      <c r="AH825">
        <v>0</v>
      </c>
      <c r="AI825">
        <v>172</v>
      </c>
    </row>
    <row r="826" spans="1:35" x14ac:dyDescent="0.35">
      <c r="A826" t="s">
        <v>192</v>
      </c>
      <c r="B826" t="s">
        <v>24</v>
      </c>
      <c r="C826" t="s">
        <v>33</v>
      </c>
      <c r="D826" t="s">
        <v>34</v>
      </c>
      <c r="E826" t="s">
        <v>309</v>
      </c>
      <c r="F826" t="s">
        <v>310</v>
      </c>
      <c r="G826" s="20" t="s">
        <v>38</v>
      </c>
      <c r="H826" s="20" t="s">
        <v>39</v>
      </c>
      <c r="I826" t="str">
        <f t="shared" si="17"/>
        <v>Apis mellifera</v>
      </c>
      <c r="J826" t="s">
        <v>70</v>
      </c>
      <c r="K826" t="s">
        <v>332</v>
      </c>
      <c r="L826" t="s">
        <v>275</v>
      </c>
      <c r="M826" t="s">
        <v>157</v>
      </c>
      <c r="N826">
        <v>798</v>
      </c>
      <c r="O826" t="s">
        <v>155</v>
      </c>
      <c r="P826" t="s">
        <v>222</v>
      </c>
      <c r="Q826" s="6">
        <v>45208</v>
      </c>
      <c r="U826" t="s">
        <v>225</v>
      </c>
      <c r="AE826" s="7"/>
      <c r="AF826">
        <v>36</v>
      </c>
      <c r="AG826">
        <v>0</v>
      </c>
      <c r="AH826">
        <v>0</v>
      </c>
      <c r="AI826">
        <v>173</v>
      </c>
    </row>
    <row r="827" spans="1:35" x14ac:dyDescent="0.35">
      <c r="A827" t="s">
        <v>192</v>
      </c>
      <c r="B827" t="s">
        <v>24</v>
      </c>
      <c r="C827" t="s">
        <v>33</v>
      </c>
      <c r="D827" t="s">
        <v>34</v>
      </c>
      <c r="E827" t="s">
        <v>309</v>
      </c>
      <c r="F827" t="s">
        <v>310</v>
      </c>
      <c r="G827" s="20" t="s">
        <v>38</v>
      </c>
      <c r="H827" s="20" t="s">
        <v>39</v>
      </c>
      <c r="I827" t="str">
        <f t="shared" si="17"/>
        <v>Apis mellifera</v>
      </c>
      <c r="J827" t="s">
        <v>70</v>
      </c>
      <c r="K827" t="s">
        <v>332</v>
      </c>
      <c r="L827" t="s">
        <v>275</v>
      </c>
      <c r="M827" t="s">
        <v>157</v>
      </c>
      <c r="N827">
        <v>799</v>
      </c>
      <c r="O827" t="s">
        <v>155</v>
      </c>
      <c r="P827" t="s">
        <v>222</v>
      </c>
      <c r="Q827" s="6">
        <v>45208</v>
      </c>
      <c r="U827" t="s">
        <v>225</v>
      </c>
      <c r="AE827" s="7"/>
      <c r="AF827">
        <v>36</v>
      </c>
      <c r="AG827">
        <v>0</v>
      </c>
      <c r="AH827">
        <v>0</v>
      </c>
      <c r="AI827">
        <v>174</v>
      </c>
    </row>
    <row r="828" spans="1:35" x14ac:dyDescent="0.35">
      <c r="A828" t="s">
        <v>192</v>
      </c>
      <c r="B828" t="s">
        <v>24</v>
      </c>
      <c r="C828" t="s">
        <v>33</v>
      </c>
      <c r="D828" t="s">
        <v>34</v>
      </c>
      <c r="E828" t="s">
        <v>309</v>
      </c>
      <c r="F828" t="s">
        <v>310</v>
      </c>
      <c r="G828" s="20" t="s">
        <v>38</v>
      </c>
      <c r="H828" s="20" t="s">
        <v>39</v>
      </c>
      <c r="I828" t="str">
        <f t="shared" si="17"/>
        <v>Apis mellifera</v>
      </c>
      <c r="J828" t="s">
        <v>70</v>
      </c>
      <c r="K828" t="s">
        <v>332</v>
      </c>
      <c r="L828" t="s">
        <v>275</v>
      </c>
      <c r="M828" t="s">
        <v>157</v>
      </c>
      <c r="N828">
        <v>800</v>
      </c>
      <c r="O828" t="s">
        <v>155</v>
      </c>
      <c r="P828" t="s">
        <v>222</v>
      </c>
      <c r="Q828" s="6">
        <v>45208</v>
      </c>
      <c r="U828" t="s">
        <v>225</v>
      </c>
      <c r="AE828" s="7"/>
      <c r="AF828">
        <v>36</v>
      </c>
      <c r="AG828">
        <v>0</v>
      </c>
      <c r="AH828">
        <v>0</v>
      </c>
      <c r="AI828">
        <v>175</v>
      </c>
    </row>
    <row r="829" spans="1:35" x14ac:dyDescent="0.35">
      <c r="A829" t="s">
        <v>192</v>
      </c>
      <c r="B829" t="s">
        <v>24</v>
      </c>
      <c r="C829" t="s">
        <v>33</v>
      </c>
      <c r="D829" t="s">
        <v>34</v>
      </c>
      <c r="E829" t="s">
        <v>309</v>
      </c>
      <c r="F829" t="s">
        <v>310</v>
      </c>
      <c r="G829" s="20" t="s">
        <v>38</v>
      </c>
      <c r="H829" s="20" t="s">
        <v>39</v>
      </c>
      <c r="I829" t="str">
        <f t="shared" si="17"/>
        <v>Apis mellifera</v>
      </c>
      <c r="J829" t="s">
        <v>70</v>
      </c>
      <c r="K829" t="s">
        <v>332</v>
      </c>
      <c r="L829" t="s">
        <v>275</v>
      </c>
      <c r="M829" t="s">
        <v>157</v>
      </c>
      <c r="N829">
        <v>801</v>
      </c>
      <c r="O829" t="s">
        <v>155</v>
      </c>
      <c r="P829" t="s">
        <v>222</v>
      </c>
      <c r="Q829" s="6">
        <v>45208</v>
      </c>
      <c r="U829" t="s">
        <v>225</v>
      </c>
      <c r="AE829" s="7"/>
      <c r="AF829">
        <v>36</v>
      </c>
      <c r="AG829">
        <v>0</v>
      </c>
      <c r="AH829">
        <v>0</v>
      </c>
      <c r="AI829">
        <v>176</v>
      </c>
    </row>
    <row r="830" spans="1:35" x14ac:dyDescent="0.35">
      <c r="A830" t="s">
        <v>192</v>
      </c>
      <c r="B830" t="s">
        <v>24</v>
      </c>
      <c r="C830" t="s">
        <v>33</v>
      </c>
      <c r="D830" t="s">
        <v>34</v>
      </c>
      <c r="E830" t="s">
        <v>309</v>
      </c>
      <c r="F830" t="s">
        <v>310</v>
      </c>
      <c r="G830" s="20" t="s">
        <v>38</v>
      </c>
      <c r="H830" s="20" t="s">
        <v>39</v>
      </c>
      <c r="I830" t="str">
        <f t="shared" si="17"/>
        <v>Apis mellifera</v>
      </c>
      <c r="J830" t="s">
        <v>70</v>
      </c>
      <c r="K830" t="s">
        <v>332</v>
      </c>
      <c r="L830" t="s">
        <v>275</v>
      </c>
      <c r="M830" t="s">
        <v>157</v>
      </c>
      <c r="N830">
        <v>802</v>
      </c>
      <c r="O830" t="s">
        <v>155</v>
      </c>
      <c r="P830" t="s">
        <v>222</v>
      </c>
      <c r="Q830" s="6">
        <v>45208</v>
      </c>
      <c r="U830" t="s">
        <v>225</v>
      </c>
      <c r="AE830" s="7"/>
      <c r="AF830">
        <v>36</v>
      </c>
      <c r="AG830">
        <v>0</v>
      </c>
      <c r="AH830">
        <v>0</v>
      </c>
      <c r="AI830">
        <v>177</v>
      </c>
    </row>
    <row r="831" spans="1:35" x14ac:dyDescent="0.35">
      <c r="A831" t="s">
        <v>192</v>
      </c>
      <c r="B831" t="s">
        <v>24</v>
      </c>
      <c r="C831" t="s">
        <v>33</v>
      </c>
      <c r="D831" t="s">
        <v>34</v>
      </c>
      <c r="E831" t="s">
        <v>309</v>
      </c>
      <c r="F831" t="s">
        <v>310</v>
      </c>
      <c r="G831" s="20" t="s">
        <v>38</v>
      </c>
      <c r="H831" s="20" t="s">
        <v>39</v>
      </c>
      <c r="I831" t="str">
        <f t="shared" si="17"/>
        <v>Apis mellifera</v>
      </c>
      <c r="J831" t="s">
        <v>70</v>
      </c>
      <c r="K831" t="s">
        <v>332</v>
      </c>
      <c r="L831" t="s">
        <v>275</v>
      </c>
      <c r="M831" t="s">
        <v>157</v>
      </c>
      <c r="N831">
        <v>803</v>
      </c>
      <c r="O831" t="s">
        <v>155</v>
      </c>
      <c r="P831" t="s">
        <v>222</v>
      </c>
      <c r="Q831" s="6">
        <v>45208</v>
      </c>
      <c r="U831" t="s">
        <v>225</v>
      </c>
      <c r="AE831" s="7"/>
      <c r="AF831">
        <v>36</v>
      </c>
      <c r="AG831">
        <v>0</v>
      </c>
      <c r="AH831">
        <v>0</v>
      </c>
      <c r="AI831">
        <v>178</v>
      </c>
    </row>
    <row r="832" spans="1:35" x14ac:dyDescent="0.35">
      <c r="A832" t="s">
        <v>192</v>
      </c>
      <c r="B832" t="s">
        <v>24</v>
      </c>
      <c r="C832" t="s">
        <v>33</v>
      </c>
      <c r="D832" t="s">
        <v>34</v>
      </c>
      <c r="E832" t="s">
        <v>309</v>
      </c>
      <c r="F832" t="s">
        <v>310</v>
      </c>
      <c r="G832" s="20" t="s">
        <v>38</v>
      </c>
      <c r="H832" s="20" t="s">
        <v>39</v>
      </c>
      <c r="I832" t="str">
        <f t="shared" si="17"/>
        <v>Apis mellifera</v>
      </c>
      <c r="J832" t="s">
        <v>70</v>
      </c>
      <c r="K832" t="s">
        <v>332</v>
      </c>
      <c r="L832" t="s">
        <v>275</v>
      </c>
      <c r="M832" t="s">
        <v>157</v>
      </c>
      <c r="N832">
        <v>804</v>
      </c>
      <c r="O832" t="s">
        <v>155</v>
      </c>
      <c r="P832" t="s">
        <v>222</v>
      </c>
      <c r="Q832" s="6">
        <v>45208</v>
      </c>
      <c r="U832" t="s">
        <v>225</v>
      </c>
      <c r="AE832" s="7"/>
      <c r="AF832">
        <v>36</v>
      </c>
      <c r="AG832">
        <v>0</v>
      </c>
      <c r="AH832">
        <v>0</v>
      </c>
      <c r="AI832">
        <v>179</v>
      </c>
    </row>
    <row r="833" spans="1:35" x14ac:dyDescent="0.35">
      <c r="A833" t="s">
        <v>192</v>
      </c>
      <c r="B833" t="s">
        <v>24</v>
      </c>
      <c r="C833" t="s">
        <v>33</v>
      </c>
      <c r="D833" t="s">
        <v>34</v>
      </c>
      <c r="E833" t="s">
        <v>309</v>
      </c>
      <c r="F833" t="s">
        <v>310</v>
      </c>
      <c r="G833" s="20" t="s">
        <v>38</v>
      </c>
      <c r="H833" s="20" t="s">
        <v>39</v>
      </c>
      <c r="I833" t="str">
        <f t="shared" si="17"/>
        <v>Apis mellifera</v>
      </c>
      <c r="J833" t="s">
        <v>70</v>
      </c>
      <c r="K833" t="s">
        <v>332</v>
      </c>
      <c r="L833" t="s">
        <v>275</v>
      </c>
      <c r="M833" t="s">
        <v>157</v>
      </c>
      <c r="N833">
        <v>805</v>
      </c>
      <c r="O833" t="s">
        <v>155</v>
      </c>
      <c r="P833" t="s">
        <v>222</v>
      </c>
      <c r="Q833" s="6">
        <v>45208</v>
      </c>
      <c r="U833" t="s">
        <v>225</v>
      </c>
      <c r="AE833" s="7"/>
      <c r="AF833">
        <v>36</v>
      </c>
      <c r="AG833">
        <v>0</v>
      </c>
      <c r="AH833">
        <v>0</v>
      </c>
      <c r="AI833">
        <v>180</v>
      </c>
    </row>
    <row r="834" spans="1:35" x14ac:dyDescent="0.35">
      <c r="A834" t="s">
        <v>192</v>
      </c>
      <c r="B834" t="s">
        <v>24</v>
      </c>
      <c r="C834" t="s">
        <v>33</v>
      </c>
      <c r="D834" t="s">
        <v>34</v>
      </c>
      <c r="E834" t="s">
        <v>309</v>
      </c>
      <c r="F834" t="s">
        <v>310</v>
      </c>
      <c r="G834" s="20" t="s">
        <v>38</v>
      </c>
      <c r="H834" s="20" t="s">
        <v>39</v>
      </c>
      <c r="I834" t="str">
        <f t="shared" si="17"/>
        <v>Apis mellifera</v>
      </c>
      <c r="J834" t="s">
        <v>70</v>
      </c>
      <c r="K834" t="s">
        <v>332</v>
      </c>
      <c r="L834" t="s">
        <v>275</v>
      </c>
      <c r="M834" t="s">
        <v>157</v>
      </c>
      <c r="N834">
        <v>806</v>
      </c>
      <c r="O834" t="s">
        <v>155</v>
      </c>
      <c r="P834" t="s">
        <v>222</v>
      </c>
      <c r="Q834" s="6">
        <v>45208</v>
      </c>
      <c r="U834" t="s">
        <v>225</v>
      </c>
      <c r="AE834" s="7"/>
      <c r="AF834">
        <v>36</v>
      </c>
      <c r="AG834">
        <v>0</v>
      </c>
      <c r="AH834">
        <v>0</v>
      </c>
      <c r="AI834">
        <v>181</v>
      </c>
    </row>
    <row r="835" spans="1:35" x14ac:dyDescent="0.35">
      <c r="A835" t="s">
        <v>192</v>
      </c>
      <c r="B835" t="s">
        <v>24</v>
      </c>
      <c r="C835" t="s">
        <v>33</v>
      </c>
      <c r="D835" t="s">
        <v>34</v>
      </c>
      <c r="E835" t="s">
        <v>309</v>
      </c>
      <c r="F835" t="s">
        <v>310</v>
      </c>
      <c r="G835" s="20" t="s">
        <v>38</v>
      </c>
      <c r="H835" s="20" t="s">
        <v>39</v>
      </c>
      <c r="I835" t="str">
        <f t="shared" si="17"/>
        <v>Apis mellifera</v>
      </c>
      <c r="J835" t="s">
        <v>70</v>
      </c>
      <c r="K835" t="s">
        <v>332</v>
      </c>
      <c r="L835" t="s">
        <v>275</v>
      </c>
      <c r="M835" t="s">
        <v>157</v>
      </c>
      <c r="N835">
        <v>807</v>
      </c>
      <c r="O835" t="s">
        <v>155</v>
      </c>
      <c r="P835" t="s">
        <v>222</v>
      </c>
      <c r="Q835" s="6">
        <v>45208</v>
      </c>
      <c r="U835" t="s">
        <v>225</v>
      </c>
      <c r="AE835" s="7"/>
      <c r="AF835">
        <v>36</v>
      </c>
      <c r="AG835">
        <v>0</v>
      </c>
      <c r="AH835">
        <v>0</v>
      </c>
      <c r="AI835">
        <v>182</v>
      </c>
    </row>
    <row r="836" spans="1:35" x14ac:dyDescent="0.35">
      <c r="A836" t="s">
        <v>192</v>
      </c>
      <c r="B836" t="s">
        <v>24</v>
      </c>
      <c r="C836" t="s">
        <v>33</v>
      </c>
      <c r="D836" t="s">
        <v>34</v>
      </c>
      <c r="E836" t="s">
        <v>309</v>
      </c>
      <c r="F836" t="s">
        <v>310</v>
      </c>
      <c r="G836" s="20" t="s">
        <v>38</v>
      </c>
      <c r="H836" s="20" t="s">
        <v>39</v>
      </c>
      <c r="I836" t="str">
        <f t="shared" si="17"/>
        <v>Apis mellifera</v>
      </c>
      <c r="J836" t="s">
        <v>70</v>
      </c>
      <c r="K836" t="s">
        <v>332</v>
      </c>
      <c r="L836" t="s">
        <v>275</v>
      </c>
      <c r="M836" t="s">
        <v>157</v>
      </c>
      <c r="N836">
        <v>808</v>
      </c>
      <c r="O836" t="s">
        <v>155</v>
      </c>
      <c r="P836" t="s">
        <v>222</v>
      </c>
      <c r="Q836" s="6">
        <v>45208</v>
      </c>
      <c r="U836" t="s">
        <v>225</v>
      </c>
      <c r="AE836" s="7"/>
      <c r="AF836">
        <v>36</v>
      </c>
      <c r="AG836">
        <v>0</v>
      </c>
      <c r="AH836">
        <v>0</v>
      </c>
      <c r="AI836">
        <v>183</v>
      </c>
    </row>
    <row r="837" spans="1:35" x14ac:dyDescent="0.35">
      <c r="A837" t="s">
        <v>192</v>
      </c>
      <c r="B837" t="s">
        <v>24</v>
      </c>
      <c r="C837" t="s">
        <v>33</v>
      </c>
      <c r="D837" t="s">
        <v>34</v>
      </c>
      <c r="E837" t="s">
        <v>309</v>
      </c>
      <c r="F837" t="s">
        <v>310</v>
      </c>
      <c r="G837" s="20" t="s">
        <v>38</v>
      </c>
      <c r="H837" s="20" t="s">
        <v>39</v>
      </c>
      <c r="I837" t="str">
        <f t="shared" si="17"/>
        <v>Apis mellifera</v>
      </c>
      <c r="J837" t="s">
        <v>70</v>
      </c>
      <c r="K837" t="s">
        <v>332</v>
      </c>
      <c r="L837" t="s">
        <v>275</v>
      </c>
      <c r="M837" t="s">
        <v>157</v>
      </c>
      <c r="N837">
        <v>809</v>
      </c>
      <c r="O837" t="s">
        <v>155</v>
      </c>
      <c r="P837" t="s">
        <v>222</v>
      </c>
      <c r="Q837" s="6">
        <v>45208</v>
      </c>
      <c r="U837" t="s">
        <v>225</v>
      </c>
      <c r="AE837" s="7"/>
      <c r="AF837">
        <v>36</v>
      </c>
      <c r="AG837">
        <v>0</v>
      </c>
      <c r="AH837">
        <v>0</v>
      </c>
      <c r="AI837">
        <v>184</v>
      </c>
    </row>
    <row r="838" spans="1:35" x14ac:dyDescent="0.35">
      <c r="A838" t="s">
        <v>192</v>
      </c>
      <c r="B838" t="s">
        <v>24</v>
      </c>
      <c r="C838" t="s">
        <v>33</v>
      </c>
      <c r="D838" t="s">
        <v>34</v>
      </c>
      <c r="E838" t="s">
        <v>309</v>
      </c>
      <c r="F838" t="s">
        <v>310</v>
      </c>
      <c r="G838" s="20" t="s">
        <v>38</v>
      </c>
      <c r="H838" s="20" t="s">
        <v>39</v>
      </c>
      <c r="I838" t="str">
        <f t="shared" si="17"/>
        <v>Apis mellifera</v>
      </c>
      <c r="J838" t="s">
        <v>70</v>
      </c>
      <c r="K838" t="s">
        <v>332</v>
      </c>
      <c r="L838" t="s">
        <v>275</v>
      </c>
      <c r="M838" t="s">
        <v>157</v>
      </c>
      <c r="N838">
        <v>810</v>
      </c>
      <c r="O838" t="s">
        <v>155</v>
      </c>
      <c r="P838" t="s">
        <v>222</v>
      </c>
      <c r="Q838" s="6">
        <v>45208</v>
      </c>
      <c r="U838" t="s">
        <v>225</v>
      </c>
      <c r="AE838" s="7"/>
      <c r="AF838">
        <v>36</v>
      </c>
      <c r="AG838">
        <v>0</v>
      </c>
      <c r="AH838">
        <v>0</v>
      </c>
      <c r="AI838">
        <v>185</v>
      </c>
    </row>
    <row r="839" spans="1:35" x14ac:dyDescent="0.35">
      <c r="A839" t="s">
        <v>192</v>
      </c>
      <c r="B839" t="s">
        <v>24</v>
      </c>
      <c r="C839" t="s">
        <v>33</v>
      </c>
      <c r="D839" t="s">
        <v>34</v>
      </c>
      <c r="E839" t="s">
        <v>309</v>
      </c>
      <c r="F839" t="s">
        <v>310</v>
      </c>
      <c r="G839" s="20" t="s">
        <v>38</v>
      </c>
      <c r="H839" s="20" t="s">
        <v>39</v>
      </c>
      <c r="I839" t="str">
        <f t="shared" si="17"/>
        <v>Apis mellifera</v>
      </c>
      <c r="J839" t="s">
        <v>70</v>
      </c>
      <c r="K839" t="s">
        <v>332</v>
      </c>
      <c r="L839" t="s">
        <v>275</v>
      </c>
      <c r="M839" t="s">
        <v>157</v>
      </c>
      <c r="N839">
        <v>811</v>
      </c>
      <c r="O839" t="s">
        <v>155</v>
      </c>
      <c r="P839" t="s">
        <v>222</v>
      </c>
      <c r="Q839" s="6">
        <v>45208</v>
      </c>
      <c r="U839" t="s">
        <v>225</v>
      </c>
      <c r="AE839" s="7"/>
      <c r="AF839">
        <v>36</v>
      </c>
      <c r="AG839">
        <v>0</v>
      </c>
      <c r="AH839">
        <v>0</v>
      </c>
      <c r="AI839">
        <v>186</v>
      </c>
    </row>
    <row r="840" spans="1:35" x14ac:dyDescent="0.35">
      <c r="A840" t="s">
        <v>192</v>
      </c>
      <c r="B840" t="s">
        <v>24</v>
      </c>
      <c r="C840" t="s">
        <v>33</v>
      </c>
      <c r="D840" t="s">
        <v>34</v>
      </c>
      <c r="E840" t="s">
        <v>309</v>
      </c>
      <c r="F840" t="s">
        <v>310</v>
      </c>
      <c r="G840" s="20" t="s">
        <v>38</v>
      </c>
      <c r="H840" s="20" t="s">
        <v>39</v>
      </c>
      <c r="I840" t="str">
        <f t="shared" si="17"/>
        <v>Apis mellifera</v>
      </c>
      <c r="J840" t="s">
        <v>70</v>
      </c>
      <c r="K840" t="s">
        <v>332</v>
      </c>
      <c r="L840" t="s">
        <v>275</v>
      </c>
      <c r="M840" t="s">
        <v>157</v>
      </c>
      <c r="N840">
        <v>812</v>
      </c>
      <c r="O840" t="s">
        <v>155</v>
      </c>
      <c r="P840" t="s">
        <v>222</v>
      </c>
      <c r="Q840" s="6">
        <v>45208</v>
      </c>
      <c r="U840" t="s">
        <v>225</v>
      </c>
      <c r="AE840" s="7"/>
      <c r="AF840">
        <v>36</v>
      </c>
      <c r="AG840">
        <v>0</v>
      </c>
      <c r="AH840">
        <v>0</v>
      </c>
      <c r="AI840">
        <v>187</v>
      </c>
    </row>
    <row r="841" spans="1:35" x14ac:dyDescent="0.35">
      <c r="A841" t="s">
        <v>192</v>
      </c>
      <c r="B841" t="s">
        <v>24</v>
      </c>
      <c r="C841" t="s">
        <v>33</v>
      </c>
      <c r="D841" t="s">
        <v>34</v>
      </c>
      <c r="E841" t="s">
        <v>309</v>
      </c>
      <c r="F841" t="s">
        <v>310</v>
      </c>
      <c r="G841" s="20" t="s">
        <v>38</v>
      </c>
      <c r="H841" s="20" t="s">
        <v>39</v>
      </c>
      <c r="I841" t="str">
        <f t="shared" si="17"/>
        <v>Apis mellifera</v>
      </c>
      <c r="J841" t="s">
        <v>70</v>
      </c>
      <c r="K841" t="s">
        <v>332</v>
      </c>
      <c r="L841" t="s">
        <v>275</v>
      </c>
      <c r="M841" t="s">
        <v>157</v>
      </c>
      <c r="N841">
        <v>813</v>
      </c>
      <c r="O841" t="s">
        <v>155</v>
      </c>
      <c r="P841" t="s">
        <v>222</v>
      </c>
      <c r="Q841" s="6">
        <v>45208</v>
      </c>
      <c r="U841" t="s">
        <v>225</v>
      </c>
      <c r="AE841" s="7"/>
      <c r="AF841">
        <v>36</v>
      </c>
      <c r="AG841">
        <v>0</v>
      </c>
      <c r="AH841">
        <v>0</v>
      </c>
      <c r="AI841">
        <v>188</v>
      </c>
    </row>
    <row r="842" spans="1:35" x14ac:dyDescent="0.35">
      <c r="A842" t="s">
        <v>192</v>
      </c>
      <c r="B842" t="s">
        <v>24</v>
      </c>
      <c r="C842" t="s">
        <v>33</v>
      </c>
      <c r="D842" t="s">
        <v>65</v>
      </c>
      <c r="E842" t="s">
        <v>62</v>
      </c>
      <c r="F842" t="s">
        <v>311</v>
      </c>
      <c r="G842" s="20" t="s">
        <v>195</v>
      </c>
      <c r="H842" t="s">
        <v>7</v>
      </c>
      <c r="I842" t="str">
        <f t="shared" si="17"/>
        <v>Augochlora species</v>
      </c>
      <c r="J842" t="s">
        <v>65</v>
      </c>
      <c r="K842" t="s">
        <v>333</v>
      </c>
      <c r="L842" s="3" t="s">
        <v>196</v>
      </c>
      <c r="M842" s="3" t="s">
        <v>161</v>
      </c>
      <c r="N842">
        <v>682</v>
      </c>
      <c r="O842" t="s">
        <v>155</v>
      </c>
      <c r="P842" t="s">
        <v>222</v>
      </c>
      <c r="Q842" s="6">
        <v>45203</v>
      </c>
      <c r="R842">
        <v>0</v>
      </c>
      <c r="S842" s="13" t="s">
        <v>166</v>
      </c>
      <c r="T842" t="s">
        <v>72</v>
      </c>
      <c r="U842" t="s">
        <v>271</v>
      </c>
      <c r="AD842">
        <v>1</v>
      </c>
      <c r="AE842" s="7" t="s">
        <v>178</v>
      </c>
      <c r="AF842">
        <v>9</v>
      </c>
      <c r="AG842">
        <v>0</v>
      </c>
      <c r="AH842">
        <v>0</v>
      </c>
      <c r="AI842">
        <v>360</v>
      </c>
    </row>
    <row r="843" spans="1:35" x14ac:dyDescent="0.35">
      <c r="A843" t="s">
        <v>192</v>
      </c>
      <c r="B843" t="s">
        <v>24</v>
      </c>
      <c r="C843" t="s">
        <v>33</v>
      </c>
      <c r="D843" t="s">
        <v>65</v>
      </c>
      <c r="E843" t="s">
        <v>62</v>
      </c>
      <c r="F843" t="s">
        <v>311</v>
      </c>
      <c r="G843" s="20" t="s">
        <v>142</v>
      </c>
      <c r="H843" t="s">
        <v>7</v>
      </c>
      <c r="I843" t="str">
        <f t="shared" si="17"/>
        <v>Augochloropsis species</v>
      </c>
      <c r="J843" t="s">
        <v>65</v>
      </c>
      <c r="K843" t="s">
        <v>333</v>
      </c>
      <c r="L843" s="3" t="s">
        <v>196</v>
      </c>
      <c r="M843" s="3" t="s">
        <v>161</v>
      </c>
      <c r="N843">
        <v>676</v>
      </c>
      <c r="O843" t="s">
        <v>155</v>
      </c>
      <c r="P843" t="s">
        <v>222</v>
      </c>
      <c r="Q843" s="6">
        <v>45203</v>
      </c>
      <c r="R843">
        <v>1</v>
      </c>
      <c r="S843" t="s">
        <v>166</v>
      </c>
      <c r="T843" t="s">
        <v>72</v>
      </c>
      <c r="U843" t="s">
        <v>271</v>
      </c>
      <c r="AD843">
        <v>1</v>
      </c>
      <c r="AE843" s="7" t="s">
        <v>178</v>
      </c>
      <c r="AF843">
        <v>6</v>
      </c>
      <c r="AG843">
        <v>0</v>
      </c>
      <c r="AH843">
        <v>0</v>
      </c>
      <c r="AI843">
        <v>361</v>
      </c>
    </row>
    <row r="844" spans="1:35" x14ac:dyDescent="0.35">
      <c r="A844" t="s">
        <v>192</v>
      </c>
      <c r="B844" t="s">
        <v>24</v>
      </c>
      <c r="C844" t="s">
        <v>33</v>
      </c>
      <c r="D844" t="s">
        <v>34</v>
      </c>
      <c r="E844" t="s">
        <v>309</v>
      </c>
      <c r="F844" t="s">
        <v>139</v>
      </c>
      <c r="G844" s="20" t="s">
        <v>140</v>
      </c>
      <c r="H844" s="20" t="s">
        <v>141</v>
      </c>
      <c r="I844" t="str">
        <f t="shared" si="17"/>
        <v>Eulaema polychroma</v>
      </c>
      <c r="J844" t="s">
        <v>242</v>
      </c>
      <c r="K844" t="s">
        <v>331</v>
      </c>
      <c r="L844" t="s">
        <v>273</v>
      </c>
      <c r="N844">
        <v>717</v>
      </c>
      <c r="O844" t="s">
        <v>155</v>
      </c>
      <c r="P844" t="s">
        <v>222</v>
      </c>
      <c r="Q844" s="6">
        <v>45208</v>
      </c>
      <c r="R844">
        <v>1</v>
      </c>
      <c r="S844" s="3" t="s">
        <v>170</v>
      </c>
      <c r="T844" t="s">
        <v>229</v>
      </c>
      <c r="U844" t="s">
        <v>229</v>
      </c>
      <c r="AD844">
        <v>1</v>
      </c>
      <c r="AE844" s="7" t="s">
        <v>177</v>
      </c>
      <c r="AF844">
        <v>18</v>
      </c>
      <c r="AG844">
        <v>0</v>
      </c>
      <c r="AH844">
        <v>0</v>
      </c>
      <c r="AI844">
        <v>362</v>
      </c>
    </row>
    <row r="845" spans="1:35" x14ac:dyDescent="0.35">
      <c r="A845" t="s">
        <v>192</v>
      </c>
      <c r="B845" t="s">
        <v>24</v>
      </c>
      <c r="C845" t="s">
        <v>33</v>
      </c>
      <c r="D845" t="s">
        <v>34</v>
      </c>
      <c r="E845" t="s">
        <v>309</v>
      </c>
      <c r="F845" t="s">
        <v>42</v>
      </c>
      <c r="G845" s="20" t="s">
        <v>144</v>
      </c>
      <c r="H845" s="21" t="s">
        <v>145</v>
      </c>
      <c r="I845" t="str">
        <f t="shared" si="17"/>
        <v>Frieseomelitta nigra</v>
      </c>
      <c r="J845" t="s">
        <v>42</v>
      </c>
      <c r="K845" t="s">
        <v>334</v>
      </c>
      <c r="L845" t="s">
        <v>44</v>
      </c>
      <c r="N845">
        <v>674</v>
      </c>
      <c r="O845" t="s">
        <v>155</v>
      </c>
      <c r="P845" t="s">
        <v>222</v>
      </c>
      <c r="Q845" s="6">
        <v>45203</v>
      </c>
      <c r="R845">
        <v>0</v>
      </c>
      <c r="U845" t="s">
        <v>225</v>
      </c>
      <c r="AD845">
        <v>1</v>
      </c>
      <c r="AE845" s="7" t="s">
        <v>177</v>
      </c>
      <c r="AF845">
        <v>6</v>
      </c>
      <c r="AG845">
        <v>0</v>
      </c>
      <c r="AH845">
        <v>0</v>
      </c>
      <c r="AI845">
        <v>363</v>
      </c>
    </row>
    <row r="846" spans="1:35" x14ac:dyDescent="0.35">
      <c r="A846" t="s">
        <v>192</v>
      </c>
      <c r="B846" t="s">
        <v>24</v>
      </c>
      <c r="C846" t="s">
        <v>33</v>
      </c>
      <c r="D846" t="s">
        <v>34</v>
      </c>
      <c r="E846" t="s">
        <v>309</v>
      </c>
      <c r="F846" t="s">
        <v>42</v>
      </c>
      <c r="G846" s="20" t="s">
        <v>144</v>
      </c>
      <c r="H846" s="21" t="s">
        <v>145</v>
      </c>
      <c r="I846" t="str">
        <f t="shared" si="17"/>
        <v>Frieseomelitta nigra</v>
      </c>
      <c r="J846" t="s">
        <v>42</v>
      </c>
      <c r="K846" t="s">
        <v>334</v>
      </c>
      <c r="L846" t="s">
        <v>44</v>
      </c>
      <c r="N846">
        <v>688</v>
      </c>
      <c r="O846" t="s">
        <v>155</v>
      </c>
      <c r="P846" t="s">
        <v>222</v>
      </c>
      <c r="Q846" s="6">
        <v>45203</v>
      </c>
      <c r="R846">
        <v>0</v>
      </c>
      <c r="S846" t="s">
        <v>166</v>
      </c>
      <c r="T846" t="s">
        <v>72</v>
      </c>
      <c r="U846" t="s">
        <v>271</v>
      </c>
      <c r="AD846">
        <v>1</v>
      </c>
      <c r="AE846" s="7" t="s">
        <v>178</v>
      </c>
      <c r="AF846">
        <v>12</v>
      </c>
      <c r="AG846">
        <v>0</v>
      </c>
      <c r="AH846">
        <v>0</v>
      </c>
      <c r="AI846">
        <v>364</v>
      </c>
    </row>
    <row r="847" spans="1:35" x14ac:dyDescent="0.35">
      <c r="A847" t="s">
        <v>192</v>
      </c>
      <c r="B847" t="s">
        <v>24</v>
      </c>
      <c r="C847" t="s">
        <v>33</v>
      </c>
      <c r="D847" t="s">
        <v>34</v>
      </c>
      <c r="E847" t="s">
        <v>309</v>
      </c>
      <c r="F847" t="s">
        <v>42</v>
      </c>
      <c r="G847" s="20" t="s">
        <v>144</v>
      </c>
      <c r="H847" s="21" t="s">
        <v>145</v>
      </c>
      <c r="I847" t="str">
        <f t="shared" si="17"/>
        <v>Frieseomelitta nigra</v>
      </c>
      <c r="J847" t="s">
        <v>42</v>
      </c>
      <c r="K847" t="s">
        <v>334</v>
      </c>
      <c r="L847" t="s">
        <v>44</v>
      </c>
      <c r="N847">
        <v>701</v>
      </c>
      <c r="O847" t="s">
        <v>155</v>
      </c>
      <c r="P847" t="s">
        <v>222</v>
      </c>
      <c r="Q847" s="6">
        <v>45208</v>
      </c>
      <c r="R847">
        <v>0</v>
      </c>
      <c r="U847" t="s">
        <v>225</v>
      </c>
      <c r="AD847">
        <v>4</v>
      </c>
      <c r="AE847" s="7" t="s">
        <v>178</v>
      </c>
      <c r="AF847">
        <v>28</v>
      </c>
      <c r="AG847">
        <v>0</v>
      </c>
      <c r="AH847">
        <v>0</v>
      </c>
      <c r="AI847">
        <v>365</v>
      </c>
    </row>
    <row r="848" spans="1:35" x14ac:dyDescent="0.35">
      <c r="A848" t="s">
        <v>192</v>
      </c>
      <c r="B848" t="s">
        <v>24</v>
      </c>
      <c r="C848" t="s">
        <v>33</v>
      </c>
      <c r="D848" t="s">
        <v>34</v>
      </c>
      <c r="E848" t="s">
        <v>309</v>
      </c>
      <c r="F848" t="s">
        <v>42</v>
      </c>
      <c r="G848" s="20" t="s">
        <v>144</v>
      </c>
      <c r="H848" s="21" t="s">
        <v>145</v>
      </c>
      <c r="I848" t="str">
        <f t="shared" si="17"/>
        <v>Frieseomelitta nigra</v>
      </c>
      <c r="J848" t="s">
        <v>42</v>
      </c>
      <c r="K848" t="s">
        <v>334</v>
      </c>
      <c r="L848" t="s">
        <v>44</v>
      </c>
      <c r="N848">
        <v>718</v>
      </c>
      <c r="O848" t="s">
        <v>155</v>
      </c>
      <c r="P848" t="s">
        <v>222</v>
      </c>
      <c r="Q848" s="6">
        <v>45208</v>
      </c>
      <c r="R848">
        <v>0</v>
      </c>
      <c r="S848" s="3" t="s">
        <v>166</v>
      </c>
      <c r="T848" t="s">
        <v>72</v>
      </c>
      <c r="U848" t="s">
        <v>271</v>
      </c>
      <c r="AD848">
        <v>2</v>
      </c>
      <c r="AE848" s="7" t="s">
        <v>187</v>
      </c>
      <c r="AF848">
        <v>34</v>
      </c>
      <c r="AG848">
        <v>0</v>
      </c>
      <c r="AH848">
        <v>0</v>
      </c>
      <c r="AI848">
        <v>366</v>
      </c>
    </row>
    <row r="849" spans="1:35" x14ac:dyDescent="0.35">
      <c r="A849" t="s">
        <v>192</v>
      </c>
      <c r="B849" t="s">
        <v>24</v>
      </c>
      <c r="C849" t="s">
        <v>33</v>
      </c>
      <c r="D849" t="s">
        <v>34</v>
      </c>
      <c r="E849" t="s">
        <v>309</v>
      </c>
      <c r="F849" t="s">
        <v>42</v>
      </c>
      <c r="G849" s="20" t="s">
        <v>144</v>
      </c>
      <c r="H849" s="21" t="s">
        <v>145</v>
      </c>
      <c r="I849" t="str">
        <f t="shared" si="17"/>
        <v>Frieseomelitta nigra</v>
      </c>
      <c r="J849" t="s">
        <v>42</v>
      </c>
      <c r="K849" t="s">
        <v>334</v>
      </c>
      <c r="L849" t="s">
        <v>44</v>
      </c>
      <c r="N849">
        <v>739</v>
      </c>
      <c r="O849" t="s">
        <v>155</v>
      </c>
      <c r="P849" t="s">
        <v>222</v>
      </c>
      <c r="Q849" s="6">
        <v>45208</v>
      </c>
      <c r="R849">
        <v>1</v>
      </c>
      <c r="U849" t="s">
        <v>225</v>
      </c>
      <c r="AD849">
        <v>1</v>
      </c>
      <c r="AE849" s="7" t="s">
        <v>177</v>
      </c>
      <c r="AF849">
        <v>37</v>
      </c>
      <c r="AG849">
        <v>0</v>
      </c>
      <c r="AH849">
        <v>0</v>
      </c>
      <c r="AI849">
        <v>367</v>
      </c>
    </row>
    <row r="850" spans="1:35" x14ac:dyDescent="0.35">
      <c r="A850" t="s">
        <v>192</v>
      </c>
      <c r="B850" t="s">
        <v>24</v>
      </c>
      <c r="C850" t="s">
        <v>33</v>
      </c>
      <c r="D850" t="s">
        <v>34</v>
      </c>
      <c r="E850" t="s">
        <v>309</v>
      </c>
      <c r="F850" t="s">
        <v>42</v>
      </c>
      <c r="G850" s="20" t="s">
        <v>144</v>
      </c>
      <c r="H850" s="21" t="s">
        <v>145</v>
      </c>
      <c r="I850" t="str">
        <f t="shared" si="17"/>
        <v>Frieseomelitta nigra</v>
      </c>
      <c r="J850" t="s">
        <v>42</v>
      </c>
      <c r="K850" t="s">
        <v>334</v>
      </c>
      <c r="L850" t="s">
        <v>44</v>
      </c>
      <c r="N850">
        <v>760</v>
      </c>
      <c r="O850" t="s">
        <v>155</v>
      </c>
      <c r="P850" t="s">
        <v>222</v>
      </c>
      <c r="Q850" s="6">
        <v>45208</v>
      </c>
      <c r="R850">
        <v>1</v>
      </c>
      <c r="S850" t="s">
        <v>166</v>
      </c>
      <c r="T850" t="s">
        <v>72</v>
      </c>
      <c r="U850" t="s">
        <v>271</v>
      </c>
      <c r="AD850">
        <v>2</v>
      </c>
      <c r="AE850" s="7" t="s">
        <v>179</v>
      </c>
      <c r="AF850">
        <v>36</v>
      </c>
      <c r="AG850">
        <v>0</v>
      </c>
      <c r="AH850">
        <v>0</v>
      </c>
      <c r="AI850">
        <v>368</v>
      </c>
    </row>
    <row r="851" spans="1:35" x14ac:dyDescent="0.35">
      <c r="A851" t="s">
        <v>192</v>
      </c>
      <c r="B851" t="s">
        <v>24</v>
      </c>
      <c r="C851" t="s">
        <v>33</v>
      </c>
      <c r="D851" t="s">
        <v>34</v>
      </c>
      <c r="E851" t="s">
        <v>309</v>
      </c>
      <c r="F851" t="s">
        <v>42</v>
      </c>
      <c r="G851" s="20" t="s">
        <v>144</v>
      </c>
      <c r="H851" s="21" t="s">
        <v>145</v>
      </c>
      <c r="I851" t="str">
        <f t="shared" si="17"/>
        <v>Frieseomelitta nigra</v>
      </c>
      <c r="J851" t="s">
        <v>42</v>
      </c>
      <c r="K851" t="s">
        <v>334</v>
      </c>
      <c r="L851" t="s">
        <v>44</v>
      </c>
      <c r="N851">
        <v>765</v>
      </c>
      <c r="O851" t="s">
        <v>155</v>
      </c>
      <c r="P851" t="s">
        <v>222</v>
      </c>
      <c r="Q851" s="6">
        <v>45208</v>
      </c>
      <c r="U851" t="s">
        <v>225</v>
      </c>
      <c r="AD851">
        <v>2</v>
      </c>
      <c r="AE851" s="7" t="s">
        <v>180</v>
      </c>
      <c r="AF851">
        <v>36</v>
      </c>
      <c r="AG851">
        <v>0</v>
      </c>
      <c r="AH851">
        <v>0</v>
      </c>
      <c r="AI851">
        <v>369</v>
      </c>
    </row>
    <row r="852" spans="1:35" x14ac:dyDescent="0.35">
      <c r="A852" t="s">
        <v>192</v>
      </c>
      <c r="B852" t="s">
        <v>24</v>
      </c>
      <c r="C852" t="s">
        <v>33</v>
      </c>
      <c r="D852" t="s">
        <v>34</v>
      </c>
      <c r="E852" t="s">
        <v>309</v>
      </c>
      <c r="F852" t="s">
        <v>42</v>
      </c>
      <c r="G852" s="20" t="s">
        <v>144</v>
      </c>
      <c r="H852" s="21" t="s">
        <v>145</v>
      </c>
      <c r="I852" t="str">
        <f t="shared" si="17"/>
        <v>Frieseomelitta nigra</v>
      </c>
      <c r="J852" t="s">
        <v>42</v>
      </c>
      <c r="K852" t="s">
        <v>334</v>
      </c>
      <c r="L852" t="s">
        <v>44</v>
      </c>
      <c r="N852">
        <v>779</v>
      </c>
      <c r="O852" t="s">
        <v>155</v>
      </c>
      <c r="P852" t="s">
        <v>222</v>
      </c>
      <c r="Q852" s="6">
        <v>45208</v>
      </c>
      <c r="R852">
        <v>1</v>
      </c>
      <c r="U852" t="s">
        <v>225</v>
      </c>
      <c r="AD852">
        <v>3</v>
      </c>
      <c r="AE852" s="7" t="s">
        <v>178</v>
      </c>
      <c r="AF852">
        <v>36</v>
      </c>
      <c r="AG852">
        <v>0</v>
      </c>
      <c r="AH852">
        <v>0</v>
      </c>
      <c r="AI852">
        <v>370</v>
      </c>
    </row>
    <row r="853" spans="1:35" x14ac:dyDescent="0.35">
      <c r="A853" t="s">
        <v>192</v>
      </c>
      <c r="B853" t="s">
        <v>24</v>
      </c>
      <c r="C853" t="s">
        <v>33</v>
      </c>
      <c r="D853" t="s">
        <v>34</v>
      </c>
      <c r="E853" t="s">
        <v>309</v>
      </c>
      <c r="F853" t="s">
        <v>42</v>
      </c>
      <c r="G853" s="20" t="s">
        <v>144</v>
      </c>
      <c r="H853" s="21" t="s">
        <v>145</v>
      </c>
      <c r="I853" t="str">
        <f t="shared" si="17"/>
        <v>Frieseomelitta nigra</v>
      </c>
      <c r="J853" t="s">
        <v>42</v>
      </c>
      <c r="K853" t="s">
        <v>334</v>
      </c>
      <c r="L853" t="s">
        <v>44</v>
      </c>
      <c r="N853">
        <v>780</v>
      </c>
      <c r="O853" t="s">
        <v>155</v>
      </c>
      <c r="P853" t="s">
        <v>222</v>
      </c>
      <c r="Q853" s="6">
        <v>45208</v>
      </c>
      <c r="R853">
        <v>0</v>
      </c>
      <c r="U853" t="s">
        <v>225</v>
      </c>
      <c r="AD853">
        <v>3</v>
      </c>
      <c r="AE853" s="7" t="s">
        <v>177</v>
      </c>
      <c r="AF853">
        <v>36</v>
      </c>
      <c r="AG853">
        <v>0</v>
      </c>
      <c r="AH853">
        <v>0</v>
      </c>
      <c r="AI853">
        <v>371</v>
      </c>
    </row>
    <row r="854" spans="1:35" x14ac:dyDescent="0.35">
      <c r="A854" t="s">
        <v>192</v>
      </c>
      <c r="B854" t="s">
        <v>24</v>
      </c>
      <c r="C854" t="s">
        <v>33</v>
      </c>
      <c r="D854" t="s">
        <v>34</v>
      </c>
      <c r="E854" t="s">
        <v>309</v>
      </c>
      <c r="F854" t="s">
        <v>42</v>
      </c>
      <c r="G854" s="20" t="s">
        <v>144</v>
      </c>
      <c r="H854" s="21" t="s">
        <v>145</v>
      </c>
      <c r="I854" t="str">
        <f t="shared" si="17"/>
        <v>Frieseomelitta nigra</v>
      </c>
      <c r="J854" t="s">
        <v>42</v>
      </c>
      <c r="K854" t="s">
        <v>334</v>
      </c>
      <c r="L854" t="s">
        <v>44</v>
      </c>
      <c r="N854">
        <v>781</v>
      </c>
      <c r="O854" t="s">
        <v>155</v>
      </c>
      <c r="P854" t="s">
        <v>222</v>
      </c>
      <c r="Q854" s="6">
        <v>45208</v>
      </c>
      <c r="R854">
        <v>1</v>
      </c>
      <c r="U854" t="s">
        <v>225</v>
      </c>
      <c r="AD854">
        <v>1</v>
      </c>
      <c r="AE854" s="7"/>
      <c r="AF854">
        <v>36</v>
      </c>
      <c r="AG854">
        <v>0</v>
      </c>
      <c r="AH854">
        <v>0</v>
      </c>
      <c r="AI854">
        <v>372</v>
      </c>
    </row>
    <row r="855" spans="1:35" x14ac:dyDescent="0.35">
      <c r="A855" t="s">
        <v>192</v>
      </c>
      <c r="B855" t="s">
        <v>24</v>
      </c>
      <c r="C855" t="s">
        <v>33</v>
      </c>
      <c r="D855" t="s">
        <v>34</v>
      </c>
      <c r="E855" t="s">
        <v>309</v>
      </c>
      <c r="F855" t="s">
        <v>42</v>
      </c>
      <c r="G855" s="20" t="s">
        <v>146</v>
      </c>
      <c r="H855" s="20" t="s">
        <v>147</v>
      </c>
      <c r="I855" t="str">
        <f t="shared" si="17"/>
        <v>Melipona beecheii</v>
      </c>
      <c r="J855" t="s">
        <v>327</v>
      </c>
      <c r="K855" t="s">
        <v>333</v>
      </c>
      <c r="L855" t="s">
        <v>274</v>
      </c>
      <c r="N855">
        <v>675</v>
      </c>
      <c r="O855" t="s">
        <v>155</v>
      </c>
      <c r="P855" t="s">
        <v>222</v>
      </c>
      <c r="Q855" s="6">
        <v>45203</v>
      </c>
      <c r="R855">
        <v>1</v>
      </c>
      <c r="S855" t="s">
        <v>170</v>
      </c>
      <c r="T855" t="s">
        <v>229</v>
      </c>
      <c r="U855" t="s">
        <v>229</v>
      </c>
      <c r="AD855">
        <v>2</v>
      </c>
      <c r="AE855" s="7" t="s">
        <v>178</v>
      </c>
      <c r="AF855">
        <v>8</v>
      </c>
      <c r="AG855">
        <v>0</v>
      </c>
      <c r="AH855">
        <v>0</v>
      </c>
      <c r="AI855">
        <v>373</v>
      </c>
    </row>
    <row r="856" spans="1:35" x14ac:dyDescent="0.35">
      <c r="A856" t="s">
        <v>192</v>
      </c>
      <c r="B856" t="s">
        <v>24</v>
      </c>
      <c r="C856" t="s">
        <v>33</v>
      </c>
      <c r="D856" t="s">
        <v>34</v>
      </c>
      <c r="E856" t="s">
        <v>309</v>
      </c>
      <c r="F856" t="s">
        <v>42</v>
      </c>
      <c r="G856" s="20" t="s">
        <v>146</v>
      </c>
      <c r="H856" s="20" t="s">
        <v>147</v>
      </c>
      <c r="I856" t="str">
        <f t="shared" si="17"/>
        <v>Melipona beecheii</v>
      </c>
      <c r="J856" t="s">
        <v>327</v>
      </c>
      <c r="K856" t="s">
        <v>333</v>
      </c>
      <c r="L856" t="s">
        <v>274</v>
      </c>
      <c r="N856">
        <v>689</v>
      </c>
      <c r="O856" t="s">
        <v>155</v>
      </c>
      <c r="P856" t="s">
        <v>222</v>
      </c>
      <c r="Q856" s="6">
        <v>45208</v>
      </c>
      <c r="R856">
        <v>1</v>
      </c>
      <c r="S856" t="s">
        <v>166</v>
      </c>
      <c r="T856" t="s">
        <v>72</v>
      </c>
      <c r="U856" t="s">
        <v>271</v>
      </c>
      <c r="AD856">
        <v>1</v>
      </c>
      <c r="AE856" s="7" t="s">
        <v>178</v>
      </c>
      <c r="AF856">
        <v>18</v>
      </c>
      <c r="AG856">
        <v>0</v>
      </c>
      <c r="AH856">
        <v>0</v>
      </c>
      <c r="AI856">
        <v>374</v>
      </c>
    </row>
    <row r="857" spans="1:35" x14ac:dyDescent="0.35">
      <c r="A857" t="s">
        <v>192</v>
      </c>
      <c r="B857" t="s">
        <v>24</v>
      </c>
      <c r="C857" t="s">
        <v>33</v>
      </c>
      <c r="D857" t="s">
        <v>34</v>
      </c>
      <c r="E857" t="s">
        <v>309</v>
      </c>
      <c r="F857" t="s">
        <v>42</v>
      </c>
      <c r="G857" s="20" t="s">
        <v>146</v>
      </c>
      <c r="H857" s="20" t="s">
        <v>147</v>
      </c>
      <c r="I857" t="str">
        <f t="shared" si="17"/>
        <v>Melipona beecheii</v>
      </c>
      <c r="J857" t="s">
        <v>327</v>
      </c>
      <c r="K857" t="s">
        <v>333</v>
      </c>
      <c r="L857" t="s">
        <v>274</v>
      </c>
      <c r="N857">
        <v>770</v>
      </c>
      <c r="O857" t="s">
        <v>155</v>
      </c>
      <c r="P857" t="s">
        <v>222</v>
      </c>
      <c r="Q857" s="6">
        <v>45208</v>
      </c>
      <c r="R857">
        <v>1</v>
      </c>
      <c r="U857" t="s">
        <v>225</v>
      </c>
      <c r="AD857">
        <v>2</v>
      </c>
      <c r="AE857" s="7" t="s">
        <v>180</v>
      </c>
      <c r="AF857">
        <v>36</v>
      </c>
      <c r="AG857">
        <v>0</v>
      </c>
      <c r="AH857">
        <v>0</v>
      </c>
      <c r="AI857">
        <v>375</v>
      </c>
    </row>
    <row r="858" spans="1:35" x14ac:dyDescent="0.35">
      <c r="A858" t="s">
        <v>192</v>
      </c>
      <c r="B858" t="s">
        <v>24</v>
      </c>
      <c r="C858" t="s">
        <v>33</v>
      </c>
      <c r="D858" t="s">
        <v>34</v>
      </c>
      <c r="E858" t="s">
        <v>309</v>
      </c>
      <c r="F858" t="s">
        <v>42</v>
      </c>
      <c r="G858" s="20" t="s">
        <v>146</v>
      </c>
      <c r="H858" s="20" t="s">
        <v>147</v>
      </c>
      <c r="I858" t="str">
        <f t="shared" si="17"/>
        <v>Melipona beecheii</v>
      </c>
      <c r="J858" t="s">
        <v>327</v>
      </c>
      <c r="K858" t="s">
        <v>333</v>
      </c>
      <c r="L858" t="s">
        <v>274</v>
      </c>
      <c r="N858">
        <v>814</v>
      </c>
      <c r="O858" t="s">
        <v>155</v>
      </c>
      <c r="P858" t="s">
        <v>222</v>
      </c>
      <c r="Q858" s="6">
        <v>45208</v>
      </c>
      <c r="R858">
        <v>1</v>
      </c>
      <c r="S858" t="s">
        <v>166</v>
      </c>
      <c r="T858" t="s">
        <v>72</v>
      </c>
      <c r="U858" t="s">
        <v>271</v>
      </c>
      <c r="AD858">
        <v>2</v>
      </c>
      <c r="AE858" s="7" t="s">
        <v>178</v>
      </c>
      <c r="AF858">
        <v>36</v>
      </c>
      <c r="AG858">
        <v>0</v>
      </c>
      <c r="AH858">
        <v>0</v>
      </c>
      <c r="AI858">
        <v>376</v>
      </c>
    </row>
    <row r="859" spans="1:35" x14ac:dyDescent="0.35">
      <c r="A859" t="s">
        <v>192</v>
      </c>
      <c r="B859" t="s">
        <v>24</v>
      </c>
      <c r="C859" t="s">
        <v>33</v>
      </c>
      <c r="D859" t="s">
        <v>34</v>
      </c>
      <c r="E859" t="s">
        <v>309</v>
      </c>
      <c r="F859" t="s">
        <v>42</v>
      </c>
      <c r="G859" s="20" t="s">
        <v>158</v>
      </c>
      <c r="H859" s="21" t="s">
        <v>150</v>
      </c>
      <c r="I859" t="str">
        <f t="shared" si="17"/>
        <v>Nannotrigona perilampoides</v>
      </c>
      <c r="J859" t="s">
        <v>42</v>
      </c>
      <c r="K859" t="s">
        <v>334</v>
      </c>
      <c r="L859" t="s">
        <v>44</v>
      </c>
      <c r="N859">
        <v>566</v>
      </c>
      <c r="O859" t="s">
        <v>155</v>
      </c>
      <c r="P859" t="s">
        <v>223</v>
      </c>
      <c r="Q859" s="6">
        <v>45201</v>
      </c>
      <c r="R859">
        <v>0</v>
      </c>
      <c r="U859" t="s">
        <v>225</v>
      </c>
      <c r="AD859">
        <v>1</v>
      </c>
      <c r="AE859" s="7"/>
      <c r="AF859">
        <v>10</v>
      </c>
      <c r="AG859">
        <v>16</v>
      </c>
      <c r="AH859">
        <v>0</v>
      </c>
      <c r="AI859">
        <v>377</v>
      </c>
    </row>
    <row r="860" spans="1:35" x14ac:dyDescent="0.35">
      <c r="A860" t="s">
        <v>192</v>
      </c>
      <c r="B860" t="s">
        <v>24</v>
      </c>
      <c r="C860" t="s">
        <v>33</v>
      </c>
      <c r="D860" t="s">
        <v>34</v>
      </c>
      <c r="E860" t="s">
        <v>309</v>
      </c>
      <c r="F860" t="s">
        <v>42</v>
      </c>
      <c r="G860" s="20" t="s">
        <v>158</v>
      </c>
      <c r="H860" s="21" t="s">
        <v>150</v>
      </c>
      <c r="I860" t="str">
        <f t="shared" si="17"/>
        <v>Nannotrigona perilampoides</v>
      </c>
      <c r="J860" t="s">
        <v>42</v>
      </c>
      <c r="K860" t="s">
        <v>334</v>
      </c>
      <c r="L860" t="s">
        <v>44</v>
      </c>
      <c r="M860" t="s">
        <v>159</v>
      </c>
      <c r="N860">
        <v>650</v>
      </c>
      <c r="O860" t="s">
        <v>155</v>
      </c>
      <c r="P860" t="s">
        <v>223</v>
      </c>
      <c r="Q860" s="6">
        <v>45210</v>
      </c>
      <c r="R860">
        <v>0</v>
      </c>
      <c r="S860" t="s">
        <v>166</v>
      </c>
      <c r="T860" t="s">
        <v>72</v>
      </c>
      <c r="U860" t="s">
        <v>271</v>
      </c>
      <c r="AD860">
        <v>2</v>
      </c>
      <c r="AE860" s="7" t="s">
        <v>182</v>
      </c>
      <c r="AF860">
        <v>13</v>
      </c>
      <c r="AG860">
        <v>12</v>
      </c>
      <c r="AH860">
        <v>7</v>
      </c>
      <c r="AI860">
        <v>382</v>
      </c>
    </row>
    <row r="861" spans="1:35" x14ac:dyDescent="0.35">
      <c r="A861" t="s">
        <v>192</v>
      </c>
      <c r="B861" t="s">
        <v>24</v>
      </c>
      <c r="C861" t="s">
        <v>33</v>
      </c>
      <c r="D861" t="s">
        <v>34</v>
      </c>
      <c r="E861" t="s">
        <v>309</v>
      </c>
      <c r="F861" t="s">
        <v>42</v>
      </c>
      <c r="G861" s="20" t="s">
        <v>158</v>
      </c>
      <c r="H861" s="21" t="s">
        <v>150</v>
      </c>
      <c r="I861" t="str">
        <f t="shared" si="17"/>
        <v>Nannotrigona perilampoides</v>
      </c>
      <c r="J861" t="s">
        <v>42</v>
      </c>
      <c r="K861" t="s">
        <v>334</v>
      </c>
      <c r="L861" t="s">
        <v>44</v>
      </c>
      <c r="N861">
        <v>655</v>
      </c>
      <c r="O861" t="s">
        <v>155</v>
      </c>
      <c r="P861" t="s">
        <v>223</v>
      </c>
      <c r="Q861" s="6">
        <v>45210</v>
      </c>
      <c r="R861">
        <v>0</v>
      </c>
      <c r="S861" t="s">
        <v>166</v>
      </c>
      <c r="T861" t="s">
        <v>72</v>
      </c>
      <c r="U861" t="s">
        <v>271</v>
      </c>
      <c r="AD861">
        <v>1</v>
      </c>
      <c r="AE861" s="7" t="s">
        <v>180</v>
      </c>
      <c r="AF861">
        <v>13</v>
      </c>
      <c r="AG861">
        <v>12</v>
      </c>
      <c r="AH861">
        <v>7</v>
      </c>
      <c r="AI861">
        <v>383</v>
      </c>
    </row>
    <row r="862" spans="1:35" x14ac:dyDescent="0.35">
      <c r="A862" t="s">
        <v>192</v>
      </c>
      <c r="B862" t="s">
        <v>24</v>
      </c>
      <c r="C862" t="s">
        <v>33</v>
      </c>
      <c r="D862" t="s">
        <v>34</v>
      </c>
      <c r="E862" t="s">
        <v>309</v>
      </c>
      <c r="F862" t="s">
        <v>42</v>
      </c>
      <c r="G862" s="20" t="s">
        <v>158</v>
      </c>
      <c r="H862" s="21" t="s">
        <v>150</v>
      </c>
      <c r="I862" t="str">
        <f t="shared" si="17"/>
        <v>Nannotrigona perilampoides</v>
      </c>
      <c r="J862" t="s">
        <v>42</v>
      </c>
      <c r="K862" t="s">
        <v>334</v>
      </c>
      <c r="L862" t="s">
        <v>44</v>
      </c>
      <c r="M862" t="s">
        <v>159</v>
      </c>
      <c r="N862">
        <v>659</v>
      </c>
      <c r="O862" t="s">
        <v>155</v>
      </c>
      <c r="P862" t="s">
        <v>223</v>
      </c>
      <c r="Q862" s="6">
        <v>45210</v>
      </c>
      <c r="R862">
        <v>0</v>
      </c>
      <c r="S862" t="s">
        <v>166</v>
      </c>
      <c r="T862" t="s">
        <v>72</v>
      </c>
      <c r="U862" t="s">
        <v>271</v>
      </c>
      <c r="AD862">
        <v>1</v>
      </c>
      <c r="AE862" s="7" t="s">
        <v>180</v>
      </c>
      <c r="AF862">
        <v>13</v>
      </c>
      <c r="AG862">
        <v>12</v>
      </c>
      <c r="AH862">
        <v>7</v>
      </c>
      <c r="AI862">
        <v>384</v>
      </c>
    </row>
    <row r="863" spans="1:35" x14ac:dyDescent="0.35">
      <c r="A863" t="s">
        <v>192</v>
      </c>
      <c r="B863" t="s">
        <v>24</v>
      </c>
      <c r="C863" t="s">
        <v>33</v>
      </c>
      <c r="D863" t="s">
        <v>34</v>
      </c>
      <c r="E863" t="s">
        <v>309</v>
      </c>
      <c r="F863" t="s">
        <v>42</v>
      </c>
      <c r="G863" s="20" t="s">
        <v>158</v>
      </c>
      <c r="H863" s="21" t="s">
        <v>150</v>
      </c>
      <c r="I863" t="str">
        <f t="shared" si="17"/>
        <v>Nannotrigona perilampoides</v>
      </c>
      <c r="J863" t="s">
        <v>42</v>
      </c>
      <c r="K863" t="s">
        <v>334</v>
      </c>
      <c r="L863" t="s">
        <v>44</v>
      </c>
      <c r="M863" t="s">
        <v>159</v>
      </c>
      <c r="N863">
        <v>660</v>
      </c>
      <c r="O863" t="s">
        <v>155</v>
      </c>
      <c r="P863" t="s">
        <v>223</v>
      </c>
      <c r="Q863" s="6">
        <v>45210</v>
      </c>
      <c r="R863">
        <v>0</v>
      </c>
      <c r="S863" t="s">
        <v>166</v>
      </c>
      <c r="T863" t="s">
        <v>72</v>
      </c>
      <c r="U863" t="s">
        <v>271</v>
      </c>
      <c r="AD863">
        <v>1</v>
      </c>
      <c r="AE863" s="7" t="s">
        <v>179</v>
      </c>
      <c r="AF863">
        <v>13</v>
      </c>
      <c r="AG863">
        <v>12</v>
      </c>
      <c r="AH863">
        <v>7</v>
      </c>
      <c r="AI863">
        <v>385</v>
      </c>
    </row>
    <row r="864" spans="1:35" x14ac:dyDescent="0.35">
      <c r="A864" t="s">
        <v>192</v>
      </c>
      <c r="B864" t="s">
        <v>24</v>
      </c>
      <c r="C864" t="s">
        <v>33</v>
      </c>
      <c r="D864" t="s">
        <v>34</v>
      </c>
      <c r="E864" t="s">
        <v>309</v>
      </c>
      <c r="F864" t="s">
        <v>42</v>
      </c>
      <c r="G864" s="20" t="s">
        <v>158</v>
      </c>
      <c r="H864" s="21" t="s">
        <v>150</v>
      </c>
      <c r="I864" t="str">
        <f t="shared" si="17"/>
        <v>Nannotrigona perilampoides</v>
      </c>
      <c r="J864" t="s">
        <v>42</v>
      </c>
      <c r="K864" t="s">
        <v>334</v>
      </c>
      <c r="L864" t="s">
        <v>44</v>
      </c>
      <c r="M864" t="s">
        <v>159</v>
      </c>
      <c r="N864">
        <v>661</v>
      </c>
      <c r="O864" t="s">
        <v>155</v>
      </c>
      <c r="P864" t="s">
        <v>223</v>
      </c>
      <c r="Q864" s="6">
        <v>45210</v>
      </c>
      <c r="R864">
        <v>0</v>
      </c>
      <c r="S864" t="s">
        <v>166</v>
      </c>
      <c r="T864" t="s">
        <v>72</v>
      </c>
      <c r="U864" t="s">
        <v>271</v>
      </c>
      <c r="AD864">
        <v>2</v>
      </c>
      <c r="AE864" s="7" t="s">
        <v>177</v>
      </c>
      <c r="AF864">
        <v>13</v>
      </c>
      <c r="AG864">
        <v>12</v>
      </c>
      <c r="AH864">
        <v>7</v>
      </c>
      <c r="AI864">
        <v>386</v>
      </c>
    </row>
    <row r="865" spans="1:35" x14ac:dyDescent="0.35">
      <c r="A865" t="s">
        <v>192</v>
      </c>
      <c r="B865" t="s">
        <v>24</v>
      </c>
      <c r="C865" t="s">
        <v>33</v>
      </c>
      <c r="D865" t="s">
        <v>34</v>
      </c>
      <c r="E865" t="s">
        <v>309</v>
      </c>
      <c r="F865" t="s">
        <v>42</v>
      </c>
      <c r="G865" s="20" t="s">
        <v>158</v>
      </c>
      <c r="H865" s="21" t="s">
        <v>150</v>
      </c>
      <c r="I865" t="str">
        <f t="shared" si="17"/>
        <v>Nannotrigona perilampoides</v>
      </c>
      <c r="J865" t="s">
        <v>42</v>
      </c>
      <c r="K865" t="s">
        <v>334</v>
      </c>
      <c r="L865" t="s">
        <v>44</v>
      </c>
      <c r="M865" t="s">
        <v>159</v>
      </c>
      <c r="N865">
        <v>672</v>
      </c>
      <c r="O865" t="s">
        <v>155</v>
      </c>
      <c r="P865" t="s">
        <v>223</v>
      </c>
      <c r="Q865" s="6">
        <v>45210</v>
      </c>
      <c r="R865">
        <v>0</v>
      </c>
      <c r="S865" t="s">
        <v>166</v>
      </c>
      <c r="T865" t="s">
        <v>72</v>
      </c>
      <c r="U865" t="s">
        <v>271</v>
      </c>
      <c r="AD865">
        <v>2</v>
      </c>
      <c r="AE865" s="7" t="s">
        <v>179</v>
      </c>
      <c r="AF865">
        <v>13</v>
      </c>
      <c r="AG865">
        <v>12</v>
      </c>
      <c r="AH865">
        <v>7</v>
      </c>
      <c r="AI865">
        <v>387</v>
      </c>
    </row>
    <row r="866" spans="1:35" x14ac:dyDescent="0.35">
      <c r="A866" t="s">
        <v>192</v>
      </c>
      <c r="B866" t="s">
        <v>24</v>
      </c>
      <c r="C866" t="s">
        <v>33</v>
      </c>
      <c r="D866" t="s">
        <v>34</v>
      </c>
      <c r="E866" t="s">
        <v>309</v>
      </c>
      <c r="F866" t="s">
        <v>42</v>
      </c>
      <c r="G866" s="20" t="s">
        <v>158</v>
      </c>
      <c r="H866" s="21" t="s">
        <v>150</v>
      </c>
      <c r="I866" t="str">
        <f t="shared" si="17"/>
        <v>Nannotrigona perilampoides</v>
      </c>
      <c r="J866" t="s">
        <v>42</v>
      </c>
      <c r="K866" t="s">
        <v>334</v>
      </c>
      <c r="L866" t="s">
        <v>44</v>
      </c>
      <c r="M866" t="s">
        <v>159</v>
      </c>
      <c r="N866">
        <v>677</v>
      </c>
      <c r="O866" t="s">
        <v>155</v>
      </c>
      <c r="P866" t="s">
        <v>222</v>
      </c>
      <c r="Q866" s="6">
        <v>45203</v>
      </c>
      <c r="R866">
        <v>0</v>
      </c>
      <c r="S866" t="s">
        <v>166</v>
      </c>
      <c r="T866" t="s">
        <v>72</v>
      </c>
      <c r="U866" t="s">
        <v>271</v>
      </c>
      <c r="AD866">
        <v>1</v>
      </c>
      <c r="AE866" s="7" t="s">
        <v>178</v>
      </c>
      <c r="AF866">
        <v>9</v>
      </c>
      <c r="AG866">
        <v>0</v>
      </c>
      <c r="AH866">
        <v>0</v>
      </c>
      <c r="AI866">
        <v>378</v>
      </c>
    </row>
    <row r="867" spans="1:35" x14ac:dyDescent="0.35">
      <c r="A867" t="s">
        <v>192</v>
      </c>
      <c r="B867" t="s">
        <v>24</v>
      </c>
      <c r="C867" t="s">
        <v>33</v>
      </c>
      <c r="D867" t="s">
        <v>34</v>
      </c>
      <c r="E867" t="s">
        <v>309</v>
      </c>
      <c r="F867" t="s">
        <v>42</v>
      </c>
      <c r="G867" s="20" t="s">
        <v>158</v>
      </c>
      <c r="H867" s="21" t="s">
        <v>150</v>
      </c>
      <c r="I867" t="str">
        <f t="shared" si="17"/>
        <v>Nannotrigona perilampoides</v>
      </c>
      <c r="J867" t="s">
        <v>42</v>
      </c>
      <c r="K867" t="s">
        <v>334</v>
      </c>
      <c r="L867" t="s">
        <v>44</v>
      </c>
      <c r="M867" t="s">
        <v>159</v>
      </c>
      <c r="N867">
        <v>678</v>
      </c>
      <c r="O867" t="s">
        <v>155</v>
      </c>
      <c r="P867" t="s">
        <v>222</v>
      </c>
      <c r="Q867" s="6">
        <v>45203</v>
      </c>
      <c r="R867">
        <v>0</v>
      </c>
      <c r="S867" t="s">
        <v>166</v>
      </c>
      <c r="T867" t="s">
        <v>72</v>
      </c>
      <c r="U867" t="s">
        <v>271</v>
      </c>
      <c r="AD867">
        <v>1</v>
      </c>
      <c r="AE867" s="7" t="s">
        <v>177</v>
      </c>
      <c r="AF867">
        <v>9</v>
      </c>
      <c r="AG867">
        <v>0</v>
      </c>
      <c r="AH867">
        <v>0</v>
      </c>
      <c r="AI867">
        <v>379</v>
      </c>
    </row>
    <row r="868" spans="1:35" x14ac:dyDescent="0.35">
      <c r="A868" t="s">
        <v>192</v>
      </c>
      <c r="B868" t="s">
        <v>24</v>
      </c>
      <c r="C868" t="s">
        <v>33</v>
      </c>
      <c r="D868" t="s">
        <v>34</v>
      </c>
      <c r="E868" t="s">
        <v>309</v>
      </c>
      <c r="F868" t="s">
        <v>42</v>
      </c>
      <c r="G868" s="20" t="s">
        <v>158</v>
      </c>
      <c r="H868" s="21" t="s">
        <v>150</v>
      </c>
      <c r="I868" t="str">
        <f t="shared" si="17"/>
        <v>Nannotrigona perilampoides</v>
      </c>
      <c r="J868" t="s">
        <v>42</v>
      </c>
      <c r="K868" t="s">
        <v>334</v>
      </c>
      <c r="L868" t="s">
        <v>44</v>
      </c>
      <c r="M868" t="s">
        <v>159</v>
      </c>
      <c r="N868">
        <v>680</v>
      </c>
      <c r="O868" t="s">
        <v>155</v>
      </c>
      <c r="P868" t="s">
        <v>222</v>
      </c>
      <c r="Q868" s="6">
        <v>45203</v>
      </c>
      <c r="R868">
        <v>0</v>
      </c>
      <c r="U868" t="s">
        <v>225</v>
      </c>
      <c r="AD868">
        <v>1</v>
      </c>
      <c r="AE868" s="7" t="s">
        <v>178</v>
      </c>
      <c r="AF868">
        <v>7</v>
      </c>
      <c r="AG868">
        <v>0</v>
      </c>
      <c r="AH868">
        <v>0</v>
      </c>
      <c r="AI868">
        <v>380</v>
      </c>
    </row>
    <row r="869" spans="1:35" x14ac:dyDescent="0.35">
      <c r="A869" t="s">
        <v>192</v>
      </c>
      <c r="B869" t="s">
        <v>24</v>
      </c>
      <c r="C869" t="s">
        <v>33</v>
      </c>
      <c r="D869" t="s">
        <v>34</v>
      </c>
      <c r="E869" t="s">
        <v>309</v>
      </c>
      <c r="F869" t="s">
        <v>42</v>
      </c>
      <c r="G869" s="20" t="s">
        <v>158</v>
      </c>
      <c r="H869" s="21" t="s">
        <v>150</v>
      </c>
      <c r="I869" t="str">
        <f t="shared" si="17"/>
        <v>Nannotrigona perilampoides</v>
      </c>
      <c r="J869" t="s">
        <v>42</v>
      </c>
      <c r="K869" t="s">
        <v>334</v>
      </c>
      <c r="L869" t="s">
        <v>44</v>
      </c>
      <c r="M869" t="s">
        <v>159</v>
      </c>
      <c r="N869">
        <v>681</v>
      </c>
      <c r="O869" t="s">
        <v>155</v>
      </c>
      <c r="P869" t="s">
        <v>222</v>
      </c>
      <c r="Q869" s="6">
        <v>45203</v>
      </c>
      <c r="R869">
        <v>0</v>
      </c>
      <c r="S869" t="s">
        <v>166</v>
      </c>
      <c r="T869" t="s">
        <v>72</v>
      </c>
      <c r="U869" t="s">
        <v>271</v>
      </c>
      <c r="AD869">
        <v>1</v>
      </c>
      <c r="AE869" s="7" t="s">
        <v>178</v>
      </c>
      <c r="AF869">
        <v>9</v>
      </c>
      <c r="AG869">
        <v>0</v>
      </c>
      <c r="AH869">
        <v>0</v>
      </c>
      <c r="AI869">
        <v>381</v>
      </c>
    </row>
    <row r="870" spans="1:35" x14ac:dyDescent="0.35">
      <c r="A870" t="s">
        <v>192</v>
      </c>
      <c r="B870" t="s">
        <v>24</v>
      </c>
      <c r="C870" t="s">
        <v>33</v>
      </c>
      <c r="D870" t="s">
        <v>34</v>
      </c>
      <c r="E870" t="s">
        <v>309</v>
      </c>
      <c r="F870" t="s">
        <v>42</v>
      </c>
      <c r="G870" s="20" t="s">
        <v>162</v>
      </c>
      <c r="H870" s="21" t="s">
        <v>163</v>
      </c>
      <c r="I870" t="str">
        <f t="shared" ref="I870:I893" si="18">G870&amp;" "&amp;H870</f>
        <v>Partamona bilineata</v>
      </c>
      <c r="J870" t="s">
        <v>42</v>
      </c>
      <c r="K870" t="s">
        <v>334</v>
      </c>
      <c r="L870" t="s">
        <v>44</v>
      </c>
      <c r="M870" t="s">
        <v>77</v>
      </c>
      <c r="N870">
        <v>738</v>
      </c>
      <c r="O870" t="s">
        <v>155</v>
      </c>
      <c r="P870" t="s">
        <v>222</v>
      </c>
      <c r="Q870" s="6">
        <v>45208</v>
      </c>
      <c r="R870">
        <v>1</v>
      </c>
      <c r="U870" t="s">
        <v>225</v>
      </c>
      <c r="AD870">
        <v>1</v>
      </c>
      <c r="AE870" s="7" t="s">
        <v>178</v>
      </c>
      <c r="AF870">
        <v>37</v>
      </c>
      <c r="AG870">
        <v>0</v>
      </c>
      <c r="AH870">
        <v>0</v>
      </c>
      <c r="AI870">
        <v>388</v>
      </c>
    </row>
    <row r="871" spans="1:35" x14ac:dyDescent="0.35">
      <c r="A871" t="s">
        <v>192</v>
      </c>
      <c r="B871" t="s">
        <v>24</v>
      </c>
      <c r="C871" t="s">
        <v>33</v>
      </c>
      <c r="D871" t="s">
        <v>34</v>
      </c>
      <c r="E871" t="s">
        <v>309</v>
      </c>
      <c r="F871" t="s">
        <v>42</v>
      </c>
      <c r="G871" s="20" t="s">
        <v>151</v>
      </c>
      <c r="H871" s="21" t="s">
        <v>152</v>
      </c>
      <c r="I871" t="str">
        <f t="shared" si="18"/>
        <v>Trigona fulviventris</v>
      </c>
      <c r="J871" t="s">
        <v>42</v>
      </c>
      <c r="K871" t="s">
        <v>334</v>
      </c>
      <c r="L871" t="s">
        <v>44</v>
      </c>
      <c r="N871">
        <v>499</v>
      </c>
      <c r="O871" t="s">
        <v>155</v>
      </c>
      <c r="P871" t="s">
        <v>154</v>
      </c>
      <c r="Q871" s="6">
        <v>45202</v>
      </c>
      <c r="R871">
        <v>1</v>
      </c>
      <c r="U871" t="s">
        <v>225</v>
      </c>
      <c r="AD871">
        <v>1</v>
      </c>
      <c r="AE871" s="7" t="s">
        <v>178</v>
      </c>
      <c r="AF871">
        <v>5</v>
      </c>
      <c r="AG871">
        <v>28</v>
      </c>
      <c r="AH871">
        <v>0</v>
      </c>
      <c r="AI871">
        <v>391</v>
      </c>
    </row>
    <row r="872" spans="1:35" x14ac:dyDescent="0.35">
      <c r="A872" t="s">
        <v>192</v>
      </c>
      <c r="B872" t="s">
        <v>24</v>
      </c>
      <c r="C872" t="s">
        <v>33</v>
      </c>
      <c r="D872" t="s">
        <v>34</v>
      </c>
      <c r="E872" t="s">
        <v>309</v>
      </c>
      <c r="F872" t="s">
        <v>42</v>
      </c>
      <c r="G872" s="20" t="s">
        <v>151</v>
      </c>
      <c r="H872" s="21" t="s">
        <v>152</v>
      </c>
      <c r="I872" t="str">
        <f t="shared" si="18"/>
        <v>Trigona fulviventris</v>
      </c>
      <c r="J872" t="s">
        <v>42</v>
      </c>
      <c r="K872" t="s">
        <v>334</v>
      </c>
      <c r="L872" t="s">
        <v>44</v>
      </c>
      <c r="N872">
        <v>500</v>
      </c>
      <c r="O872" t="s">
        <v>155</v>
      </c>
      <c r="P872" t="s">
        <v>154</v>
      </c>
      <c r="Q872" s="6">
        <v>45202</v>
      </c>
      <c r="R872">
        <v>1</v>
      </c>
      <c r="U872" t="s">
        <v>225</v>
      </c>
      <c r="AD872">
        <v>1</v>
      </c>
      <c r="AE872" s="7" t="s">
        <v>179</v>
      </c>
      <c r="AF872">
        <v>5</v>
      </c>
      <c r="AG872">
        <v>28</v>
      </c>
      <c r="AH872">
        <v>0</v>
      </c>
      <c r="AI872">
        <v>392</v>
      </c>
    </row>
    <row r="873" spans="1:35" x14ac:dyDescent="0.35">
      <c r="A873" t="s">
        <v>192</v>
      </c>
      <c r="B873" t="s">
        <v>24</v>
      </c>
      <c r="C873" t="s">
        <v>33</v>
      </c>
      <c r="D873" t="s">
        <v>34</v>
      </c>
      <c r="E873" t="s">
        <v>309</v>
      </c>
      <c r="F873" t="s">
        <v>42</v>
      </c>
      <c r="G873" s="20" t="s">
        <v>151</v>
      </c>
      <c r="H873" s="21" t="s">
        <v>152</v>
      </c>
      <c r="I873" t="str">
        <f t="shared" si="18"/>
        <v>Trigona fulviventris</v>
      </c>
      <c r="J873" t="s">
        <v>42</v>
      </c>
      <c r="K873" t="s">
        <v>334</v>
      </c>
      <c r="L873" t="s">
        <v>44</v>
      </c>
      <c r="N873">
        <v>501</v>
      </c>
      <c r="O873" t="s">
        <v>155</v>
      </c>
      <c r="P873" t="s">
        <v>154</v>
      </c>
      <c r="Q873" s="6">
        <v>45202</v>
      </c>
      <c r="R873">
        <v>1</v>
      </c>
      <c r="U873" t="s">
        <v>225</v>
      </c>
      <c r="AD873">
        <v>1</v>
      </c>
      <c r="AE873" s="7" t="s">
        <v>180</v>
      </c>
      <c r="AF873">
        <v>5</v>
      </c>
      <c r="AG873">
        <v>28</v>
      </c>
      <c r="AH873">
        <v>0</v>
      </c>
      <c r="AI873">
        <v>393</v>
      </c>
    </row>
    <row r="874" spans="1:35" x14ac:dyDescent="0.35">
      <c r="A874" t="s">
        <v>192</v>
      </c>
      <c r="B874" t="s">
        <v>24</v>
      </c>
      <c r="C874" t="s">
        <v>33</v>
      </c>
      <c r="D874" t="s">
        <v>34</v>
      </c>
      <c r="E874" t="s">
        <v>309</v>
      </c>
      <c r="F874" t="s">
        <v>42</v>
      </c>
      <c r="G874" s="20" t="s">
        <v>151</v>
      </c>
      <c r="H874" s="21" t="s">
        <v>152</v>
      </c>
      <c r="I874" t="str">
        <f t="shared" si="18"/>
        <v>Trigona fulviventris</v>
      </c>
      <c r="J874" t="s">
        <v>42</v>
      </c>
      <c r="K874" t="s">
        <v>334</v>
      </c>
      <c r="L874" t="s">
        <v>44</v>
      </c>
      <c r="N874">
        <v>502</v>
      </c>
      <c r="O874" t="s">
        <v>155</v>
      </c>
      <c r="P874" t="s">
        <v>154</v>
      </c>
      <c r="Q874" s="6">
        <v>45202</v>
      </c>
      <c r="R874">
        <v>1</v>
      </c>
      <c r="U874" t="s">
        <v>225</v>
      </c>
      <c r="AD874">
        <v>1</v>
      </c>
      <c r="AE874" s="7" t="s">
        <v>179</v>
      </c>
      <c r="AF874">
        <v>5</v>
      </c>
      <c r="AG874">
        <v>28</v>
      </c>
      <c r="AH874">
        <v>0</v>
      </c>
      <c r="AI874">
        <v>394</v>
      </c>
    </row>
    <row r="875" spans="1:35" x14ac:dyDescent="0.35">
      <c r="A875" t="s">
        <v>192</v>
      </c>
      <c r="B875" t="s">
        <v>24</v>
      </c>
      <c r="C875" t="s">
        <v>33</v>
      </c>
      <c r="D875" t="s">
        <v>34</v>
      </c>
      <c r="E875" t="s">
        <v>309</v>
      </c>
      <c r="F875" t="s">
        <v>42</v>
      </c>
      <c r="G875" s="20" t="s">
        <v>151</v>
      </c>
      <c r="H875" s="21" t="s">
        <v>152</v>
      </c>
      <c r="I875" t="str">
        <f t="shared" si="18"/>
        <v>Trigona fulviventris</v>
      </c>
      <c r="J875" t="s">
        <v>42</v>
      </c>
      <c r="K875" t="s">
        <v>334</v>
      </c>
      <c r="L875" t="s">
        <v>44</v>
      </c>
      <c r="N875">
        <v>503</v>
      </c>
      <c r="O875" t="s">
        <v>155</v>
      </c>
      <c r="P875" t="s">
        <v>154</v>
      </c>
      <c r="Q875" s="6">
        <v>45202</v>
      </c>
      <c r="R875">
        <v>0</v>
      </c>
      <c r="U875" t="s">
        <v>225</v>
      </c>
      <c r="AD875">
        <v>1</v>
      </c>
      <c r="AE875" s="7" t="s">
        <v>180</v>
      </c>
      <c r="AF875">
        <v>5</v>
      </c>
      <c r="AG875">
        <v>28</v>
      </c>
      <c r="AH875">
        <v>0</v>
      </c>
      <c r="AI875">
        <v>395</v>
      </c>
    </row>
    <row r="876" spans="1:35" x14ac:dyDescent="0.35">
      <c r="A876" t="s">
        <v>192</v>
      </c>
      <c r="B876" t="s">
        <v>24</v>
      </c>
      <c r="C876" t="s">
        <v>33</v>
      </c>
      <c r="D876" t="s">
        <v>34</v>
      </c>
      <c r="E876" t="s">
        <v>309</v>
      </c>
      <c r="F876" t="s">
        <v>42</v>
      </c>
      <c r="G876" s="20" t="s">
        <v>151</v>
      </c>
      <c r="H876" s="21" t="s">
        <v>152</v>
      </c>
      <c r="I876" t="str">
        <f t="shared" si="18"/>
        <v>Trigona fulviventris</v>
      </c>
      <c r="J876" t="s">
        <v>42</v>
      </c>
      <c r="K876" t="s">
        <v>334</v>
      </c>
      <c r="L876" t="s">
        <v>44</v>
      </c>
      <c r="N876">
        <v>504</v>
      </c>
      <c r="O876" t="s">
        <v>155</v>
      </c>
      <c r="P876" t="s">
        <v>154</v>
      </c>
      <c r="Q876" s="6">
        <v>45202</v>
      </c>
      <c r="R876">
        <v>1</v>
      </c>
      <c r="U876" t="s">
        <v>225</v>
      </c>
      <c r="AD876">
        <v>3</v>
      </c>
      <c r="AE876" s="7" t="s">
        <v>178</v>
      </c>
      <c r="AF876">
        <v>12</v>
      </c>
      <c r="AG876">
        <v>6</v>
      </c>
      <c r="AH876">
        <v>0</v>
      </c>
      <c r="AI876">
        <v>396</v>
      </c>
    </row>
    <row r="877" spans="1:35" x14ac:dyDescent="0.35">
      <c r="A877" t="s">
        <v>192</v>
      </c>
      <c r="B877" t="s">
        <v>24</v>
      </c>
      <c r="C877" t="s">
        <v>33</v>
      </c>
      <c r="D877" t="s">
        <v>34</v>
      </c>
      <c r="E877" t="s">
        <v>309</v>
      </c>
      <c r="F877" t="s">
        <v>42</v>
      </c>
      <c r="G877" s="20" t="s">
        <v>151</v>
      </c>
      <c r="H877" s="21" t="s">
        <v>152</v>
      </c>
      <c r="I877" t="str">
        <f t="shared" si="18"/>
        <v>Trigona fulviventris</v>
      </c>
      <c r="J877" t="s">
        <v>42</v>
      </c>
      <c r="K877" t="s">
        <v>334</v>
      </c>
      <c r="L877" t="s">
        <v>44</v>
      </c>
      <c r="N877">
        <v>505</v>
      </c>
      <c r="O877" t="s">
        <v>155</v>
      </c>
      <c r="P877" t="s">
        <v>154</v>
      </c>
      <c r="Q877" s="6">
        <v>45202</v>
      </c>
      <c r="R877">
        <v>0</v>
      </c>
      <c r="U877" t="s">
        <v>225</v>
      </c>
      <c r="AD877">
        <v>1</v>
      </c>
      <c r="AE877" s="7" t="s">
        <v>181</v>
      </c>
      <c r="AF877">
        <v>12</v>
      </c>
      <c r="AG877">
        <v>6</v>
      </c>
      <c r="AH877">
        <v>0</v>
      </c>
      <c r="AI877">
        <v>397</v>
      </c>
    </row>
    <row r="878" spans="1:35" x14ac:dyDescent="0.35">
      <c r="A878" t="s">
        <v>192</v>
      </c>
      <c r="B878" t="s">
        <v>24</v>
      </c>
      <c r="C878" t="s">
        <v>33</v>
      </c>
      <c r="D878" t="s">
        <v>34</v>
      </c>
      <c r="E878" t="s">
        <v>309</v>
      </c>
      <c r="F878" t="s">
        <v>42</v>
      </c>
      <c r="G878" s="20" t="s">
        <v>151</v>
      </c>
      <c r="H878" s="21" t="s">
        <v>152</v>
      </c>
      <c r="I878" t="str">
        <f t="shared" si="18"/>
        <v>Trigona fulviventris</v>
      </c>
      <c r="J878" t="s">
        <v>42</v>
      </c>
      <c r="K878" t="s">
        <v>334</v>
      </c>
      <c r="L878" t="s">
        <v>44</v>
      </c>
      <c r="N878">
        <v>506</v>
      </c>
      <c r="O878" t="s">
        <v>155</v>
      </c>
      <c r="P878" t="s">
        <v>154</v>
      </c>
      <c r="Q878" s="6">
        <v>45202</v>
      </c>
      <c r="R878">
        <v>1</v>
      </c>
      <c r="U878" t="s">
        <v>225</v>
      </c>
      <c r="AD878">
        <v>1</v>
      </c>
      <c r="AE878" s="7" t="s">
        <v>178</v>
      </c>
      <c r="AF878">
        <v>12</v>
      </c>
      <c r="AG878">
        <v>6</v>
      </c>
      <c r="AH878">
        <v>0</v>
      </c>
      <c r="AI878">
        <v>398</v>
      </c>
    </row>
    <row r="879" spans="1:35" x14ac:dyDescent="0.35">
      <c r="A879" t="s">
        <v>192</v>
      </c>
      <c r="B879" t="s">
        <v>24</v>
      </c>
      <c r="C879" t="s">
        <v>33</v>
      </c>
      <c r="D879" t="s">
        <v>34</v>
      </c>
      <c r="E879" t="s">
        <v>309</v>
      </c>
      <c r="F879" t="s">
        <v>42</v>
      </c>
      <c r="G879" s="20" t="s">
        <v>151</v>
      </c>
      <c r="H879" s="21" t="s">
        <v>152</v>
      </c>
      <c r="I879" t="str">
        <f t="shared" si="18"/>
        <v>Trigona fulviventris</v>
      </c>
      <c r="J879" t="s">
        <v>42</v>
      </c>
      <c r="K879" t="s">
        <v>334</v>
      </c>
      <c r="L879" t="s">
        <v>44</v>
      </c>
      <c r="N879">
        <v>507</v>
      </c>
      <c r="O879" t="s">
        <v>155</v>
      </c>
      <c r="P879" t="s">
        <v>223</v>
      </c>
      <c r="Q879" s="6">
        <v>45201</v>
      </c>
      <c r="R879">
        <v>1</v>
      </c>
      <c r="U879" t="s">
        <v>225</v>
      </c>
      <c r="AD879">
        <v>1</v>
      </c>
      <c r="AE879" s="7" t="s">
        <v>180</v>
      </c>
      <c r="AF879">
        <v>17</v>
      </c>
      <c r="AG879">
        <v>39</v>
      </c>
      <c r="AH879">
        <v>0</v>
      </c>
      <c r="AI879">
        <v>389</v>
      </c>
    </row>
    <row r="880" spans="1:35" x14ac:dyDescent="0.35">
      <c r="A880" t="s">
        <v>192</v>
      </c>
      <c r="B880" t="s">
        <v>24</v>
      </c>
      <c r="C880" t="s">
        <v>33</v>
      </c>
      <c r="D880" t="s">
        <v>34</v>
      </c>
      <c r="E880" t="s">
        <v>309</v>
      </c>
      <c r="F880" t="s">
        <v>42</v>
      </c>
      <c r="G880" s="20" t="s">
        <v>151</v>
      </c>
      <c r="H880" s="21" t="s">
        <v>152</v>
      </c>
      <c r="I880" t="str">
        <f t="shared" si="18"/>
        <v>Trigona fulviventris</v>
      </c>
      <c r="J880" t="s">
        <v>42</v>
      </c>
      <c r="K880" t="s">
        <v>334</v>
      </c>
      <c r="L880" t="s">
        <v>44</v>
      </c>
      <c r="N880">
        <v>537</v>
      </c>
      <c r="O880" t="s">
        <v>155</v>
      </c>
      <c r="P880" t="s">
        <v>223</v>
      </c>
      <c r="Q880" s="6">
        <v>45201</v>
      </c>
      <c r="R880">
        <v>1</v>
      </c>
      <c r="S880" t="s">
        <v>72</v>
      </c>
      <c r="T880" t="s">
        <v>72</v>
      </c>
      <c r="U880" t="s">
        <v>271</v>
      </c>
      <c r="AD880">
        <v>3</v>
      </c>
      <c r="AE880" s="7" t="s">
        <v>180</v>
      </c>
      <c r="AF880">
        <v>12</v>
      </c>
      <c r="AG880">
        <v>24</v>
      </c>
      <c r="AH880">
        <v>10</v>
      </c>
      <c r="AI880">
        <v>390</v>
      </c>
    </row>
    <row r="881" spans="1:35" x14ac:dyDescent="0.35">
      <c r="A881" t="s">
        <v>192</v>
      </c>
      <c r="B881" t="s">
        <v>24</v>
      </c>
      <c r="C881" t="s">
        <v>33</v>
      </c>
      <c r="D881" t="s">
        <v>34</v>
      </c>
      <c r="E881" t="s">
        <v>309</v>
      </c>
      <c r="F881" t="s">
        <v>42</v>
      </c>
      <c r="G881" s="20" t="s">
        <v>151</v>
      </c>
      <c r="H881" s="21" t="s">
        <v>152</v>
      </c>
      <c r="I881" t="str">
        <f t="shared" si="18"/>
        <v>Trigona fulviventris</v>
      </c>
      <c r="J881" t="s">
        <v>42</v>
      </c>
      <c r="K881" t="s">
        <v>334</v>
      </c>
      <c r="L881" t="s">
        <v>44</v>
      </c>
      <c r="N881">
        <v>586</v>
      </c>
      <c r="O881" t="s">
        <v>155</v>
      </c>
      <c r="P881" t="s">
        <v>223</v>
      </c>
      <c r="Q881" s="6">
        <v>45210</v>
      </c>
      <c r="R881">
        <v>1</v>
      </c>
      <c r="U881" t="s">
        <v>225</v>
      </c>
      <c r="AD881">
        <v>1</v>
      </c>
      <c r="AE881" s="7" t="s">
        <v>180</v>
      </c>
      <c r="AF881">
        <v>17</v>
      </c>
      <c r="AG881">
        <v>14</v>
      </c>
      <c r="AH881">
        <v>9</v>
      </c>
      <c r="AI881">
        <v>400</v>
      </c>
    </row>
    <row r="882" spans="1:35" x14ac:dyDescent="0.35">
      <c r="A882" t="s">
        <v>192</v>
      </c>
      <c r="B882" t="s">
        <v>24</v>
      </c>
      <c r="C882" t="s">
        <v>33</v>
      </c>
      <c r="D882" t="s">
        <v>34</v>
      </c>
      <c r="E882" t="s">
        <v>309</v>
      </c>
      <c r="F882" t="s">
        <v>42</v>
      </c>
      <c r="G882" s="20" t="s">
        <v>151</v>
      </c>
      <c r="H882" s="21" t="s">
        <v>152</v>
      </c>
      <c r="I882" t="str">
        <f t="shared" si="18"/>
        <v>Trigona fulviventris</v>
      </c>
      <c r="J882" t="s">
        <v>42</v>
      </c>
      <c r="K882" t="s">
        <v>334</v>
      </c>
      <c r="L882" t="s">
        <v>44</v>
      </c>
      <c r="N882">
        <v>600</v>
      </c>
      <c r="O882" t="s">
        <v>155</v>
      </c>
      <c r="P882" t="s">
        <v>223</v>
      </c>
      <c r="Q882" s="6">
        <v>45210</v>
      </c>
      <c r="R882">
        <v>0</v>
      </c>
      <c r="U882" t="s">
        <v>225</v>
      </c>
      <c r="AD882">
        <v>2</v>
      </c>
      <c r="AE882" s="7" t="s">
        <v>177</v>
      </c>
      <c r="AF882">
        <v>10</v>
      </c>
      <c r="AG882">
        <v>4</v>
      </c>
      <c r="AH882">
        <v>0</v>
      </c>
      <c r="AI882">
        <v>401</v>
      </c>
    </row>
    <row r="883" spans="1:35" x14ac:dyDescent="0.35">
      <c r="A883" t="s">
        <v>192</v>
      </c>
      <c r="B883" t="s">
        <v>24</v>
      </c>
      <c r="C883" t="s">
        <v>33</v>
      </c>
      <c r="D883" t="s">
        <v>34</v>
      </c>
      <c r="E883" t="s">
        <v>309</v>
      </c>
      <c r="F883" t="s">
        <v>42</v>
      </c>
      <c r="G883" s="20" t="s">
        <v>151</v>
      </c>
      <c r="H883" s="21" t="s">
        <v>152</v>
      </c>
      <c r="I883" t="str">
        <f t="shared" si="18"/>
        <v>Trigona fulviventris</v>
      </c>
      <c r="J883" t="s">
        <v>42</v>
      </c>
      <c r="K883" t="s">
        <v>334</v>
      </c>
      <c r="L883" t="s">
        <v>44</v>
      </c>
      <c r="N883">
        <v>603</v>
      </c>
      <c r="O883" t="s">
        <v>155</v>
      </c>
      <c r="P883" t="s">
        <v>223</v>
      </c>
      <c r="Q883" s="6">
        <v>45210</v>
      </c>
      <c r="R883">
        <v>1</v>
      </c>
      <c r="S883" t="s">
        <v>166</v>
      </c>
      <c r="T883" t="s">
        <v>72</v>
      </c>
      <c r="U883" t="s">
        <v>271</v>
      </c>
      <c r="AD883">
        <v>1</v>
      </c>
      <c r="AE883" s="7" t="s">
        <v>178</v>
      </c>
      <c r="AF883">
        <v>10</v>
      </c>
      <c r="AG883">
        <v>4</v>
      </c>
      <c r="AH883">
        <v>0</v>
      </c>
      <c r="AI883">
        <v>402</v>
      </c>
    </row>
    <row r="884" spans="1:35" x14ac:dyDescent="0.35">
      <c r="A884" t="s">
        <v>192</v>
      </c>
      <c r="B884" t="s">
        <v>24</v>
      </c>
      <c r="C884" t="s">
        <v>33</v>
      </c>
      <c r="D884" t="s">
        <v>34</v>
      </c>
      <c r="E884" t="s">
        <v>309</v>
      </c>
      <c r="F884" t="s">
        <v>42</v>
      </c>
      <c r="G884" s="20" t="s">
        <v>151</v>
      </c>
      <c r="H884" s="21" t="s">
        <v>152</v>
      </c>
      <c r="I884" t="str">
        <f t="shared" si="18"/>
        <v>Trigona fulviventris</v>
      </c>
      <c r="J884" t="s">
        <v>42</v>
      </c>
      <c r="K884" t="s">
        <v>334</v>
      </c>
      <c r="L884" t="s">
        <v>44</v>
      </c>
      <c r="N884">
        <v>616</v>
      </c>
      <c r="O884" t="s">
        <v>155</v>
      </c>
      <c r="P884" t="s">
        <v>223</v>
      </c>
      <c r="Q884" s="6">
        <v>45210</v>
      </c>
      <c r="R884">
        <v>0</v>
      </c>
      <c r="U884" t="s">
        <v>225</v>
      </c>
      <c r="AD884">
        <v>1</v>
      </c>
      <c r="AE884" s="7" t="s">
        <v>177</v>
      </c>
      <c r="AF884">
        <v>16</v>
      </c>
      <c r="AG884">
        <v>14</v>
      </c>
      <c r="AH884">
        <v>3</v>
      </c>
      <c r="AI884">
        <v>403</v>
      </c>
    </row>
    <row r="885" spans="1:35" x14ac:dyDescent="0.35">
      <c r="A885" t="s">
        <v>192</v>
      </c>
      <c r="B885" t="s">
        <v>24</v>
      </c>
      <c r="C885" t="s">
        <v>33</v>
      </c>
      <c r="D885" t="s">
        <v>34</v>
      </c>
      <c r="E885" t="s">
        <v>309</v>
      </c>
      <c r="F885" t="s">
        <v>42</v>
      </c>
      <c r="G885" s="20" t="s">
        <v>151</v>
      </c>
      <c r="H885" s="21" t="s">
        <v>152</v>
      </c>
      <c r="I885" t="str">
        <f t="shared" si="18"/>
        <v>Trigona fulviventris</v>
      </c>
      <c r="J885" t="s">
        <v>42</v>
      </c>
      <c r="K885" t="s">
        <v>334</v>
      </c>
      <c r="L885" t="s">
        <v>44</v>
      </c>
      <c r="N885">
        <v>617</v>
      </c>
      <c r="O885" t="s">
        <v>155</v>
      </c>
      <c r="P885" t="s">
        <v>223</v>
      </c>
      <c r="Q885" s="6">
        <v>45210</v>
      </c>
      <c r="R885">
        <v>0</v>
      </c>
      <c r="U885" t="s">
        <v>225</v>
      </c>
      <c r="AD885">
        <v>2</v>
      </c>
      <c r="AE885" s="7" t="s">
        <v>179</v>
      </c>
      <c r="AF885">
        <v>16</v>
      </c>
      <c r="AG885">
        <v>14</v>
      </c>
      <c r="AH885">
        <v>3</v>
      </c>
      <c r="AI885">
        <v>404</v>
      </c>
    </row>
    <row r="886" spans="1:35" x14ac:dyDescent="0.35">
      <c r="A886" t="s">
        <v>192</v>
      </c>
      <c r="B886" t="s">
        <v>24</v>
      </c>
      <c r="C886" t="s">
        <v>33</v>
      </c>
      <c r="D886" t="s">
        <v>34</v>
      </c>
      <c r="E886" t="s">
        <v>309</v>
      </c>
      <c r="F886" t="s">
        <v>42</v>
      </c>
      <c r="G886" s="20" t="s">
        <v>151</v>
      </c>
      <c r="H886" s="21" t="s">
        <v>152</v>
      </c>
      <c r="I886" t="str">
        <f t="shared" si="18"/>
        <v>Trigona fulviventris</v>
      </c>
      <c r="J886" t="s">
        <v>42</v>
      </c>
      <c r="K886" t="s">
        <v>334</v>
      </c>
      <c r="L886" t="s">
        <v>44</v>
      </c>
      <c r="N886">
        <v>629</v>
      </c>
      <c r="O886" t="s">
        <v>155</v>
      </c>
      <c r="P886" t="s">
        <v>223</v>
      </c>
      <c r="Q886" s="6">
        <v>45210</v>
      </c>
      <c r="R886">
        <v>0</v>
      </c>
      <c r="S886" t="s">
        <v>166</v>
      </c>
      <c r="T886" t="s">
        <v>72</v>
      </c>
      <c r="U886" t="s">
        <v>271</v>
      </c>
      <c r="AD886">
        <v>2</v>
      </c>
      <c r="AE886" s="7" t="s">
        <v>179</v>
      </c>
      <c r="AF886">
        <v>9</v>
      </c>
      <c r="AG886">
        <v>19</v>
      </c>
      <c r="AH886">
        <v>0</v>
      </c>
      <c r="AI886">
        <v>405</v>
      </c>
    </row>
    <row r="887" spans="1:35" x14ac:dyDescent="0.35">
      <c r="A887" t="s">
        <v>192</v>
      </c>
      <c r="B887" t="s">
        <v>24</v>
      </c>
      <c r="C887" t="s">
        <v>33</v>
      </c>
      <c r="D887" t="s">
        <v>34</v>
      </c>
      <c r="E887" t="s">
        <v>309</v>
      </c>
      <c r="F887" t="s">
        <v>42</v>
      </c>
      <c r="G887" s="20" t="s">
        <v>151</v>
      </c>
      <c r="H887" s="21" t="s">
        <v>152</v>
      </c>
      <c r="I887" t="str">
        <f t="shared" si="18"/>
        <v>Trigona fulviventris</v>
      </c>
      <c r="J887" t="s">
        <v>42</v>
      </c>
      <c r="K887" t="s">
        <v>334</v>
      </c>
      <c r="L887" t="s">
        <v>44</v>
      </c>
      <c r="N887">
        <v>632</v>
      </c>
      <c r="O887" t="s">
        <v>155</v>
      </c>
      <c r="P887" t="s">
        <v>223</v>
      </c>
      <c r="Q887" s="6">
        <v>45210</v>
      </c>
      <c r="R887">
        <v>0</v>
      </c>
      <c r="U887" t="s">
        <v>225</v>
      </c>
      <c r="AD887">
        <v>1</v>
      </c>
      <c r="AE887" s="7" t="s">
        <v>177</v>
      </c>
      <c r="AF887">
        <v>16</v>
      </c>
      <c r="AG887">
        <v>19</v>
      </c>
      <c r="AH887">
        <v>0</v>
      </c>
      <c r="AI887">
        <v>406</v>
      </c>
    </row>
    <row r="888" spans="1:35" x14ac:dyDescent="0.35">
      <c r="A888" t="s">
        <v>192</v>
      </c>
      <c r="B888" t="s">
        <v>24</v>
      </c>
      <c r="C888" t="s">
        <v>33</v>
      </c>
      <c r="D888" t="s">
        <v>34</v>
      </c>
      <c r="E888" t="s">
        <v>309</v>
      </c>
      <c r="F888" t="s">
        <v>42</v>
      </c>
      <c r="G888" s="20" t="s">
        <v>151</v>
      </c>
      <c r="H888" s="21" t="s">
        <v>152</v>
      </c>
      <c r="I888" t="str">
        <f t="shared" si="18"/>
        <v>Trigona fulviventris</v>
      </c>
      <c r="J888" t="s">
        <v>42</v>
      </c>
      <c r="K888" t="s">
        <v>334</v>
      </c>
      <c r="L888" t="s">
        <v>44</v>
      </c>
      <c r="N888">
        <v>638</v>
      </c>
      <c r="O888" t="s">
        <v>155</v>
      </c>
      <c r="P888" t="s">
        <v>223</v>
      </c>
      <c r="Q888" s="6">
        <v>45210</v>
      </c>
      <c r="R888">
        <v>1</v>
      </c>
      <c r="U888" t="s">
        <v>225</v>
      </c>
      <c r="AD888">
        <v>1</v>
      </c>
      <c r="AE888" s="7" t="s">
        <v>179</v>
      </c>
      <c r="AF888">
        <v>16</v>
      </c>
      <c r="AG888">
        <v>19</v>
      </c>
      <c r="AH888">
        <v>0</v>
      </c>
      <c r="AI888">
        <v>407</v>
      </c>
    </row>
    <row r="889" spans="1:35" x14ac:dyDescent="0.35">
      <c r="A889" t="s">
        <v>192</v>
      </c>
      <c r="B889" t="s">
        <v>24</v>
      </c>
      <c r="C889" t="s">
        <v>33</v>
      </c>
      <c r="D889" t="s">
        <v>34</v>
      </c>
      <c r="E889" t="s">
        <v>309</v>
      </c>
      <c r="F889" t="s">
        <v>42</v>
      </c>
      <c r="G889" s="20" t="s">
        <v>151</v>
      </c>
      <c r="H889" s="21" t="s">
        <v>152</v>
      </c>
      <c r="I889" t="str">
        <f t="shared" si="18"/>
        <v>Trigona fulviventris</v>
      </c>
      <c r="J889" t="s">
        <v>42</v>
      </c>
      <c r="K889" t="s">
        <v>334</v>
      </c>
      <c r="L889" t="s">
        <v>44</v>
      </c>
      <c r="N889">
        <v>640</v>
      </c>
      <c r="O889" t="s">
        <v>155</v>
      </c>
      <c r="P889" t="s">
        <v>223</v>
      </c>
      <c r="Q889" s="6">
        <v>45210</v>
      </c>
      <c r="R889">
        <v>1</v>
      </c>
      <c r="U889" t="s">
        <v>225</v>
      </c>
      <c r="AD889">
        <v>4</v>
      </c>
      <c r="AE889" s="7" t="s">
        <v>179</v>
      </c>
      <c r="AF889">
        <v>16</v>
      </c>
      <c r="AG889">
        <v>19</v>
      </c>
      <c r="AH889">
        <v>0</v>
      </c>
      <c r="AI889">
        <v>408</v>
      </c>
    </row>
    <row r="890" spans="1:35" x14ac:dyDescent="0.35">
      <c r="A890" t="s">
        <v>192</v>
      </c>
      <c r="B890" t="s">
        <v>24</v>
      </c>
      <c r="C890" t="s">
        <v>33</v>
      </c>
      <c r="D890" t="s">
        <v>34</v>
      </c>
      <c r="E890" t="s">
        <v>309</v>
      </c>
      <c r="F890" t="s">
        <v>42</v>
      </c>
      <c r="G890" s="20" t="s">
        <v>151</v>
      </c>
      <c r="H890" s="21" t="s">
        <v>152</v>
      </c>
      <c r="I890" t="str">
        <f t="shared" si="18"/>
        <v>Trigona fulviventris</v>
      </c>
      <c r="J890" t="s">
        <v>42</v>
      </c>
      <c r="K890" t="s">
        <v>334</v>
      </c>
      <c r="L890" t="s">
        <v>44</v>
      </c>
      <c r="N890">
        <v>642</v>
      </c>
      <c r="O890" t="s">
        <v>155</v>
      </c>
      <c r="P890" t="s">
        <v>223</v>
      </c>
      <c r="Q890" s="6">
        <v>45210</v>
      </c>
      <c r="R890">
        <v>1</v>
      </c>
      <c r="U890" t="s">
        <v>225</v>
      </c>
      <c r="AD890">
        <v>1</v>
      </c>
      <c r="AE890" s="7" t="s">
        <v>179</v>
      </c>
      <c r="AF890">
        <v>16</v>
      </c>
      <c r="AG890">
        <v>19</v>
      </c>
      <c r="AH890">
        <v>0</v>
      </c>
      <c r="AI890">
        <v>409</v>
      </c>
    </row>
    <row r="891" spans="1:35" x14ac:dyDescent="0.35">
      <c r="A891" t="s">
        <v>192</v>
      </c>
      <c r="B891" t="s">
        <v>24</v>
      </c>
      <c r="C891" t="s">
        <v>33</v>
      </c>
      <c r="D891" t="s">
        <v>34</v>
      </c>
      <c r="E891" t="s">
        <v>309</v>
      </c>
      <c r="F891" t="s">
        <v>42</v>
      </c>
      <c r="G891" s="20" t="s">
        <v>151</v>
      </c>
      <c r="H891" s="21" t="s">
        <v>152</v>
      </c>
      <c r="I891" t="str">
        <f t="shared" si="18"/>
        <v>Trigona fulviventris</v>
      </c>
      <c r="J891" t="s">
        <v>42</v>
      </c>
      <c r="K891" t="s">
        <v>334</v>
      </c>
      <c r="L891" t="s">
        <v>44</v>
      </c>
      <c r="N891">
        <v>648</v>
      </c>
      <c r="O891" t="s">
        <v>155</v>
      </c>
      <c r="P891" t="s">
        <v>223</v>
      </c>
      <c r="Q891" s="6">
        <v>45210</v>
      </c>
      <c r="R891">
        <v>1</v>
      </c>
      <c r="S891" t="s">
        <v>166</v>
      </c>
      <c r="T891" t="s">
        <v>72</v>
      </c>
      <c r="U891" t="s">
        <v>271</v>
      </c>
      <c r="AD891">
        <v>2</v>
      </c>
      <c r="AE891" s="7" t="s">
        <v>180</v>
      </c>
      <c r="AF891">
        <v>13</v>
      </c>
      <c r="AG891">
        <v>12</v>
      </c>
      <c r="AH891">
        <v>7</v>
      </c>
      <c r="AI891">
        <v>410</v>
      </c>
    </row>
    <row r="892" spans="1:35" x14ac:dyDescent="0.35">
      <c r="A892" t="s">
        <v>192</v>
      </c>
      <c r="B892" t="s">
        <v>24</v>
      </c>
      <c r="C892" t="s">
        <v>33</v>
      </c>
      <c r="D892" t="s">
        <v>34</v>
      </c>
      <c r="E892" t="s">
        <v>309</v>
      </c>
      <c r="F892" t="s">
        <v>42</v>
      </c>
      <c r="G892" s="20" t="s">
        <v>151</v>
      </c>
      <c r="H892" s="21" t="s">
        <v>152</v>
      </c>
      <c r="I892" t="str">
        <f t="shared" si="18"/>
        <v>Trigona fulviventris</v>
      </c>
      <c r="J892" t="s">
        <v>42</v>
      </c>
      <c r="K892" t="s">
        <v>334</v>
      </c>
      <c r="L892" t="s">
        <v>44</v>
      </c>
      <c r="N892">
        <v>658</v>
      </c>
      <c r="O892" t="s">
        <v>155</v>
      </c>
      <c r="P892" t="s">
        <v>223</v>
      </c>
      <c r="Q892" s="6">
        <v>45210</v>
      </c>
      <c r="R892">
        <v>0</v>
      </c>
      <c r="U892" t="s">
        <v>225</v>
      </c>
      <c r="AD892">
        <v>1</v>
      </c>
      <c r="AE892" s="7" t="s">
        <v>179</v>
      </c>
      <c r="AF892">
        <v>13</v>
      </c>
      <c r="AG892">
        <v>12</v>
      </c>
      <c r="AH892">
        <v>7</v>
      </c>
      <c r="AI892">
        <v>411</v>
      </c>
    </row>
    <row r="893" spans="1:35" x14ac:dyDescent="0.35">
      <c r="A893" t="s">
        <v>192</v>
      </c>
      <c r="B893" t="s">
        <v>24</v>
      </c>
      <c r="C893" t="s">
        <v>33</v>
      </c>
      <c r="D893" t="s">
        <v>34</v>
      </c>
      <c r="E893" t="s">
        <v>309</v>
      </c>
      <c r="F893" t="s">
        <v>42</v>
      </c>
      <c r="G893" s="20" t="s">
        <v>151</v>
      </c>
      <c r="H893" s="21" t="s">
        <v>152</v>
      </c>
      <c r="I893" t="str">
        <f t="shared" si="18"/>
        <v>Trigona fulviventris</v>
      </c>
      <c r="J893" t="s">
        <v>42</v>
      </c>
      <c r="K893" t="s">
        <v>334</v>
      </c>
      <c r="L893" t="s">
        <v>44</v>
      </c>
      <c r="N893">
        <v>679</v>
      </c>
      <c r="O893" t="s">
        <v>155</v>
      </c>
      <c r="P893" t="s">
        <v>222</v>
      </c>
      <c r="Q893" s="6">
        <v>45203</v>
      </c>
      <c r="R893">
        <v>0</v>
      </c>
      <c r="U893" t="s">
        <v>225</v>
      </c>
      <c r="AD893">
        <v>2</v>
      </c>
      <c r="AE893" s="7" t="s">
        <v>178</v>
      </c>
      <c r="AF893">
        <v>7</v>
      </c>
      <c r="AG893">
        <v>0</v>
      </c>
      <c r="AH893">
        <v>0</v>
      </c>
      <c r="AI893">
        <v>399</v>
      </c>
    </row>
    <row r="894" spans="1:35" x14ac:dyDescent="0.35">
      <c r="A894" t="s">
        <v>192</v>
      </c>
      <c r="B894" t="s">
        <v>24</v>
      </c>
      <c r="C894" t="s">
        <v>33</v>
      </c>
      <c r="D894" t="s">
        <v>114</v>
      </c>
      <c r="I894" t="s">
        <v>114</v>
      </c>
      <c r="J894" t="s">
        <v>326</v>
      </c>
      <c r="K894" t="s">
        <v>330</v>
      </c>
      <c r="L894" t="s">
        <v>50</v>
      </c>
      <c r="M894" t="s">
        <v>50</v>
      </c>
      <c r="N894">
        <v>711</v>
      </c>
      <c r="O894" t="s">
        <v>155</v>
      </c>
      <c r="P894" t="s">
        <v>222</v>
      </c>
      <c r="Q894" s="6">
        <v>45208</v>
      </c>
      <c r="R894">
        <v>0</v>
      </c>
      <c r="U894" t="s">
        <v>225</v>
      </c>
      <c r="AD894">
        <v>1</v>
      </c>
      <c r="AE894" s="7" t="s">
        <v>177</v>
      </c>
      <c r="AF894">
        <v>34</v>
      </c>
      <c r="AG894">
        <v>0</v>
      </c>
      <c r="AH894">
        <v>0</v>
      </c>
      <c r="AI894">
        <v>412</v>
      </c>
    </row>
    <row r="895" spans="1:35" x14ac:dyDescent="0.35">
      <c r="A895" t="s">
        <v>192</v>
      </c>
      <c r="B895" t="s">
        <v>24</v>
      </c>
      <c r="C895" t="s">
        <v>85</v>
      </c>
      <c r="I895" t="s">
        <v>85</v>
      </c>
      <c r="J895" t="s">
        <v>326</v>
      </c>
      <c r="K895" t="s">
        <v>330</v>
      </c>
      <c r="L895" t="s">
        <v>160</v>
      </c>
      <c r="M895" t="s">
        <v>160</v>
      </c>
      <c r="N895">
        <v>673</v>
      </c>
      <c r="O895" t="s">
        <v>155</v>
      </c>
      <c r="P895" t="s">
        <v>222</v>
      </c>
      <c r="Q895" s="6">
        <v>45203</v>
      </c>
      <c r="R895">
        <v>0</v>
      </c>
      <c r="S895" t="s">
        <v>166</v>
      </c>
      <c r="T895" t="s">
        <v>72</v>
      </c>
      <c r="U895" t="s">
        <v>271</v>
      </c>
      <c r="AD895">
        <v>1</v>
      </c>
      <c r="AE895" s="7" t="s">
        <v>177</v>
      </c>
      <c r="AF895">
        <v>8</v>
      </c>
      <c r="AG895">
        <v>0</v>
      </c>
      <c r="AH895">
        <v>0</v>
      </c>
      <c r="AI895">
        <v>413</v>
      </c>
    </row>
    <row r="896" spans="1:35" x14ac:dyDescent="0.35">
      <c r="A896" t="s">
        <v>156</v>
      </c>
      <c r="B896" t="s">
        <v>24</v>
      </c>
      <c r="C896" t="s">
        <v>33</v>
      </c>
      <c r="D896" t="s">
        <v>34</v>
      </c>
      <c r="E896" t="s">
        <v>309</v>
      </c>
      <c r="F896" t="s">
        <v>310</v>
      </c>
      <c r="G896" s="20" t="s">
        <v>38</v>
      </c>
      <c r="H896" s="20" t="s">
        <v>39</v>
      </c>
      <c r="I896" t="str">
        <f t="shared" ref="I896:I924" si="19">G896&amp;" "&amp;H896</f>
        <v>Apis mellifera</v>
      </c>
      <c r="J896" t="s">
        <v>70</v>
      </c>
      <c r="K896" t="s">
        <v>332</v>
      </c>
      <c r="L896" t="s">
        <v>275</v>
      </c>
      <c r="N896">
        <v>372</v>
      </c>
      <c r="O896" t="s">
        <v>155</v>
      </c>
      <c r="P896" t="s">
        <v>222</v>
      </c>
      <c r="Q896" s="1">
        <v>45179</v>
      </c>
      <c r="U896" t="s">
        <v>225</v>
      </c>
      <c r="V896">
        <v>1</v>
      </c>
      <c r="W896">
        <v>1</v>
      </c>
      <c r="X896">
        <v>879</v>
      </c>
      <c r="Y896">
        <v>0</v>
      </c>
      <c r="Z896">
        <v>1</v>
      </c>
      <c r="AA896">
        <v>1</v>
      </c>
      <c r="AB896">
        <v>3.31</v>
      </c>
      <c r="AD896">
        <v>1</v>
      </c>
      <c r="AI896">
        <v>414</v>
      </c>
    </row>
    <row r="897" spans="1:35" x14ac:dyDescent="0.35">
      <c r="A897" t="s">
        <v>156</v>
      </c>
      <c r="B897" t="s">
        <v>24</v>
      </c>
      <c r="C897" t="s">
        <v>33</v>
      </c>
      <c r="D897" t="s">
        <v>34</v>
      </c>
      <c r="E897" t="s">
        <v>309</v>
      </c>
      <c r="F897" t="s">
        <v>310</v>
      </c>
      <c r="G897" s="20" t="s">
        <v>38</v>
      </c>
      <c r="H897" s="20" t="s">
        <v>39</v>
      </c>
      <c r="I897" t="str">
        <f t="shared" si="19"/>
        <v>Apis mellifera</v>
      </c>
      <c r="J897" t="s">
        <v>70</v>
      </c>
      <c r="K897" t="s">
        <v>332</v>
      </c>
      <c r="L897" t="s">
        <v>275</v>
      </c>
      <c r="N897">
        <v>373</v>
      </c>
      <c r="O897" t="s">
        <v>155</v>
      </c>
      <c r="P897" t="s">
        <v>154</v>
      </c>
      <c r="Q897" s="1">
        <v>45194</v>
      </c>
      <c r="U897" t="s">
        <v>225</v>
      </c>
      <c r="V897">
        <v>1</v>
      </c>
      <c r="W897">
        <v>1</v>
      </c>
      <c r="X897">
        <v>48</v>
      </c>
      <c r="Y897">
        <v>0</v>
      </c>
      <c r="Z897">
        <v>1</v>
      </c>
      <c r="AA897">
        <v>1</v>
      </c>
      <c r="AB897">
        <v>3.74</v>
      </c>
      <c r="AD897">
        <v>1</v>
      </c>
      <c r="AI897">
        <v>418</v>
      </c>
    </row>
    <row r="898" spans="1:35" x14ac:dyDescent="0.35">
      <c r="A898" t="s">
        <v>156</v>
      </c>
      <c r="B898" t="s">
        <v>24</v>
      </c>
      <c r="C898" t="s">
        <v>33</v>
      </c>
      <c r="D898" t="s">
        <v>34</v>
      </c>
      <c r="E898" t="s">
        <v>309</v>
      </c>
      <c r="F898" t="s">
        <v>310</v>
      </c>
      <c r="G898" s="20" t="s">
        <v>38</v>
      </c>
      <c r="H898" s="20" t="s">
        <v>39</v>
      </c>
      <c r="I898" t="str">
        <f t="shared" si="19"/>
        <v>Apis mellifera</v>
      </c>
      <c r="J898" t="s">
        <v>70</v>
      </c>
      <c r="K898" t="s">
        <v>332</v>
      </c>
      <c r="L898" t="s">
        <v>275</v>
      </c>
      <c r="N898">
        <v>374</v>
      </c>
      <c r="O898" t="s">
        <v>155</v>
      </c>
      <c r="P898" t="s">
        <v>222</v>
      </c>
      <c r="Q898" s="1">
        <v>45179</v>
      </c>
      <c r="U898" t="s">
        <v>225</v>
      </c>
      <c r="V898">
        <v>1</v>
      </c>
      <c r="W898">
        <v>1</v>
      </c>
      <c r="X898">
        <v>2571</v>
      </c>
      <c r="Y898">
        <v>0</v>
      </c>
      <c r="Z898">
        <v>1</v>
      </c>
      <c r="AA898">
        <v>1</v>
      </c>
      <c r="AB898">
        <v>3.77</v>
      </c>
      <c r="AD898">
        <v>1</v>
      </c>
      <c r="AI898">
        <v>415</v>
      </c>
    </row>
    <row r="899" spans="1:35" x14ac:dyDescent="0.35">
      <c r="A899" t="s">
        <v>156</v>
      </c>
      <c r="B899" t="s">
        <v>24</v>
      </c>
      <c r="C899" t="s">
        <v>33</v>
      </c>
      <c r="D899" t="s">
        <v>34</v>
      </c>
      <c r="E899" t="s">
        <v>309</v>
      </c>
      <c r="F899" t="s">
        <v>310</v>
      </c>
      <c r="G899" s="20" t="s">
        <v>38</v>
      </c>
      <c r="H899" s="20" t="s">
        <v>39</v>
      </c>
      <c r="I899" t="str">
        <f t="shared" si="19"/>
        <v>Apis mellifera</v>
      </c>
      <c r="J899" t="s">
        <v>70</v>
      </c>
      <c r="K899" t="s">
        <v>332</v>
      </c>
      <c r="L899" t="s">
        <v>275</v>
      </c>
      <c r="N899">
        <v>375</v>
      </c>
      <c r="O899" t="s">
        <v>155</v>
      </c>
      <c r="P899" t="s">
        <v>222</v>
      </c>
      <c r="Q899" s="1">
        <v>45179</v>
      </c>
      <c r="U899" t="s">
        <v>225</v>
      </c>
      <c r="V899">
        <v>1</v>
      </c>
      <c r="W899">
        <v>1</v>
      </c>
      <c r="X899">
        <v>2142</v>
      </c>
      <c r="Y899">
        <v>0</v>
      </c>
      <c r="Z899">
        <v>1</v>
      </c>
      <c r="AA899">
        <v>1</v>
      </c>
      <c r="AB899">
        <v>3.54</v>
      </c>
      <c r="AD899">
        <v>1</v>
      </c>
      <c r="AI899">
        <v>416</v>
      </c>
    </row>
    <row r="900" spans="1:35" x14ac:dyDescent="0.35">
      <c r="A900" t="s">
        <v>156</v>
      </c>
      <c r="B900" t="s">
        <v>24</v>
      </c>
      <c r="C900" t="s">
        <v>33</v>
      </c>
      <c r="D900" t="s">
        <v>34</v>
      </c>
      <c r="E900" t="s">
        <v>309</v>
      </c>
      <c r="F900" t="s">
        <v>310</v>
      </c>
      <c r="G900" s="20" t="s">
        <v>38</v>
      </c>
      <c r="H900" s="20" t="s">
        <v>39</v>
      </c>
      <c r="I900" t="str">
        <f t="shared" si="19"/>
        <v>Apis mellifera</v>
      </c>
      <c r="J900" t="s">
        <v>70</v>
      </c>
      <c r="K900" t="s">
        <v>332</v>
      </c>
      <c r="L900" t="s">
        <v>275</v>
      </c>
      <c r="N900">
        <v>376</v>
      </c>
      <c r="O900" t="s">
        <v>155</v>
      </c>
      <c r="P900" t="s">
        <v>222</v>
      </c>
      <c r="Q900" s="1">
        <v>45179</v>
      </c>
      <c r="U900" t="s">
        <v>225</v>
      </c>
      <c r="V900">
        <v>1</v>
      </c>
      <c r="W900">
        <v>1</v>
      </c>
      <c r="X900">
        <v>603</v>
      </c>
      <c r="Y900">
        <v>1</v>
      </c>
      <c r="Z900">
        <v>0.99834162520729686</v>
      </c>
      <c r="AA900">
        <v>1</v>
      </c>
      <c r="AB900">
        <v>3.77</v>
      </c>
      <c r="AD900">
        <v>1</v>
      </c>
      <c r="AI900">
        <v>417</v>
      </c>
    </row>
    <row r="901" spans="1:35" x14ac:dyDescent="0.35">
      <c r="A901" t="s">
        <v>156</v>
      </c>
      <c r="B901" t="s">
        <v>24</v>
      </c>
      <c r="C901" t="s">
        <v>33</v>
      </c>
      <c r="D901" t="s">
        <v>65</v>
      </c>
      <c r="E901" t="s">
        <v>62</v>
      </c>
      <c r="F901" t="s">
        <v>311</v>
      </c>
      <c r="G901" s="20" t="s">
        <v>138</v>
      </c>
      <c r="H901" t="s">
        <v>7</v>
      </c>
      <c r="I901" t="str">
        <f t="shared" si="19"/>
        <v>Augochlorella species</v>
      </c>
      <c r="J901" t="s">
        <v>65</v>
      </c>
      <c r="K901" t="s">
        <v>333</v>
      </c>
      <c r="L901" t="s">
        <v>196</v>
      </c>
      <c r="N901">
        <v>377</v>
      </c>
      <c r="O901" t="s">
        <v>155</v>
      </c>
      <c r="P901" t="s">
        <v>222</v>
      </c>
      <c r="Q901" s="1">
        <v>45179</v>
      </c>
      <c r="U901" t="s">
        <v>225</v>
      </c>
      <c r="V901">
        <v>1</v>
      </c>
      <c r="W901">
        <v>1</v>
      </c>
      <c r="X901">
        <v>15</v>
      </c>
      <c r="Y901">
        <v>0</v>
      </c>
      <c r="Z901">
        <v>1</v>
      </c>
      <c r="AA901">
        <v>2</v>
      </c>
      <c r="AB901">
        <v>1.59</v>
      </c>
      <c r="AD901">
        <v>1</v>
      </c>
      <c r="AI901">
        <v>419</v>
      </c>
    </row>
    <row r="902" spans="1:35" x14ac:dyDescent="0.35">
      <c r="A902" t="s">
        <v>156</v>
      </c>
      <c r="B902" t="s">
        <v>24</v>
      </c>
      <c r="C902" t="s">
        <v>33</v>
      </c>
      <c r="D902" t="s">
        <v>65</v>
      </c>
      <c r="E902" t="s">
        <v>62</v>
      </c>
      <c r="F902" t="s">
        <v>311</v>
      </c>
      <c r="G902" s="20" t="s">
        <v>142</v>
      </c>
      <c r="H902" s="21" t="s">
        <v>143</v>
      </c>
      <c r="I902" t="str">
        <f t="shared" si="19"/>
        <v>Augochloropsis metallica</v>
      </c>
      <c r="J902" t="s">
        <v>65</v>
      </c>
      <c r="K902" t="s">
        <v>333</v>
      </c>
      <c r="L902" t="s">
        <v>196</v>
      </c>
      <c r="N902">
        <v>381</v>
      </c>
      <c r="O902" t="s">
        <v>155</v>
      </c>
      <c r="P902" t="s">
        <v>154</v>
      </c>
      <c r="Q902" s="1">
        <v>45194</v>
      </c>
      <c r="U902" t="s">
        <v>225</v>
      </c>
      <c r="V902">
        <v>1</v>
      </c>
      <c r="W902">
        <v>1</v>
      </c>
      <c r="X902">
        <v>4644</v>
      </c>
      <c r="Y902">
        <v>170</v>
      </c>
      <c r="Z902">
        <v>0.96339362618432389</v>
      </c>
      <c r="AA902">
        <v>1</v>
      </c>
      <c r="AB902">
        <v>2.7</v>
      </c>
      <c r="AD902">
        <v>1</v>
      </c>
      <c r="AI902">
        <v>420</v>
      </c>
    </row>
    <row r="903" spans="1:35" x14ac:dyDescent="0.35">
      <c r="A903" t="s">
        <v>156</v>
      </c>
      <c r="B903" t="s">
        <v>24</v>
      </c>
      <c r="C903" t="s">
        <v>33</v>
      </c>
      <c r="D903" t="s">
        <v>34</v>
      </c>
      <c r="E903" t="s">
        <v>309</v>
      </c>
      <c r="F903" t="s">
        <v>139</v>
      </c>
      <c r="G903" s="20" t="s">
        <v>140</v>
      </c>
      <c r="H903" s="20" t="s">
        <v>141</v>
      </c>
      <c r="I903" t="str">
        <f t="shared" si="19"/>
        <v>Eulaema polychroma</v>
      </c>
      <c r="J903" t="s">
        <v>242</v>
      </c>
      <c r="K903" t="s">
        <v>331</v>
      </c>
      <c r="L903" t="s">
        <v>273</v>
      </c>
      <c r="N903">
        <v>378</v>
      </c>
      <c r="O903" t="s">
        <v>155</v>
      </c>
      <c r="P903" t="s">
        <v>223</v>
      </c>
      <c r="Q903" s="1">
        <v>45240</v>
      </c>
      <c r="U903" t="s">
        <v>225</v>
      </c>
      <c r="V903">
        <v>1</v>
      </c>
      <c r="W903">
        <v>1</v>
      </c>
      <c r="X903">
        <v>17510</v>
      </c>
      <c r="Y903">
        <v>3</v>
      </c>
      <c r="Z903">
        <v>0.9998890819684253</v>
      </c>
      <c r="AA903">
        <v>1</v>
      </c>
      <c r="AB903">
        <v>6.82</v>
      </c>
      <c r="AD903">
        <v>1</v>
      </c>
    </row>
    <row r="904" spans="1:35" x14ac:dyDescent="0.35">
      <c r="A904" t="s">
        <v>156</v>
      </c>
      <c r="B904" t="s">
        <v>24</v>
      </c>
      <c r="C904" t="s">
        <v>33</v>
      </c>
      <c r="D904" t="s">
        <v>34</v>
      </c>
      <c r="E904" t="s">
        <v>309</v>
      </c>
      <c r="F904" t="s">
        <v>139</v>
      </c>
      <c r="G904" s="20" t="s">
        <v>140</v>
      </c>
      <c r="H904" s="20" t="s">
        <v>141</v>
      </c>
      <c r="I904" t="str">
        <f t="shared" si="19"/>
        <v>Eulaema polychroma</v>
      </c>
      <c r="J904" t="s">
        <v>242</v>
      </c>
      <c r="K904" t="s">
        <v>331</v>
      </c>
      <c r="L904" t="s">
        <v>273</v>
      </c>
      <c r="N904">
        <v>379</v>
      </c>
      <c r="O904" t="s">
        <v>155</v>
      </c>
      <c r="P904" t="s">
        <v>222</v>
      </c>
      <c r="Q904" s="1">
        <v>45179</v>
      </c>
      <c r="U904" t="s">
        <v>225</v>
      </c>
      <c r="V904">
        <v>1</v>
      </c>
      <c r="W904">
        <v>1</v>
      </c>
      <c r="X904">
        <v>3501</v>
      </c>
      <c r="Y904">
        <v>0</v>
      </c>
      <c r="Z904">
        <v>1</v>
      </c>
      <c r="AA904">
        <v>1</v>
      </c>
      <c r="AB904">
        <v>7.19</v>
      </c>
      <c r="AD904">
        <v>1</v>
      </c>
    </row>
    <row r="905" spans="1:35" x14ac:dyDescent="0.35">
      <c r="A905" t="s">
        <v>156</v>
      </c>
      <c r="B905" t="s">
        <v>24</v>
      </c>
      <c r="C905" t="s">
        <v>33</v>
      </c>
      <c r="D905" t="s">
        <v>34</v>
      </c>
      <c r="E905" t="s">
        <v>309</v>
      </c>
      <c r="F905" t="s">
        <v>139</v>
      </c>
      <c r="G905" s="20" t="s">
        <v>140</v>
      </c>
      <c r="H905" s="20" t="s">
        <v>141</v>
      </c>
      <c r="I905" t="str">
        <f t="shared" si="19"/>
        <v>Eulaema polychroma</v>
      </c>
      <c r="J905" t="s">
        <v>242</v>
      </c>
      <c r="K905" t="s">
        <v>331</v>
      </c>
      <c r="L905" t="s">
        <v>273</v>
      </c>
      <c r="N905">
        <v>380</v>
      </c>
      <c r="O905" t="s">
        <v>155</v>
      </c>
      <c r="P905" t="s">
        <v>32</v>
      </c>
      <c r="Q905" t="s">
        <v>32</v>
      </c>
      <c r="U905" t="s">
        <v>225</v>
      </c>
      <c r="V905">
        <v>1</v>
      </c>
      <c r="W905">
        <v>1</v>
      </c>
      <c r="X905">
        <v>890</v>
      </c>
      <c r="Y905">
        <v>0</v>
      </c>
      <c r="Z905">
        <v>1</v>
      </c>
      <c r="AD905">
        <v>1</v>
      </c>
    </row>
    <row r="906" spans="1:35" x14ac:dyDescent="0.35">
      <c r="A906" t="s">
        <v>156</v>
      </c>
      <c r="B906" t="s">
        <v>24</v>
      </c>
      <c r="C906" t="s">
        <v>33</v>
      </c>
      <c r="D906" t="s">
        <v>34</v>
      </c>
      <c r="E906" t="s">
        <v>309</v>
      </c>
      <c r="F906" t="s">
        <v>42</v>
      </c>
      <c r="G906" s="20" t="s">
        <v>144</v>
      </c>
      <c r="H906" s="21" t="s">
        <v>145</v>
      </c>
      <c r="I906" t="str">
        <f t="shared" si="19"/>
        <v>Frieseomelitta nigra</v>
      </c>
      <c r="J906" t="s">
        <v>42</v>
      </c>
      <c r="K906" t="s">
        <v>334</v>
      </c>
      <c r="L906" t="s">
        <v>44</v>
      </c>
      <c r="N906">
        <v>382</v>
      </c>
      <c r="O906" t="s">
        <v>155</v>
      </c>
      <c r="P906" t="s">
        <v>222</v>
      </c>
      <c r="Q906" s="1" t="s">
        <v>153</v>
      </c>
      <c r="U906" t="s">
        <v>225</v>
      </c>
      <c r="V906">
        <v>1</v>
      </c>
      <c r="W906">
        <v>1</v>
      </c>
      <c r="X906">
        <v>67</v>
      </c>
      <c r="Y906">
        <v>0</v>
      </c>
      <c r="Z906">
        <v>1</v>
      </c>
      <c r="AA906">
        <v>1</v>
      </c>
      <c r="AB906">
        <v>1.88</v>
      </c>
      <c r="AD906">
        <v>1</v>
      </c>
    </row>
    <row r="907" spans="1:35" x14ac:dyDescent="0.35">
      <c r="A907" t="s">
        <v>156</v>
      </c>
      <c r="B907" t="s">
        <v>24</v>
      </c>
      <c r="C907" t="s">
        <v>33</v>
      </c>
      <c r="D907" t="s">
        <v>34</v>
      </c>
      <c r="E907" t="s">
        <v>309</v>
      </c>
      <c r="F907" t="s">
        <v>42</v>
      </c>
      <c r="G907" s="20" t="s">
        <v>144</v>
      </c>
      <c r="H907" s="21" t="s">
        <v>145</v>
      </c>
      <c r="I907" t="str">
        <f t="shared" si="19"/>
        <v>Frieseomelitta nigra</v>
      </c>
      <c r="J907" t="s">
        <v>42</v>
      </c>
      <c r="K907" t="s">
        <v>334</v>
      </c>
      <c r="L907" t="s">
        <v>44</v>
      </c>
      <c r="N907">
        <v>383</v>
      </c>
      <c r="O907" t="s">
        <v>155</v>
      </c>
      <c r="P907" t="s">
        <v>222</v>
      </c>
      <c r="Q907" s="1" t="s">
        <v>153</v>
      </c>
      <c r="U907" t="s">
        <v>225</v>
      </c>
      <c r="V907">
        <v>1</v>
      </c>
      <c r="W907">
        <v>1</v>
      </c>
      <c r="X907">
        <v>57</v>
      </c>
      <c r="Y907">
        <v>0</v>
      </c>
      <c r="Z907">
        <v>1</v>
      </c>
      <c r="AA907">
        <v>2</v>
      </c>
      <c r="AB907">
        <v>1.1499999999999999</v>
      </c>
      <c r="AD907">
        <v>1</v>
      </c>
    </row>
    <row r="908" spans="1:35" x14ac:dyDescent="0.35">
      <c r="A908" t="s">
        <v>156</v>
      </c>
      <c r="B908" t="s">
        <v>24</v>
      </c>
      <c r="C908" t="s">
        <v>33</v>
      </c>
      <c r="D908" t="s">
        <v>34</v>
      </c>
      <c r="E908" t="s">
        <v>309</v>
      </c>
      <c r="F908" t="s">
        <v>42</v>
      </c>
      <c r="G908" s="20" t="s">
        <v>144</v>
      </c>
      <c r="H908" s="21" t="s">
        <v>145</v>
      </c>
      <c r="I908" t="str">
        <f t="shared" si="19"/>
        <v>Frieseomelitta nigra</v>
      </c>
      <c r="J908" t="s">
        <v>42</v>
      </c>
      <c r="K908" t="s">
        <v>334</v>
      </c>
      <c r="L908" t="s">
        <v>44</v>
      </c>
      <c r="N908">
        <v>384</v>
      </c>
      <c r="O908" t="s">
        <v>155</v>
      </c>
      <c r="P908" t="s">
        <v>222</v>
      </c>
      <c r="Q908" s="1">
        <v>45179</v>
      </c>
      <c r="U908" t="s">
        <v>225</v>
      </c>
      <c r="V908">
        <v>1</v>
      </c>
      <c r="W908">
        <v>1</v>
      </c>
      <c r="X908">
        <v>609</v>
      </c>
      <c r="Y908">
        <v>3</v>
      </c>
      <c r="Z908">
        <v>0.99507389162561577</v>
      </c>
      <c r="AA908">
        <v>2</v>
      </c>
      <c r="AB908">
        <v>1.44</v>
      </c>
      <c r="AD908">
        <v>1</v>
      </c>
    </row>
    <row r="909" spans="1:35" x14ac:dyDescent="0.35">
      <c r="A909" t="s">
        <v>156</v>
      </c>
      <c r="B909" t="s">
        <v>24</v>
      </c>
      <c r="C909" t="s">
        <v>33</v>
      </c>
      <c r="D909" t="s">
        <v>34</v>
      </c>
      <c r="E909" t="s">
        <v>309</v>
      </c>
      <c r="F909" t="s">
        <v>42</v>
      </c>
      <c r="G909" s="20" t="s">
        <v>144</v>
      </c>
      <c r="H909" s="21" t="s">
        <v>145</v>
      </c>
      <c r="I909" t="str">
        <f t="shared" si="19"/>
        <v>Frieseomelitta nigra</v>
      </c>
      <c r="J909" t="s">
        <v>42</v>
      </c>
      <c r="K909" t="s">
        <v>334</v>
      </c>
      <c r="L909" t="s">
        <v>44</v>
      </c>
      <c r="N909">
        <v>385</v>
      </c>
      <c r="O909" t="s">
        <v>155</v>
      </c>
      <c r="P909" t="s">
        <v>222</v>
      </c>
      <c r="Q909" s="1">
        <v>45179</v>
      </c>
      <c r="U909" t="s">
        <v>225</v>
      </c>
      <c r="V909">
        <v>1</v>
      </c>
      <c r="W909">
        <v>1</v>
      </c>
      <c r="X909">
        <v>412</v>
      </c>
      <c r="Y909">
        <v>0</v>
      </c>
      <c r="Z909">
        <v>1</v>
      </c>
      <c r="AA909">
        <v>2</v>
      </c>
      <c r="AB909">
        <v>1.56</v>
      </c>
      <c r="AD909">
        <v>1</v>
      </c>
    </row>
    <row r="910" spans="1:35" x14ac:dyDescent="0.35">
      <c r="A910" t="s">
        <v>156</v>
      </c>
      <c r="B910" t="s">
        <v>24</v>
      </c>
      <c r="C910" t="s">
        <v>33</v>
      </c>
      <c r="D910" t="s">
        <v>34</v>
      </c>
      <c r="E910" t="s">
        <v>309</v>
      </c>
      <c r="F910" t="s">
        <v>42</v>
      </c>
      <c r="G910" s="20" t="s">
        <v>144</v>
      </c>
      <c r="H910" s="21" t="s">
        <v>145</v>
      </c>
      <c r="I910" t="str">
        <f t="shared" si="19"/>
        <v>Frieseomelitta nigra</v>
      </c>
      <c r="J910" t="s">
        <v>42</v>
      </c>
      <c r="K910" t="s">
        <v>334</v>
      </c>
      <c r="L910" t="s">
        <v>44</v>
      </c>
      <c r="N910">
        <v>386</v>
      </c>
      <c r="O910" t="s">
        <v>155</v>
      </c>
      <c r="P910" t="s">
        <v>222</v>
      </c>
      <c r="Q910" s="1">
        <v>45179</v>
      </c>
      <c r="U910" t="s">
        <v>225</v>
      </c>
      <c r="V910">
        <v>1</v>
      </c>
      <c r="W910">
        <v>0</v>
      </c>
      <c r="X910">
        <v>0</v>
      </c>
      <c r="Y910">
        <v>0</v>
      </c>
      <c r="AA910">
        <v>2</v>
      </c>
      <c r="AB910">
        <v>1.53</v>
      </c>
      <c r="AD910">
        <v>1</v>
      </c>
    </row>
    <row r="911" spans="1:35" x14ac:dyDescent="0.35">
      <c r="A911" t="s">
        <v>156</v>
      </c>
      <c r="B911" t="s">
        <v>24</v>
      </c>
      <c r="C911" t="s">
        <v>33</v>
      </c>
      <c r="D911" t="s">
        <v>65</v>
      </c>
      <c r="E911" t="s">
        <v>62</v>
      </c>
      <c r="F911" t="s">
        <v>316</v>
      </c>
      <c r="G911" s="20" t="s">
        <v>315</v>
      </c>
      <c r="H911" t="s">
        <v>7</v>
      </c>
      <c r="I911" t="str">
        <f t="shared" si="19"/>
        <v>Halictus species</v>
      </c>
      <c r="J911" t="s">
        <v>65</v>
      </c>
      <c r="K911" t="s">
        <v>333</v>
      </c>
      <c r="L911" t="s">
        <v>196</v>
      </c>
      <c r="N911">
        <v>387</v>
      </c>
      <c r="O911" t="s">
        <v>155</v>
      </c>
      <c r="P911" t="s">
        <v>222</v>
      </c>
      <c r="Q911" s="1">
        <v>45026</v>
      </c>
      <c r="U911" t="s">
        <v>225</v>
      </c>
      <c r="V911">
        <v>1</v>
      </c>
      <c r="W911">
        <v>1</v>
      </c>
      <c r="X911">
        <v>11</v>
      </c>
      <c r="Y911">
        <v>0</v>
      </c>
      <c r="Z911">
        <v>1</v>
      </c>
      <c r="AA911">
        <v>2</v>
      </c>
      <c r="AB911">
        <v>1.6</v>
      </c>
      <c r="AD911">
        <v>1</v>
      </c>
    </row>
    <row r="912" spans="1:35" x14ac:dyDescent="0.35">
      <c r="A912" t="s">
        <v>156</v>
      </c>
      <c r="B912" t="s">
        <v>24</v>
      </c>
      <c r="C912" t="s">
        <v>33</v>
      </c>
      <c r="D912" t="s">
        <v>34</v>
      </c>
      <c r="E912" t="s">
        <v>309</v>
      </c>
      <c r="F912" t="s">
        <v>42</v>
      </c>
      <c r="G912" s="20" t="s">
        <v>146</v>
      </c>
      <c r="H912" s="20" t="s">
        <v>147</v>
      </c>
      <c r="I912" t="str">
        <f t="shared" si="19"/>
        <v>Melipona beecheii</v>
      </c>
      <c r="J912" t="s">
        <v>327</v>
      </c>
      <c r="K912" t="s">
        <v>333</v>
      </c>
      <c r="L912" t="s">
        <v>274</v>
      </c>
      <c r="N912">
        <v>388</v>
      </c>
      <c r="O912" t="s">
        <v>155</v>
      </c>
      <c r="P912" t="s">
        <v>222</v>
      </c>
      <c r="Q912" s="1">
        <v>45026</v>
      </c>
      <c r="U912" t="s">
        <v>225</v>
      </c>
      <c r="V912">
        <v>1</v>
      </c>
      <c r="W912">
        <v>1</v>
      </c>
      <c r="X912">
        <v>9395</v>
      </c>
      <c r="Y912">
        <v>0</v>
      </c>
      <c r="Z912">
        <v>1</v>
      </c>
      <c r="AA912">
        <v>1</v>
      </c>
      <c r="AB912">
        <v>3.57</v>
      </c>
      <c r="AD912">
        <v>1</v>
      </c>
    </row>
    <row r="913" spans="1:35" x14ac:dyDescent="0.35">
      <c r="A913" t="s">
        <v>156</v>
      </c>
      <c r="B913" t="s">
        <v>24</v>
      </c>
      <c r="C913" t="s">
        <v>33</v>
      </c>
      <c r="D913" t="s">
        <v>34</v>
      </c>
      <c r="E913" t="s">
        <v>309</v>
      </c>
      <c r="F913" t="s">
        <v>42</v>
      </c>
      <c r="G913" s="20" t="s">
        <v>146</v>
      </c>
      <c r="H913" s="20" t="s">
        <v>147</v>
      </c>
      <c r="I913" t="str">
        <f t="shared" si="19"/>
        <v>Melipona beecheii</v>
      </c>
      <c r="J913" t="s">
        <v>327</v>
      </c>
      <c r="K913" t="s">
        <v>333</v>
      </c>
      <c r="L913" t="s">
        <v>274</v>
      </c>
      <c r="N913">
        <v>389</v>
      </c>
      <c r="O913" t="s">
        <v>155</v>
      </c>
      <c r="P913" t="s">
        <v>222</v>
      </c>
      <c r="Q913" s="1">
        <v>45026</v>
      </c>
      <c r="U913" t="s">
        <v>225</v>
      </c>
      <c r="V913">
        <v>1</v>
      </c>
      <c r="W913">
        <v>0</v>
      </c>
      <c r="X913">
        <v>0</v>
      </c>
      <c r="Y913">
        <v>0</v>
      </c>
      <c r="AA913">
        <v>1</v>
      </c>
      <c r="AB913">
        <v>3.66</v>
      </c>
      <c r="AD913">
        <v>1</v>
      </c>
    </row>
    <row r="914" spans="1:35" x14ac:dyDescent="0.35">
      <c r="A914" t="s">
        <v>156</v>
      </c>
      <c r="B914" t="s">
        <v>24</v>
      </c>
      <c r="C914" t="s">
        <v>33</v>
      </c>
      <c r="D914" t="s">
        <v>34</v>
      </c>
      <c r="E914" t="s">
        <v>309</v>
      </c>
      <c r="F914" t="s">
        <v>42</v>
      </c>
      <c r="G914" s="20" t="s">
        <v>146</v>
      </c>
      <c r="H914" s="20" t="s">
        <v>147</v>
      </c>
      <c r="I914" t="str">
        <f t="shared" si="19"/>
        <v>Melipona beecheii</v>
      </c>
      <c r="J914" t="s">
        <v>327</v>
      </c>
      <c r="K914" t="s">
        <v>333</v>
      </c>
      <c r="L914" t="s">
        <v>274</v>
      </c>
      <c r="N914">
        <v>390</v>
      </c>
      <c r="O914" t="s">
        <v>155</v>
      </c>
      <c r="P914" t="s">
        <v>222</v>
      </c>
      <c r="Q914" s="1" t="s">
        <v>153</v>
      </c>
      <c r="U914" t="s">
        <v>225</v>
      </c>
      <c r="V914">
        <v>1</v>
      </c>
      <c r="W914">
        <v>1</v>
      </c>
      <c r="X914">
        <v>1564</v>
      </c>
      <c r="Y914">
        <v>0</v>
      </c>
      <c r="Z914">
        <v>1</v>
      </c>
      <c r="AA914">
        <v>1</v>
      </c>
      <c r="AB914">
        <v>3.06</v>
      </c>
      <c r="AD914">
        <v>1</v>
      </c>
    </row>
    <row r="915" spans="1:35" x14ac:dyDescent="0.35">
      <c r="A915" t="s">
        <v>156</v>
      </c>
      <c r="B915" t="s">
        <v>24</v>
      </c>
      <c r="C915" t="s">
        <v>33</v>
      </c>
      <c r="D915" t="s">
        <v>34</v>
      </c>
      <c r="E915" t="s">
        <v>309</v>
      </c>
      <c r="F915" t="s">
        <v>42</v>
      </c>
      <c r="G915" s="20" t="s">
        <v>146</v>
      </c>
      <c r="H915" s="20" t="s">
        <v>147</v>
      </c>
      <c r="I915" t="str">
        <f t="shared" si="19"/>
        <v>Melipona beecheii</v>
      </c>
      <c r="J915" t="s">
        <v>327</v>
      </c>
      <c r="K915" t="s">
        <v>333</v>
      </c>
      <c r="L915" t="s">
        <v>274</v>
      </c>
      <c r="N915">
        <v>391</v>
      </c>
      <c r="O915" t="s">
        <v>155</v>
      </c>
      <c r="P915" t="s">
        <v>222</v>
      </c>
      <c r="Q915" s="1" t="s">
        <v>153</v>
      </c>
      <c r="U915" t="s">
        <v>225</v>
      </c>
      <c r="V915">
        <v>1</v>
      </c>
      <c r="W915">
        <v>1</v>
      </c>
      <c r="X915">
        <v>4621</v>
      </c>
      <c r="Y915">
        <v>0</v>
      </c>
      <c r="Z915">
        <v>1</v>
      </c>
      <c r="AA915">
        <v>1</v>
      </c>
      <c r="AB915">
        <v>3.05</v>
      </c>
      <c r="AD915">
        <v>1</v>
      </c>
    </row>
    <row r="916" spans="1:35" x14ac:dyDescent="0.35">
      <c r="A916" t="s">
        <v>156</v>
      </c>
      <c r="B916" t="s">
        <v>24</v>
      </c>
      <c r="C916" t="s">
        <v>33</v>
      </c>
      <c r="D916" t="s">
        <v>34</v>
      </c>
      <c r="E916" t="s">
        <v>309</v>
      </c>
      <c r="F916" t="s">
        <v>42</v>
      </c>
      <c r="G916" s="20" t="s">
        <v>146</v>
      </c>
      <c r="H916" s="20" t="s">
        <v>147</v>
      </c>
      <c r="I916" t="str">
        <f t="shared" si="19"/>
        <v>Melipona beecheii</v>
      </c>
      <c r="J916" t="s">
        <v>327</v>
      </c>
      <c r="K916" t="s">
        <v>333</v>
      </c>
      <c r="L916" t="s">
        <v>274</v>
      </c>
      <c r="N916">
        <v>392</v>
      </c>
      <c r="O916" t="s">
        <v>155</v>
      </c>
      <c r="P916" t="s">
        <v>222</v>
      </c>
      <c r="Q916" s="1">
        <v>45179</v>
      </c>
      <c r="U916" t="s">
        <v>225</v>
      </c>
      <c r="V916">
        <v>1</v>
      </c>
      <c r="W916">
        <v>1</v>
      </c>
      <c r="X916">
        <v>496</v>
      </c>
      <c r="Y916">
        <v>7</v>
      </c>
      <c r="Z916">
        <v>0.98588709677419351</v>
      </c>
      <c r="AA916">
        <v>1</v>
      </c>
      <c r="AB916">
        <v>3.21</v>
      </c>
      <c r="AD916">
        <v>1</v>
      </c>
    </row>
    <row r="917" spans="1:35" x14ac:dyDescent="0.35">
      <c r="A917" t="s">
        <v>156</v>
      </c>
      <c r="B917" t="s">
        <v>24</v>
      </c>
      <c r="C917" t="s">
        <v>33</v>
      </c>
      <c r="D917" t="s">
        <v>34</v>
      </c>
      <c r="E917" t="s">
        <v>309</v>
      </c>
      <c r="F917" t="s">
        <v>42</v>
      </c>
      <c r="G917" s="20" t="s">
        <v>158</v>
      </c>
      <c r="H917" s="21" t="s">
        <v>150</v>
      </c>
      <c r="I917" t="str">
        <f t="shared" si="19"/>
        <v>Nannotrigona perilampoides</v>
      </c>
      <c r="J917" t="s">
        <v>42</v>
      </c>
      <c r="K917" t="s">
        <v>334</v>
      </c>
      <c r="L917" t="s">
        <v>44</v>
      </c>
      <c r="N917">
        <v>394</v>
      </c>
      <c r="O917" t="s">
        <v>155</v>
      </c>
      <c r="P917" t="s">
        <v>222</v>
      </c>
      <c r="Q917" s="1" t="s">
        <v>153</v>
      </c>
      <c r="U917" t="s">
        <v>225</v>
      </c>
      <c r="V917">
        <v>1</v>
      </c>
      <c r="W917">
        <v>1</v>
      </c>
      <c r="X917">
        <v>91</v>
      </c>
      <c r="Y917">
        <v>0</v>
      </c>
      <c r="Z917">
        <v>1</v>
      </c>
      <c r="AA917">
        <v>2</v>
      </c>
      <c r="AB917">
        <v>1.68</v>
      </c>
      <c r="AD917">
        <v>1</v>
      </c>
    </row>
    <row r="918" spans="1:35" x14ac:dyDescent="0.35">
      <c r="A918" t="s">
        <v>156</v>
      </c>
      <c r="B918" t="s">
        <v>24</v>
      </c>
      <c r="C918" t="s">
        <v>33</v>
      </c>
      <c r="D918" t="s">
        <v>34</v>
      </c>
      <c r="E918" t="s">
        <v>309</v>
      </c>
      <c r="F918" t="s">
        <v>42</v>
      </c>
      <c r="G918" s="20" t="s">
        <v>158</v>
      </c>
      <c r="H918" s="21" t="s">
        <v>150</v>
      </c>
      <c r="I918" t="str">
        <f t="shared" si="19"/>
        <v>Nannotrigona perilampoides</v>
      </c>
      <c r="J918" t="s">
        <v>42</v>
      </c>
      <c r="K918" t="s">
        <v>334</v>
      </c>
      <c r="L918" t="s">
        <v>44</v>
      </c>
      <c r="N918">
        <v>395</v>
      </c>
      <c r="O918" t="s">
        <v>155</v>
      </c>
      <c r="P918" t="s">
        <v>222</v>
      </c>
      <c r="Q918" s="1" t="s">
        <v>153</v>
      </c>
      <c r="U918" t="s">
        <v>225</v>
      </c>
      <c r="V918">
        <v>1</v>
      </c>
      <c r="W918">
        <v>0</v>
      </c>
      <c r="X918">
        <v>0</v>
      </c>
      <c r="Y918">
        <v>0</v>
      </c>
      <c r="AA918">
        <v>2</v>
      </c>
      <c r="AB918">
        <v>1.64</v>
      </c>
      <c r="AD918">
        <v>1</v>
      </c>
    </row>
    <row r="919" spans="1:35" x14ac:dyDescent="0.35">
      <c r="A919" t="s">
        <v>156</v>
      </c>
      <c r="B919" t="s">
        <v>24</v>
      </c>
      <c r="C919" t="s">
        <v>33</v>
      </c>
      <c r="D919" t="s">
        <v>34</v>
      </c>
      <c r="E919" t="s">
        <v>309</v>
      </c>
      <c r="F919" t="s">
        <v>42</v>
      </c>
      <c r="G919" s="20" t="s">
        <v>148</v>
      </c>
      <c r="H919" s="21" t="s">
        <v>149</v>
      </c>
      <c r="I919" t="str">
        <f t="shared" si="19"/>
        <v>Plebeia frontalis</v>
      </c>
      <c r="J919" t="s">
        <v>328</v>
      </c>
      <c r="K919" t="s">
        <v>333</v>
      </c>
      <c r="L919" t="s">
        <v>44</v>
      </c>
      <c r="N919">
        <v>393</v>
      </c>
      <c r="O919" t="s">
        <v>155</v>
      </c>
      <c r="P919" t="s">
        <v>222</v>
      </c>
      <c r="Q919" s="1">
        <v>45026</v>
      </c>
      <c r="U919" t="s">
        <v>225</v>
      </c>
      <c r="V919">
        <v>1</v>
      </c>
      <c r="W919">
        <v>1</v>
      </c>
      <c r="X919">
        <v>27</v>
      </c>
      <c r="Y919">
        <v>0</v>
      </c>
      <c r="Z919">
        <v>1</v>
      </c>
      <c r="AA919">
        <v>2</v>
      </c>
      <c r="AB919">
        <v>1.57</v>
      </c>
      <c r="AD919">
        <v>1</v>
      </c>
    </row>
    <row r="920" spans="1:35" x14ac:dyDescent="0.35">
      <c r="A920" t="s">
        <v>156</v>
      </c>
      <c r="B920" t="s">
        <v>24</v>
      </c>
      <c r="C920" t="s">
        <v>33</v>
      </c>
      <c r="D920" t="s">
        <v>34</v>
      </c>
      <c r="E920" t="s">
        <v>309</v>
      </c>
      <c r="F920" t="s">
        <v>42</v>
      </c>
      <c r="G920" s="20" t="s">
        <v>151</v>
      </c>
      <c r="H920" s="21" t="s">
        <v>152</v>
      </c>
      <c r="I920" t="str">
        <f t="shared" si="19"/>
        <v>Trigona fulviventris</v>
      </c>
      <c r="J920" t="s">
        <v>42</v>
      </c>
      <c r="K920" t="s">
        <v>334</v>
      </c>
      <c r="L920" t="s">
        <v>44</v>
      </c>
      <c r="N920">
        <v>396</v>
      </c>
      <c r="O920" t="s">
        <v>155</v>
      </c>
      <c r="P920" t="s">
        <v>223</v>
      </c>
      <c r="Q920" s="1">
        <v>45240</v>
      </c>
      <c r="U920" t="s">
        <v>225</v>
      </c>
      <c r="V920">
        <v>1</v>
      </c>
      <c r="W920">
        <v>1</v>
      </c>
      <c r="X920">
        <v>104</v>
      </c>
      <c r="Y920">
        <v>0</v>
      </c>
      <c r="Z920">
        <v>1</v>
      </c>
      <c r="AA920">
        <v>1</v>
      </c>
      <c r="AB920">
        <v>2.1800000000000002</v>
      </c>
      <c r="AD920">
        <v>1</v>
      </c>
    </row>
    <row r="921" spans="1:35" x14ac:dyDescent="0.35">
      <c r="A921" t="s">
        <v>156</v>
      </c>
      <c r="B921" t="s">
        <v>24</v>
      </c>
      <c r="C921" t="s">
        <v>33</v>
      </c>
      <c r="D921" t="s">
        <v>34</v>
      </c>
      <c r="E921" t="s">
        <v>309</v>
      </c>
      <c r="F921" t="s">
        <v>42</v>
      </c>
      <c r="G921" s="20" t="s">
        <v>151</v>
      </c>
      <c r="H921" s="21" t="s">
        <v>152</v>
      </c>
      <c r="I921" t="str">
        <f t="shared" si="19"/>
        <v>Trigona fulviventris</v>
      </c>
      <c r="J921" t="s">
        <v>42</v>
      </c>
      <c r="K921" t="s">
        <v>334</v>
      </c>
      <c r="L921" t="s">
        <v>44</v>
      </c>
      <c r="N921">
        <v>397</v>
      </c>
      <c r="O921" t="s">
        <v>155</v>
      </c>
      <c r="P921" t="s">
        <v>223</v>
      </c>
      <c r="Q921" s="1">
        <v>45240</v>
      </c>
      <c r="U921" t="s">
        <v>225</v>
      </c>
      <c r="V921">
        <v>1</v>
      </c>
      <c r="W921">
        <v>1</v>
      </c>
      <c r="X921">
        <v>670</v>
      </c>
      <c r="Y921">
        <v>0</v>
      </c>
      <c r="Z921">
        <v>1</v>
      </c>
      <c r="AA921">
        <v>1</v>
      </c>
      <c r="AB921">
        <v>2.16</v>
      </c>
      <c r="AD921">
        <v>1</v>
      </c>
    </row>
    <row r="922" spans="1:35" x14ac:dyDescent="0.35">
      <c r="A922" t="s">
        <v>156</v>
      </c>
      <c r="B922" t="s">
        <v>24</v>
      </c>
      <c r="C922" t="s">
        <v>33</v>
      </c>
      <c r="D922" t="s">
        <v>34</v>
      </c>
      <c r="E922" t="s">
        <v>309</v>
      </c>
      <c r="F922" t="s">
        <v>42</v>
      </c>
      <c r="G922" s="20" t="s">
        <v>151</v>
      </c>
      <c r="H922" s="21" t="s">
        <v>152</v>
      </c>
      <c r="I922" t="str">
        <f t="shared" si="19"/>
        <v>Trigona fulviventris</v>
      </c>
      <c r="J922" t="s">
        <v>42</v>
      </c>
      <c r="K922" t="s">
        <v>334</v>
      </c>
      <c r="L922" t="s">
        <v>44</v>
      </c>
      <c r="N922">
        <v>398</v>
      </c>
      <c r="O922" t="s">
        <v>155</v>
      </c>
      <c r="P922" t="s">
        <v>223</v>
      </c>
      <c r="Q922" s="1">
        <v>45240</v>
      </c>
      <c r="U922" t="s">
        <v>225</v>
      </c>
      <c r="V922">
        <v>1</v>
      </c>
      <c r="W922">
        <v>1</v>
      </c>
      <c r="X922">
        <v>394</v>
      </c>
      <c r="Y922">
        <v>0</v>
      </c>
      <c r="Z922">
        <v>1</v>
      </c>
      <c r="AA922">
        <v>1</v>
      </c>
      <c r="AB922">
        <v>2.17</v>
      </c>
      <c r="AD922">
        <v>1</v>
      </c>
    </row>
    <row r="923" spans="1:35" x14ac:dyDescent="0.35">
      <c r="A923" t="s">
        <v>156</v>
      </c>
      <c r="B923" t="s">
        <v>24</v>
      </c>
      <c r="C923" t="s">
        <v>33</v>
      </c>
      <c r="D923" t="s">
        <v>34</v>
      </c>
      <c r="E923" t="s">
        <v>309</v>
      </c>
      <c r="F923" t="s">
        <v>42</v>
      </c>
      <c r="G923" s="20" t="s">
        <v>151</v>
      </c>
      <c r="H923" s="21" t="s">
        <v>152</v>
      </c>
      <c r="I923" t="str">
        <f t="shared" si="19"/>
        <v>Trigona fulviventris</v>
      </c>
      <c r="J923" t="s">
        <v>42</v>
      </c>
      <c r="K923" t="s">
        <v>334</v>
      </c>
      <c r="L923" t="s">
        <v>44</v>
      </c>
      <c r="N923">
        <v>399</v>
      </c>
      <c r="O923" t="s">
        <v>155</v>
      </c>
      <c r="P923" t="s">
        <v>222</v>
      </c>
      <c r="Q923" s="1">
        <v>45026</v>
      </c>
      <c r="U923" t="s">
        <v>225</v>
      </c>
      <c r="V923">
        <v>1</v>
      </c>
      <c r="W923">
        <v>0</v>
      </c>
      <c r="X923">
        <v>0</v>
      </c>
      <c r="Y923">
        <v>0</v>
      </c>
      <c r="AA923">
        <v>2</v>
      </c>
      <c r="AB923">
        <v>0.98</v>
      </c>
      <c r="AD923">
        <v>1</v>
      </c>
    </row>
    <row r="924" spans="1:35" x14ac:dyDescent="0.35">
      <c r="A924" t="s">
        <v>156</v>
      </c>
      <c r="B924" t="s">
        <v>24</v>
      </c>
      <c r="C924" t="s">
        <v>33</v>
      </c>
      <c r="D924" t="s">
        <v>34</v>
      </c>
      <c r="E924" t="s">
        <v>309</v>
      </c>
      <c r="F924" t="s">
        <v>42</v>
      </c>
      <c r="G924" s="20" t="s">
        <v>151</v>
      </c>
      <c r="H924" s="21" t="s">
        <v>152</v>
      </c>
      <c r="I924" t="str">
        <f t="shared" si="19"/>
        <v>Trigona fulviventris</v>
      </c>
      <c r="J924" t="s">
        <v>42</v>
      </c>
      <c r="K924" t="s">
        <v>334</v>
      </c>
      <c r="L924" t="s">
        <v>44</v>
      </c>
      <c r="N924">
        <v>400</v>
      </c>
      <c r="O924" t="s">
        <v>155</v>
      </c>
      <c r="P924" t="s">
        <v>222</v>
      </c>
      <c r="Q924" s="1">
        <v>45179</v>
      </c>
      <c r="U924" t="s">
        <v>225</v>
      </c>
      <c r="V924">
        <v>1</v>
      </c>
      <c r="W924">
        <v>1</v>
      </c>
      <c r="X924">
        <v>1039</v>
      </c>
      <c r="Y924">
        <v>0</v>
      </c>
      <c r="Z924">
        <v>1</v>
      </c>
      <c r="AA924">
        <v>2</v>
      </c>
      <c r="AB924">
        <v>1.79</v>
      </c>
      <c r="AD924">
        <v>1</v>
      </c>
    </row>
    <row r="925" spans="1:35" x14ac:dyDescent="0.35">
      <c r="C925" s="3" t="s">
        <v>33</v>
      </c>
      <c r="D925" s="10" t="s">
        <v>111</v>
      </c>
      <c r="I925" t="str">
        <f>D925</f>
        <v>Formicidae</v>
      </c>
      <c r="J925" t="s">
        <v>326</v>
      </c>
      <c r="K925" t="s">
        <v>330</v>
      </c>
      <c r="L925" s="9" t="s">
        <v>112</v>
      </c>
      <c r="N925">
        <v>933</v>
      </c>
      <c r="O925" t="s">
        <v>155</v>
      </c>
      <c r="P925" t="s">
        <v>222</v>
      </c>
      <c r="Q925" t="s">
        <v>210</v>
      </c>
      <c r="R925" s="9">
        <v>0</v>
      </c>
      <c r="S925" s="3" t="s">
        <v>199</v>
      </c>
      <c r="U925" t="s">
        <v>225</v>
      </c>
      <c r="AD925">
        <v>1</v>
      </c>
      <c r="AE925" s="8"/>
      <c r="AF925" s="9">
        <v>1</v>
      </c>
      <c r="AI925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7DCC-40BB-4745-B348-239D9A33AD22}">
  <sheetPr>
    <tabColor theme="9" tint="0.39997558519241921"/>
  </sheetPr>
  <dimension ref="A1:AK38"/>
  <sheetViews>
    <sheetView workbookViewId="0">
      <selection activeCell="D35" sqref="D35"/>
    </sheetView>
  </sheetViews>
  <sheetFormatPr defaultRowHeight="14.5" x14ac:dyDescent="0.35"/>
  <cols>
    <col min="1" max="1" width="18.7265625" customWidth="1"/>
    <col min="2" max="2" width="19.36328125" customWidth="1"/>
    <col min="3" max="3" width="21.81640625" customWidth="1"/>
    <col min="4" max="4" width="31.90625" customWidth="1"/>
    <col min="5" max="5" width="21.54296875" customWidth="1"/>
    <col min="6" max="6" width="21.26953125" customWidth="1"/>
  </cols>
  <sheetData>
    <row r="1" spans="1:37" x14ac:dyDescent="0.35">
      <c r="A1" s="19" t="s">
        <v>392</v>
      </c>
    </row>
    <row r="2" spans="1:37" x14ac:dyDescent="0.35">
      <c r="A2" s="29" t="s">
        <v>118</v>
      </c>
      <c r="B2" s="29" t="s">
        <v>265</v>
      </c>
      <c r="C2" s="29" t="s">
        <v>9</v>
      </c>
      <c r="D2" s="29" t="s">
        <v>272</v>
      </c>
      <c r="E2" s="29" t="s">
        <v>325</v>
      </c>
      <c r="F2" s="29" t="s">
        <v>329</v>
      </c>
      <c r="G2" s="29" t="s">
        <v>340</v>
      </c>
      <c r="H2" s="29" t="s">
        <v>341</v>
      </c>
      <c r="I2" s="29" t="s">
        <v>342</v>
      </c>
      <c r="J2" s="29" t="s">
        <v>343</v>
      </c>
      <c r="K2" s="29" t="s">
        <v>344</v>
      </c>
      <c r="L2" s="29" t="s">
        <v>345</v>
      </c>
      <c r="M2" s="29" t="s">
        <v>346</v>
      </c>
      <c r="N2" s="29" t="s">
        <v>347</v>
      </c>
      <c r="O2" s="29" t="s">
        <v>349</v>
      </c>
      <c r="P2" s="29" t="s">
        <v>348</v>
      </c>
    </row>
    <row r="3" spans="1:37" x14ac:dyDescent="0.35">
      <c r="A3" s="28" t="s">
        <v>119</v>
      </c>
      <c r="B3" s="28" t="s">
        <v>33</v>
      </c>
      <c r="C3" s="28" t="s">
        <v>44</v>
      </c>
      <c r="D3" s="28" t="s">
        <v>253</v>
      </c>
      <c r="E3" s="28" t="s">
        <v>42</v>
      </c>
      <c r="F3" s="28" t="s">
        <v>334</v>
      </c>
      <c r="G3" s="28">
        <v>8.7354898473929108</v>
      </c>
      <c r="H3" s="28">
        <v>152</v>
      </c>
      <c r="I3" s="28">
        <v>0.32</v>
      </c>
      <c r="J3" s="28">
        <v>6</v>
      </c>
      <c r="K3" s="28">
        <v>2668</v>
      </c>
      <c r="L3" s="28">
        <v>1</v>
      </c>
      <c r="M3" s="28">
        <v>1</v>
      </c>
      <c r="N3" s="28">
        <v>7.8890844070355097</v>
      </c>
      <c r="O3" s="28">
        <v>22.052805357722999</v>
      </c>
      <c r="P3" s="28">
        <v>54.2270170819274</v>
      </c>
    </row>
    <row r="4" spans="1:37" x14ac:dyDescent="0.35">
      <c r="A4" s="28" t="s">
        <v>119</v>
      </c>
      <c r="B4" s="28" t="s">
        <v>33</v>
      </c>
      <c r="C4" s="28" t="s">
        <v>197</v>
      </c>
      <c r="D4" s="28" t="s">
        <v>70</v>
      </c>
      <c r="E4" s="28" t="s">
        <v>70</v>
      </c>
      <c r="F4" s="28" t="s">
        <v>332</v>
      </c>
      <c r="G4" s="28">
        <v>1.0559383332013399</v>
      </c>
      <c r="H4" s="28">
        <v>1</v>
      </c>
      <c r="I4" s="28">
        <v>1</v>
      </c>
      <c r="J4" s="28">
        <v>6</v>
      </c>
      <c r="K4" s="28">
        <v>1662</v>
      </c>
      <c r="L4" s="28">
        <v>0.991543917</v>
      </c>
      <c r="M4" s="28">
        <v>1</v>
      </c>
      <c r="N4" s="28">
        <v>7.4157769754153904</v>
      </c>
      <c r="O4" s="28">
        <v>7.76438694839291</v>
      </c>
      <c r="P4" s="28">
        <v>19.092334823231301</v>
      </c>
    </row>
    <row r="5" spans="1:37" x14ac:dyDescent="0.35">
      <c r="A5" s="28" t="s">
        <v>119</v>
      </c>
      <c r="B5" s="28" t="s">
        <v>33</v>
      </c>
      <c r="C5" s="28" t="s">
        <v>47</v>
      </c>
      <c r="D5" s="28" t="s">
        <v>255</v>
      </c>
      <c r="E5" s="28" t="s">
        <v>255</v>
      </c>
      <c r="F5" s="28" t="s">
        <v>331</v>
      </c>
      <c r="G5" s="28">
        <v>0.52796916660067095</v>
      </c>
      <c r="H5" s="28">
        <v>5</v>
      </c>
      <c r="I5" s="28">
        <v>0.88</v>
      </c>
      <c r="J5" s="28">
        <v>4</v>
      </c>
      <c r="K5" s="28">
        <v>26278.25</v>
      </c>
      <c r="L5" s="28">
        <v>1</v>
      </c>
      <c r="M5" s="28">
        <v>1</v>
      </c>
      <c r="N5" s="28">
        <v>10.176496879818099</v>
      </c>
      <c r="O5" s="28">
        <v>4.7281313873656696</v>
      </c>
      <c r="P5" s="28">
        <v>11.6262968520005</v>
      </c>
    </row>
    <row r="6" spans="1:37" x14ac:dyDescent="0.35">
      <c r="A6" s="28" t="s">
        <v>119</v>
      </c>
      <c r="B6" s="28" t="s">
        <v>33</v>
      </c>
      <c r="C6" s="28" t="s">
        <v>196</v>
      </c>
      <c r="D6" s="28" t="s">
        <v>245</v>
      </c>
      <c r="E6" s="28" t="s">
        <v>65</v>
      </c>
      <c r="F6" s="28" t="s">
        <v>333</v>
      </c>
      <c r="G6" s="28">
        <v>0.28798318178218402</v>
      </c>
      <c r="H6" s="28">
        <v>6</v>
      </c>
      <c r="I6" s="28">
        <v>1</v>
      </c>
      <c r="J6" s="28">
        <v>1</v>
      </c>
      <c r="K6" s="28">
        <v>5918</v>
      </c>
      <c r="L6" s="28">
        <v>1</v>
      </c>
      <c r="M6" s="28">
        <v>1</v>
      </c>
      <c r="N6" s="28">
        <v>8.6857538329601507</v>
      </c>
      <c r="O6" s="28">
        <v>2.50135102499266</v>
      </c>
      <c r="P6" s="28">
        <v>6.1507278806445198</v>
      </c>
    </row>
    <row r="7" spans="1:37" x14ac:dyDescent="0.35">
      <c r="A7" s="28" t="s">
        <v>119</v>
      </c>
      <c r="B7" s="28" t="s">
        <v>33</v>
      </c>
      <c r="C7" s="28" t="s">
        <v>196</v>
      </c>
      <c r="D7" s="28" t="s">
        <v>247</v>
      </c>
      <c r="E7" s="28" t="s">
        <v>65</v>
      </c>
      <c r="F7" s="28" t="s">
        <v>333</v>
      </c>
      <c r="G7" s="28">
        <v>0.33598037874588099</v>
      </c>
      <c r="H7" s="28">
        <v>7</v>
      </c>
      <c r="I7" s="28">
        <v>0.43</v>
      </c>
      <c r="J7" s="28">
        <v>6</v>
      </c>
      <c r="K7" s="28">
        <v>7042</v>
      </c>
      <c r="L7" s="28">
        <v>0.99907931800000005</v>
      </c>
      <c r="M7" s="28">
        <v>1.33</v>
      </c>
      <c r="N7" s="28">
        <v>8.8596474997150008</v>
      </c>
      <c r="O7" s="28">
        <v>1.7007889417272</v>
      </c>
      <c r="P7" s="28">
        <v>4.1821758955259103</v>
      </c>
    </row>
    <row r="8" spans="1:37" x14ac:dyDescent="0.35">
      <c r="A8" s="28" t="s">
        <v>119</v>
      </c>
      <c r="B8" s="28" t="s">
        <v>33</v>
      </c>
      <c r="C8" s="28" t="s">
        <v>196</v>
      </c>
      <c r="D8" s="28" t="s">
        <v>83</v>
      </c>
      <c r="E8" s="28" t="s">
        <v>65</v>
      </c>
      <c r="F8" s="28" t="s">
        <v>333</v>
      </c>
      <c r="G8" s="28">
        <v>0.28798318178218402</v>
      </c>
      <c r="H8" s="28">
        <v>5</v>
      </c>
      <c r="I8" s="28">
        <v>0.2</v>
      </c>
      <c r="J8" s="28">
        <v>3</v>
      </c>
      <c r="K8" s="28">
        <v>8119</v>
      </c>
      <c r="L8" s="28">
        <v>1</v>
      </c>
      <c r="M8" s="28">
        <v>2</v>
      </c>
      <c r="N8" s="28">
        <v>9.0019622728624498</v>
      </c>
      <c r="O8" s="28">
        <v>1.0369654950488401</v>
      </c>
      <c r="P8" s="28">
        <v>2.54985906333637</v>
      </c>
    </row>
    <row r="9" spans="1:37" x14ac:dyDescent="0.35">
      <c r="A9" s="28" t="s">
        <v>119</v>
      </c>
      <c r="B9" s="28" t="s">
        <v>33</v>
      </c>
      <c r="C9" s="28" t="s">
        <v>36</v>
      </c>
      <c r="D9" s="28" t="s">
        <v>237</v>
      </c>
      <c r="E9" s="28" t="s">
        <v>237</v>
      </c>
      <c r="F9" s="28" t="s">
        <v>331</v>
      </c>
      <c r="G9" s="28">
        <v>0.19198878785478901</v>
      </c>
      <c r="H9" s="28">
        <v>4</v>
      </c>
      <c r="I9" s="28">
        <v>0.5</v>
      </c>
      <c r="J9" s="28">
        <v>1</v>
      </c>
      <c r="K9" s="28">
        <v>1232</v>
      </c>
      <c r="L9" s="28">
        <v>0.85064935100000005</v>
      </c>
      <c r="M9" s="28">
        <v>1</v>
      </c>
      <c r="N9" s="28">
        <v>7.1163941440934604</v>
      </c>
      <c r="O9" s="28">
        <v>0.58110744509800405</v>
      </c>
      <c r="P9" s="28">
        <v>1.42892130232896</v>
      </c>
    </row>
    <row r="10" spans="1:37" x14ac:dyDescent="0.35">
      <c r="A10" s="28" t="s">
        <v>119</v>
      </c>
      <c r="B10" s="28" t="s">
        <v>33</v>
      </c>
      <c r="C10" s="28" t="s">
        <v>268</v>
      </c>
      <c r="D10" s="28" t="s">
        <v>249</v>
      </c>
      <c r="E10" s="28" t="s">
        <v>249</v>
      </c>
      <c r="F10" s="28" t="s">
        <v>332</v>
      </c>
      <c r="G10" s="28">
        <v>0.14399159089109201</v>
      </c>
      <c r="H10" s="28">
        <v>3</v>
      </c>
      <c r="I10" s="28">
        <v>0.33</v>
      </c>
      <c r="J10" s="28">
        <v>2</v>
      </c>
      <c r="K10" s="28">
        <v>24</v>
      </c>
      <c r="L10" s="28">
        <v>1</v>
      </c>
      <c r="M10" s="28">
        <v>2</v>
      </c>
      <c r="N10" s="28">
        <v>3.1780538303479502</v>
      </c>
      <c r="O10" s="28">
        <v>0.30202459779975699</v>
      </c>
      <c r="P10" s="28">
        <v>0.74266710100509004</v>
      </c>
    </row>
    <row r="11" spans="1:37" x14ac:dyDescent="0.35">
      <c r="A11" s="28" t="s">
        <v>155</v>
      </c>
      <c r="B11" s="28" t="s">
        <v>33</v>
      </c>
      <c r="C11" s="28" t="s">
        <v>197</v>
      </c>
      <c r="D11" s="28" t="s">
        <v>70</v>
      </c>
      <c r="E11" s="28" t="s">
        <v>70</v>
      </c>
      <c r="F11" s="28" t="s">
        <v>332</v>
      </c>
      <c r="G11" s="28">
        <v>21.182427479834701</v>
      </c>
      <c r="H11" s="28">
        <v>354</v>
      </c>
      <c r="I11" s="28">
        <v>0.88983050799999996</v>
      </c>
      <c r="J11" s="28">
        <v>5</v>
      </c>
      <c r="K11" s="28">
        <v>1248.5999999999999</v>
      </c>
      <c r="L11" s="28">
        <v>0.99966832500000002</v>
      </c>
      <c r="M11" s="28">
        <v>1</v>
      </c>
      <c r="N11" s="28">
        <v>7.1297782026276399</v>
      </c>
      <c r="O11" s="28">
        <v>134.34297796337199</v>
      </c>
      <c r="P11" s="28">
        <v>88.381122769791901</v>
      </c>
    </row>
    <row r="12" spans="1:37" x14ac:dyDescent="0.35">
      <c r="A12" s="28" t="s">
        <v>155</v>
      </c>
      <c r="B12" s="28" t="s">
        <v>33</v>
      </c>
      <c r="C12" s="28" t="s">
        <v>44</v>
      </c>
      <c r="D12" s="28" t="s">
        <v>254</v>
      </c>
      <c r="E12" s="28" t="s">
        <v>42</v>
      </c>
      <c r="F12" s="28" t="s">
        <v>334</v>
      </c>
      <c r="G12" s="28">
        <v>2.0754166893150598</v>
      </c>
      <c r="H12" s="28">
        <v>40</v>
      </c>
      <c r="I12" s="28">
        <v>0.55000000000000004</v>
      </c>
      <c r="J12" s="28">
        <v>5</v>
      </c>
      <c r="K12" s="28">
        <v>441.4</v>
      </c>
      <c r="L12" s="28">
        <v>1</v>
      </c>
      <c r="M12" s="28">
        <v>1.4</v>
      </c>
      <c r="N12" s="28">
        <v>6.0899514938226398</v>
      </c>
      <c r="O12" s="28">
        <v>9.7321739648969992</v>
      </c>
      <c r="P12" s="28">
        <v>6.4025710539411103</v>
      </c>
    </row>
    <row r="13" spans="1:37" x14ac:dyDescent="0.35">
      <c r="A13" s="28" t="s">
        <v>155</v>
      </c>
      <c r="B13" s="28" t="s">
        <v>33</v>
      </c>
      <c r="C13" s="28" t="s">
        <v>44</v>
      </c>
      <c r="D13" s="28" t="s">
        <v>243</v>
      </c>
      <c r="E13" s="28" t="s">
        <v>42</v>
      </c>
      <c r="F13" s="28" t="s">
        <v>334</v>
      </c>
      <c r="G13" s="28">
        <v>0.82357805131550099</v>
      </c>
      <c r="H13" s="28">
        <v>9</v>
      </c>
      <c r="I13" s="28">
        <v>0.44444444399999999</v>
      </c>
      <c r="J13" s="28">
        <v>5</v>
      </c>
      <c r="K13" s="28">
        <v>229</v>
      </c>
      <c r="L13" s="28">
        <v>0.99876847300000005</v>
      </c>
      <c r="M13" s="28">
        <v>1.8</v>
      </c>
      <c r="N13" s="28">
        <v>5.43372200355424</v>
      </c>
      <c r="O13" s="28">
        <v>3.5756663802389599</v>
      </c>
      <c r="P13" s="28">
        <v>2.35234780504776</v>
      </c>
    </row>
    <row r="14" spans="1:37" x14ac:dyDescent="0.35">
      <c r="A14" s="28" t="s">
        <v>155</v>
      </c>
      <c r="B14" s="28" t="s">
        <v>33</v>
      </c>
      <c r="C14" s="28" t="s">
        <v>274</v>
      </c>
      <c r="D14" s="28" t="s">
        <v>246</v>
      </c>
      <c r="E14" s="28" t="s">
        <v>327</v>
      </c>
      <c r="F14" s="28" t="s">
        <v>333</v>
      </c>
      <c r="G14" s="28">
        <v>0.39531746463144102</v>
      </c>
      <c r="H14" s="28">
        <v>4</v>
      </c>
      <c r="I14" s="28">
        <v>1</v>
      </c>
      <c r="J14" s="28">
        <v>5</v>
      </c>
      <c r="K14" s="28">
        <v>3215.2</v>
      </c>
      <c r="L14" s="28">
        <v>0.99647177399999998</v>
      </c>
      <c r="M14" s="28">
        <v>1</v>
      </c>
      <c r="N14" s="28">
        <v>8.0756448431349899</v>
      </c>
      <c r="O14" s="28">
        <v>3.1811797826871402</v>
      </c>
      <c r="P14" s="28">
        <v>2.0928242412722802</v>
      </c>
    </row>
    <row r="15" spans="1:37" x14ac:dyDescent="0.35">
      <c r="A15" s="28" t="s">
        <v>155</v>
      </c>
      <c r="B15" s="28" t="s">
        <v>33</v>
      </c>
      <c r="C15" s="28" t="s">
        <v>273</v>
      </c>
      <c r="D15" s="28" t="s">
        <v>242</v>
      </c>
      <c r="E15" s="28" t="s">
        <v>242</v>
      </c>
      <c r="F15" s="28" t="s">
        <v>331</v>
      </c>
      <c r="G15" s="28">
        <v>0.13177248821047999</v>
      </c>
      <c r="H15" s="28">
        <v>1</v>
      </c>
      <c r="I15" s="28">
        <v>1</v>
      </c>
      <c r="J15" s="28">
        <v>3</v>
      </c>
      <c r="K15" s="28">
        <v>7300</v>
      </c>
      <c r="L15" s="28">
        <v>0.99996302699999995</v>
      </c>
      <c r="M15" s="28">
        <v>1</v>
      </c>
      <c r="N15" s="28">
        <v>8.8956296271364792</v>
      </c>
      <c r="O15" s="28">
        <v>1.17215591044376</v>
      </c>
      <c r="P15" s="28">
        <v>0.77113412994695296</v>
      </c>
    </row>
    <row r="16" spans="1:37" x14ac:dyDescent="0.35">
      <c r="A16" s="28" t="s">
        <v>155</v>
      </c>
      <c r="B16" s="28" t="s">
        <v>33</v>
      </c>
      <c r="C16" s="28" t="s">
        <v>44</v>
      </c>
      <c r="D16" s="28" t="s">
        <v>248</v>
      </c>
      <c r="E16" s="28" t="s">
        <v>42</v>
      </c>
      <c r="F16" s="28" t="s">
        <v>334</v>
      </c>
      <c r="G16" s="28">
        <v>0.52708995284192095</v>
      </c>
      <c r="H16" s="28">
        <v>11</v>
      </c>
      <c r="I16" s="28">
        <v>0</v>
      </c>
      <c r="J16" s="28">
        <v>2</v>
      </c>
      <c r="K16" s="28">
        <v>45.5</v>
      </c>
      <c r="L16" s="28">
        <v>1</v>
      </c>
      <c r="M16" s="28">
        <v>2</v>
      </c>
      <c r="N16" s="28">
        <v>3.8177123259568999</v>
      </c>
      <c r="O16" s="28">
        <v>0</v>
      </c>
      <c r="P16" s="28">
        <v>0</v>
      </c>
    </row>
    <row r="20" spans="1:13" x14ac:dyDescent="0.35">
      <c r="A20" s="19" t="s">
        <v>393</v>
      </c>
    </row>
    <row r="21" spans="1:13" x14ac:dyDescent="0.35">
      <c r="A21" s="29" t="s">
        <v>9</v>
      </c>
      <c r="B21" s="29" t="s">
        <v>272</v>
      </c>
      <c r="C21" s="29" t="s">
        <v>325</v>
      </c>
      <c r="D21" s="29" t="s">
        <v>329</v>
      </c>
      <c r="E21" s="29" t="s">
        <v>350</v>
      </c>
      <c r="F21" s="31" t="s">
        <v>341</v>
      </c>
      <c r="G21" s="29" t="s">
        <v>262</v>
      </c>
      <c r="H21" s="31" t="s">
        <v>343</v>
      </c>
      <c r="I21" s="29" t="s">
        <v>353</v>
      </c>
      <c r="J21" s="29" t="s">
        <v>351</v>
      </c>
      <c r="K21" s="29" t="s">
        <v>352</v>
      </c>
      <c r="L21" s="29" t="s">
        <v>349</v>
      </c>
      <c r="M21" s="29" t="s">
        <v>348</v>
      </c>
    </row>
    <row r="22" spans="1:13" x14ac:dyDescent="0.35">
      <c r="A22" s="28" t="s">
        <v>155</v>
      </c>
      <c r="B22" s="28"/>
      <c r="C22" s="28"/>
      <c r="D22" s="28"/>
      <c r="E22" s="28"/>
      <c r="F22" s="30"/>
      <c r="G22" s="28"/>
      <c r="H22" s="30"/>
      <c r="I22" s="28"/>
      <c r="J22" s="28"/>
      <c r="K22" s="28"/>
      <c r="L22" s="28"/>
      <c r="M22" s="28"/>
    </row>
    <row r="23" spans="1:13" x14ac:dyDescent="0.35">
      <c r="A23" s="28" t="s">
        <v>197</v>
      </c>
      <c r="B23" s="28" t="s">
        <v>70</v>
      </c>
      <c r="C23" s="28" t="s">
        <v>70</v>
      </c>
      <c r="D23" s="28" t="s">
        <v>332</v>
      </c>
      <c r="E23" s="28">
        <v>21.182427479834701</v>
      </c>
      <c r="F23" s="30">
        <v>354</v>
      </c>
      <c r="G23" s="28">
        <v>0.88983050799999996</v>
      </c>
      <c r="H23" s="30">
        <v>5</v>
      </c>
      <c r="I23" s="28">
        <v>7.1297782026276399</v>
      </c>
      <c r="J23" s="28">
        <v>0.99966832500000002</v>
      </c>
      <c r="K23" s="28">
        <v>1</v>
      </c>
      <c r="L23" s="28">
        <v>134.34297796337199</v>
      </c>
      <c r="M23" s="28">
        <v>88.381122769791901</v>
      </c>
    </row>
    <row r="24" spans="1:13" x14ac:dyDescent="0.35">
      <c r="A24" s="28" t="s">
        <v>44</v>
      </c>
      <c r="B24" s="28" t="s">
        <v>254</v>
      </c>
      <c r="C24" s="28" t="s">
        <v>42</v>
      </c>
      <c r="D24" s="28" t="s">
        <v>334</v>
      </c>
      <c r="E24" s="28">
        <v>2.0754166893150598</v>
      </c>
      <c r="F24" s="30">
        <v>40</v>
      </c>
      <c r="G24" s="28">
        <v>0.55000000000000004</v>
      </c>
      <c r="H24" s="30">
        <v>5</v>
      </c>
      <c r="I24" s="28">
        <v>6.0899514938226398</v>
      </c>
      <c r="J24" s="28">
        <v>1</v>
      </c>
      <c r="K24" s="28">
        <v>1.4</v>
      </c>
      <c r="L24" s="28">
        <v>9.7321739648969992</v>
      </c>
      <c r="M24" s="28">
        <v>6.4025710539411103</v>
      </c>
    </row>
    <row r="25" spans="1:13" x14ac:dyDescent="0.35">
      <c r="A25" s="28" t="s">
        <v>44</v>
      </c>
      <c r="B25" s="28" t="s">
        <v>243</v>
      </c>
      <c r="C25" s="28" t="s">
        <v>42</v>
      </c>
      <c r="D25" s="28" t="s">
        <v>334</v>
      </c>
      <c r="E25" s="28">
        <v>0.82357805131550099</v>
      </c>
      <c r="F25" s="30">
        <v>9</v>
      </c>
      <c r="G25" s="28">
        <v>0.44444444399999999</v>
      </c>
      <c r="H25" s="30">
        <v>5</v>
      </c>
      <c r="I25" s="28">
        <v>5.43372200355424</v>
      </c>
      <c r="J25" s="28">
        <v>0.99876847300000005</v>
      </c>
      <c r="K25" s="28">
        <v>1.8</v>
      </c>
      <c r="L25" s="28">
        <v>3.5756663802389599</v>
      </c>
      <c r="M25" s="28">
        <v>2.35234780504776</v>
      </c>
    </row>
    <row r="26" spans="1:13" x14ac:dyDescent="0.35">
      <c r="A26" s="28" t="s">
        <v>274</v>
      </c>
      <c r="B26" s="28" t="s">
        <v>246</v>
      </c>
      <c r="C26" s="28" t="s">
        <v>327</v>
      </c>
      <c r="D26" s="28" t="s">
        <v>333</v>
      </c>
      <c r="E26" s="28">
        <v>0.39531746463144102</v>
      </c>
      <c r="F26" s="30">
        <v>4</v>
      </c>
      <c r="G26" s="28">
        <v>1</v>
      </c>
      <c r="H26" s="30">
        <v>5</v>
      </c>
      <c r="I26" s="28">
        <v>8.0756448431349899</v>
      </c>
      <c r="J26" s="28">
        <v>0.99647177399999998</v>
      </c>
      <c r="K26" s="28">
        <v>1</v>
      </c>
      <c r="L26" s="28">
        <v>3.1811797826871402</v>
      </c>
      <c r="M26" s="28">
        <v>2.0928242412722802</v>
      </c>
    </row>
    <row r="27" spans="1:13" x14ac:dyDescent="0.35">
      <c r="A27" s="28" t="s">
        <v>273</v>
      </c>
      <c r="B27" s="28" t="s">
        <v>242</v>
      </c>
      <c r="C27" s="28" t="s">
        <v>242</v>
      </c>
      <c r="D27" s="28" t="s">
        <v>331</v>
      </c>
      <c r="E27" s="28">
        <v>0.13177248821047999</v>
      </c>
      <c r="F27" s="30">
        <v>1</v>
      </c>
      <c r="G27" s="28">
        <v>1</v>
      </c>
      <c r="H27" s="30">
        <v>3</v>
      </c>
      <c r="I27" s="28">
        <v>8.8956296271364792</v>
      </c>
      <c r="J27" s="28">
        <v>0.99996302699999995</v>
      </c>
      <c r="K27" s="28">
        <v>1</v>
      </c>
      <c r="L27" s="28">
        <v>1.17215591044376</v>
      </c>
      <c r="M27" s="28">
        <v>0.77113412994695296</v>
      </c>
    </row>
    <row r="28" spans="1:13" x14ac:dyDescent="0.35">
      <c r="A28" s="28" t="s">
        <v>44</v>
      </c>
      <c r="B28" s="28" t="s">
        <v>248</v>
      </c>
      <c r="C28" s="28" t="s">
        <v>42</v>
      </c>
      <c r="D28" s="28" t="s">
        <v>334</v>
      </c>
      <c r="E28" s="28">
        <v>0.52708995284192095</v>
      </c>
      <c r="F28" s="30">
        <v>11</v>
      </c>
      <c r="G28" s="28">
        <v>0</v>
      </c>
      <c r="H28" s="30">
        <v>2</v>
      </c>
      <c r="I28" s="28">
        <v>3.8177123259568999</v>
      </c>
      <c r="J28" s="28">
        <v>1</v>
      </c>
      <c r="K28" s="28">
        <v>2</v>
      </c>
      <c r="L28" s="28">
        <v>0</v>
      </c>
      <c r="M28" s="28">
        <v>0</v>
      </c>
    </row>
    <row r="29" spans="1:13" x14ac:dyDescent="0.35">
      <c r="A29" s="28" t="s">
        <v>119</v>
      </c>
      <c r="B29" s="28"/>
      <c r="C29" s="28"/>
      <c r="D29" s="28"/>
      <c r="E29" s="28"/>
      <c r="F29" s="30"/>
      <c r="G29" s="28"/>
      <c r="H29" s="30"/>
      <c r="I29" s="28"/>
      <c r="J29" s="28"/>
      <c r="K29" s="28"/>
      <c r="L29" s="28"/>
      <c r="M29" s="28"/>
    </row>
    <row r="30" spans="1:13" x14ac:dyDescent="0.35">
      <c r="A30" s="28" t="s">
        <v>44</v>
      </c>
      <c r="B30" s="28" t="s">
        <v>253</v>
      </c>
      <c r="C30" s="28" t="s">
        <v>42</v>
      </c>
      <c r="D30" s="28" t="s">
        <v>334</v>
      </c>
      <c r="E30" s="28">
        <v>8.7354898473929108</v>
      </c>
      <c r="F30" s="30">
        <v>152</v>
      </c>
      <c r="G30" s="28">
        <v>0.32</v>
      </c>
      <c r="H30" s="30">
        <v>6</v>
      </c>
      <c r="I30" s="28">
        <v>7.8890844070355097</v>
      </c>
      <c r="J30" s="28">
        <v>1</v>
      </c>
      <c r="K30" s="28">
        <v>1</v>
      </c>
      <c r="L30" s="28">
        <v>22.052805357722999</v>
      </c>
      <c r="M30" s="28">
        <v>54.2270170819274</v>
      </c>
    </row>
    <row r="31" spans="1:13" x14ac:dyDescent="0.35">
      <c r="A31" s="28" t="s">
        <v>197</v>
      </c>
      <c r="B31" s="28" t="s">
        <v>70</v>
      </c>
      <c r="C31" s="28" t="s">
        <v>70</v>
      </c>
      <c r="D31" s="28" t="s">
        <v>332</v>
      </c>
      <c r="E31" s="28">
        <v>1.0559383332013399</v>
      </c>
      <c r="F31" s="30">
        <v>1</v>
      </c>
      <c r="G31" s="28">
        <v>1</v>
      </c>
      <c r="H31" s="30">
        <v>6</v>
      </c>
      <c r="I31" s="28">
        <v>7.4157769754153904</v>
      </c>
      <c r="J31" s="28">
        <v>0.991543917</v>
      </c>
      <c r="K31" s="28">
        <v>1</v>
      </c>
      <c r="L31" s="28">
        <v>7.76438694839291</v>
      </c>
      <c r="M31" s="28">
        <v>19.092334823231301</v>
      </c>
    </row>
    <row r="32" spans="1:13" x14ac:dyDescent="0.35">
      <c r="A32" s="28" t="s">
        <v>47</v>
      </c>
      <c r="B32" s="28" t="s">
        <v>255</v>
      </c>
      <c r="C32" s="28" t="s">
        <v>255</v>
      </c>
      <c r="D32" s="28" t="s">
        <v>331</v>
      </c>
      <c r="E32" s="28">
        <v>0.52796916660067095</v>
      </c>
      <c r="F32" s="30">
        <v>5</v>
      </c>
      <c r="G32" s="28">
        <v>0.88</v>
      </c>
      <c r="H32" s="30">
        <v>4</v>
      </c>
      <c r="I32" s="28">
        <v>10.176496879818099</v>
      </c>
      <c r="J32" s="28">
        <v>1</v>
      </c>
      <c r="K32" s="28">
        <v>1</v>
      </c>
      <c r="L32" s="28">
        <v>4.7281313873656696</v>
      </c>
      <c r="M32" s="28">
        <v>11.6262968520005</v>
      </c>
    </row>
    <row r="33" spans="1:13" x14ac:dyDescent="0.35">
      <c r="A33" s="28" t="s">
        <v>196</v>
      </c>
      <c r="B33" s="28" t="s">
        <v>245</v>
      </c>
      <c r="C33" s="28" t="s">
        <v>65</v>
      </c>
      <c r="D33" s="28" t="s">
        <v>333</v>
      </c>
      <c r="E33" s="28">
        <v>0.28798318178218402</v>
      </c>
      <c r="F33" s="30">
        <v>6</v>
      </c>
      <c r="G33" s="28">
        <v>1</v>
      </c>
      <c r="H33" s="30">
        <v>1</v>
      </c>
      <c r="I33" s="28">
        <v>8.6857538329601507</v>
      </c>
      <c r="J33" s="28">
        <v>1</v>
      </c>
      <c r="K33" s="28">
        <v>1</v>
      </c>
      <c r="L33" s="28">
        <v>2.50135102499266</v>
      </c>
      <c r="M33" s="28">
        <v>6.1507278806445198</v>
      </c>
    </row>
    <row r="34" spans="1:13" x14ac:dyDescent="0.35">
      <c r="A34" s="28" t="s">
        <v>196</v>
      </c>
      <c r="B34" s="28" t="s">
        <v>247</v>
      </c>
      <c r="C34" s="28" t="s">
        <v>65</v>
      </c>
      <c r="D34" s="28" t="s">
        <v>333</v>
      </c>
      <c r="E34" s="28">
        <v>0.33598037874588099</v>
      </c>
      <c r="F34" s="30">
        <v>7</v>
      </c>
      <c r="G34" s="28">
        <v>0.43</v>
      </c>
      <c r="H34" s="30">
        <v>6</v>
      </c>
      <c r="I34" s="28">
        <v>8.8596474997150008</v>
      </c>
      <c r="J34" s="28">
        <v>0.99907931800000005</v>
      </c>
      <c r="K34" s="28">
        <v>1.33</v>
      </c>
      <c r="L34" s="28">
        <v>1.7007889417272</v>
      </c>
      <c r="M34" s="28">
        <v>4.1821758955259103</v>
      </c>
    </row>
    <row r="35" spans="1:13" x14ac:dyDescent="0.35">
      <c r="A35" s="28" t="s">
        <v>196</v>
      </c>
      <c r="B35" s="28" t="s">
        <v>83</v>
      </c>
      <c r="C35" s="28" t="s">
        <v>65</v>
      </c>
      <c r="D35" s="28" t="s">
        <v>333</v>
      </c>
      <c r="E35" s="28">
        <v>0.28798318178218402</v>
      </c>
      <c r="F35" s="30">
        <v>5</v>
      </c>
      <c r="G35" s="28">
        <v>0.2</v>
      </c>
      <c r="H35" s="30">
        <v>3</v>
      </c>
      <c r="I35" s="28">
        <v>9.0019622728624498</v>
      </c>
      <c r="J35" s="28">
        <v>1</v>
      </c>
      <c r="K35" s="28">
        <v>2</v>
      </c>
      <c r="L35" s="28">
        <v>1.0369654950488401</v>
      </c>
      <c r="M35" s="28">
        <v>2.54985906333637</v>
      </c>
    </row>
    <row r="36" spans="1:13" x14ac:dyDescent="0.35">
      <c r="A36" s="28" t="s">
        <v>36</v>
      </c>
      <c r="B36" s="28" t="s">
        <v>237</v>
      </c>
      <c r="C36" s="28" t="s">
        <v>237</v>
      </c>
      <c r="D36" s="28" t="s">
        <v>331</v>
      </c>
      <c r="E36" s="28">
        <v>0.19198878785478901</v>
      </c>
      <c r="F36" s="30">
        <v>4</v>
      </c>
      <c r="G36" s="28">
        <v>0.5</v>
      </c>
      <c r="H36" s="30">
        <v>1</v>
      </c>
      <c r="I36" s="28">
        <v>7.1163941440934604</v>
      </c>
      <c r="J36" s="28">
        <v>0.85064935100000005</v>
      </c>
      <c r="K36" s="28">
        <v>1</v>
      </c>
      <c r="L36" s="28">
        <v>0.58110744509800405</v>
      </c>
      <c r="M36" s="28">
        <v>1.42892130232896</v>
      </c>
    </row>
    <row r="37" spans="1:13" x14ac:dyDescent="0.35">
      <c r="A37" s="28" t="s">
        <v>268</v>
      </c>
      <c r="B37" s="28" t="s">
        <v>249</v>
      </c>
      <c r="C37" s="28" t="s">
        <v>249</v>
      </c>
      <c r="D37" s="28" t="s">
        <v>332</v>
      </c>
      <c r="E37" s="28">
        <v>0.14399159089109201</v>
      </c>
      <c r="F37" s="30">
        <v>3</v>
      </c>
      <c r="G37" s="28">
        <v>0.33</v>
      </c>
      <c r="H37" s="30">
        <v>2</v>
      </c>
      <c r="I37" s="28">
        <v>3.1780538303479502</v>
      </c>
      <c r="J37" s="28">
        <v>1</v>
      </c>
      <c r="K37" s="28">
        <v>2</v>
      </c>
      <c r="L37" s="28">
        <v>0.30202459779975699</v>
      </c>
      <c r="M37" s="28">
        <v>0.74266710100509004</v>
      </c>
    </row>
    <row r="38" spans="1:13" x14ac:dyDescent="0.35">
      <c r="F38" s="27"/>
    </row>
  </sheetData>
  <sortState xmlns:xlrd2="http://schemas.microsoft.com/office/spreadsheetml/2017/richdata2" ref="A3:P16">
    <sortCondition ref="A3:A16"/>
    <sortCondition descending="1" ref="P3:P16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194-1A7B-49E8-A638-7852CEF937BE}">
  <dimension ref="A2:S41"/>
  <sheetViews>
    <sheetView zoomScale="70" zoomScaleNormal="70" workbookViewId="0">
      <selection activeCell="J44" sqref="J44"/>
    </sheetView>
  </sheetViews>
  <sheetFormatPr defaultRowHeight="14.5" x14ac:dyDescent="0.35"/>
  <cols>
    <col min="1" max="1" width="25.7265625" bestFit="1" customWidth="1"/>
    <col min="2" max="2" width="28.7265625" bestFit="1" customWidth="1"/>
    <col min="3" max="5" width="31.26953125" customWidth="1"/>
    <col min="6" max="7" width="21.54296875" bestFit="1" customWidth="1"/>
    <col min="8" max="8" width="21.54296875" customWidth="1"/>
    <col min="9" max="9" width="21.54296875" bestFit="1" customWidth="1"/>
    <col min="10" max="10" width="21.7265625" bestFit="1" customWidth="1"/>
    <col min="11" max="11" width="21.54296875" customWidth="1"/>
    <col min="12" max="12" width="21.54296875" bestFit="1" customWidth="1"/>
    <col min="13" max="14" width="21.7265625" bestFit="1" customWidth="1"/>
    <col min="15" max="15" width="11.453125" bestFit="1" customWidth="1"/>
    <col min="16" max="16" width="11" bestFit="1" customWidth="1"/>
  </cols>
  <sheetData>
    <row r="2" spans="1:19" x14ac:dyDescent="0.35">
      <c r="I2" s="28" t="s">
        <v>381</v>
      </c>
      <c r="J2" s="28"/>
      <c r="K2" s="28"/>
      <c r="L2" s="28"/>
      <c r="M2" s="28"/>
      <c r="N2" s="28"/>
      <c r="O2" s="28"/>
      <c r="P2" s="28"/>
      <c r="Q2" s="28"/>
    </row>
    <row r="3" spans="1:19" x14ac:dyDescent="0.35">
      <c r="A3" s="15" t="s">
        <v>235</v>
      </c>
      <c r="B3" t="s">
        <v>384</v>
      </c>
      <c r="F3" t="s">
        <v>229</v>
      </c>
      <c r="I3" s="28" t="s">
        <v>235</v>
      </c>
      <c r="J3" s="28" t="s">
        <v>375</v>
      </c>
      <c r="K3" s="28" t="s">
        <v>383</v>
      </c>
      <c r="L3" s="28" t="s">
        <v>385</v>
      </c>
      <c r="M3" s="28" t="s">
        <v>386</v>
      </c>
      <c r="N3" s="28" t="s">
        <v>387</v>
      </c>
      <c r="O3" s="28" t="s">
        <v>388</v>
      </c>
      <c r="P3" s="28" t="s">
        <v>382</v>
      </c>
      <c r="Q3" s="28" t="s">
        <v>385</v>
      </c>
      <c r="R3" s="28" t="s">
        <v>386</v>
      </c>
      <c r="S3" s="28" t="s">
        <v>383</v>
      </c>
    </row>
    <row r="4" spans="1:19" x14ac:dyDescent="0.35">
      <c r="A4" s="16" t="s">
        <v>236</v>
      </c>
      <c r="B4" s="23"/>
      <c r="C4" s="23"/>
      <c r="D4" s="23"/>
      <c r="E4" s="23"/>
      <c r="I4" t="s">
        <v>376</v>
      </c>
      <c r="J4">
        <v>11</v>
      </c>
      <c r="K4">
        <v>1</v>
      </c>
      <c r="L4" t="e">
        <v>#DIV/0!</v>
      </c>
      <c r="N4" t="s">
        <v>378</v>
      </c>
      <c r="O4" t="s">
        <v>380</v>
      </c>
    </row>
    <row r="5" spans="1:19" x14ac:dyDescent="0.35">
      <c r="A5" s="16" t="s">
        <v>237</v>
      </c>
      <c r="B5" s="23" t="e">
        <v>#DIV/0!</v>
      </c>
      <c r="C5" s="23"/>
      <c r="D5" s="23"/>
      <c r="E5" s="23"/>
      <c r="F5" t="s">
        <v>377</v>
      </c>
      <c r="I5" t="s">
        <v>70</v>
      </c>
      <c r="J5">
        <v>1473.090909090909</v>
      </c>
      <c r="K5">
        <v>11</v>
      </c>
      <c r="L5">
        <v>967.17376458891351</v>
      </c>
      <c r="M5" s="18">
        <f>L5/SQRT(K5)</f>
        <v>291.61386220154077</v>
      </c>
      <c r="N5" t="s">
        <v>377</v>
      </c>
      <c r="O5" t="s">
        <v>378</v>
      </c>
    </row>
    <row r="6" spans="1:19" x14ac:dyDescent="0.35">
      <c r="A6" s="16" t="s">
        <v>70</v>
      </c>
      <c r="B6" s="23">
        <v>967.17376458891351</v>
      </c>
      <c r="C6" s="23"/>
      <c r="D6" s="23"/>
      <c r="E6" s="23"/>
      <c r="F6" t="s">
        <v>378</v>
      </c>
      <c r="I6" t="s">
        <v>49</v>
      </c>
      <c r="J6">
        <v>0</v>
      </c>
      <c r="K6">
        <v>1</v>
      </c>
      <c r="L6" t="e">
        <v>#DIV/0!</v>
      </c>
      <c r="N6" t="s">
        <v>378</v>
      </c>
      <c r="O6" t="s">
        <v>378</v>
      </c>
    </row>
    <row r="7" spans="1:19" x14ac:dyDescent="0.35">
      <c r="A7" s="16" t="s">
        <v>259</v>
      </c>
      <c r="B7" s="23"/>
      <c r="C7" s="23"/>
      <c r="D7" s="23"/>
      <c r="E7" s="23"/>
      <c r="I7" t="s">
        <v>97</v>
      </c>
      <c r="J7">
        <v>0</v>
      </c>
      <c r="K7">
        <v>1</v>
      </c>
      <c r="L7" t="e">
        <v>#DIV/0!</v>
      </c>
      <c r="N7" t="s">
        <v>378</v>
      </c>
      <c r="O7" t="s">
        <v>378</v>
      </c>
    </row>
    <row r="8" spans="1:19" x14ac:dyDescent="0.35">
      <c r="A8" s="16" t="s">
        <v>238</v>
      </c>
      <c r="B8" s="23" t="e">
        <v>#DIV/0!</v>
      </c>
      <c r="C8" s="23"/>
      <c r="D8" s="23"/>
      <c r="E8" s="23"/>
      <c r="F8" t="s">
        <v>377</v>
      </c>
      <c r="I8" t="s">
        <v>243</v>
      </c>
      <c r="J8">
        <v>229</v>
      </c>
      <c r="K8">
        <v>5</v>
      </c>
      <c r="L8">
        <v>267.46868975639001</v>
      </c>
      <c r="M8" s="18">
        <f>L8/SQRT(K8)</f>
        <v>119.61563442961794</v>
      </c>
      <c r="N8" t="s">
        <v>377</v>
      </c>
      <c r="O8" t="s">
        <v>378</v>
      </c>
    </row>
    <row r="9" spans="1:19" x14ac:dyDescent="0.35">
      <c r="A9" s="16" t="s">
        <v>239</v>
      </c>
      <c r="B9" s="23" t="e">
        <v>#DIV/0!</v>
      </c>
      <c r="C9" s="23"/>
      <c r="D9" s="23"/>
      <c r="E9" s="23"/>
      <c r="F9" t="s">
        <v>377</v>
      </c>
      <c r="I9" t="s">
        <v>246</v>
      </c>
      <c r="J9">
        <v>3215.2</v>
      </c>
      <c r="K9">
        <v>5</v>
      </c>
      <c r="L9">
        <v>3893.0779211312993</v>
      </c>
      <c r="M9" s="18">
        <f>L9/SQRT(K9)</f>
        <v>1741.03737467063</v>
      </c>
      <c r="N9" t="s">
        <v>377</v>
      </c>
      <c r="O9" t="s">
        <v>378</v>
      </c>
    </row>
    <row r="10" spans="1:19" x14ac:dyDescent="0.35">
      <c r="A10" s="16" t="s">
        <v>240</v>
      </c>
      <c r="B10" s="23"/>
      <c r="C10" s="23"/>
      <c r="D10" s="23"/>
      <c r="E10" s="23"/>
      <c r="I10" t="s">
        <v>248</v>
      </c>
      <c r="J10">
        <v>45.5</v>
      </c>
      <c r="K10">
        <v>2</v>
      </c>
      <c r="L10">
        <v>64.346717087975819</v>
      </c>
      <c r="M10" s="18">
        <f>L10/SQRT(K10)</f>
        <v>45.499999999999993</v>
      </c>
      <c r="N10" t="s">
        <v>378</v>
      </c>
      <c r="O10" t="s">
        <v>378</v>
      </c>
    </row>
    <row r="11" spans="1:19" x14ac:dyDescent="0.35">
      <c r="A11" s="16" t="s">
        <v>241</v>
      </c>
      <c r="B11" s="23"/>
      <c r="C11" s="23"/>
      <c r="D11" s="23"/>
      <c r="E11" s="23"/>
      <c r="I11" t="s">
        <v>249</v>
      </c>
      <c r="J11">
        <v>24</v>
      </c>
      <c r="K11">
        <v>2</v>
      </c>
      <c r="L11">
        <v>33.941125496954278</v>
      </c>
      <c r="M11" s="18">
        <f>L11/SQRT(K11)</f>
        <v>23.999999999999996</v>
      </c>
      <c r="N11" t="s">
        <v>377</v>
      </c>
      <c r="O11" t="s">
        <v>378</v>
      </c>
    </row>
    <row r="12" spans="1:19" x14ac:dyDescent="0.35">
      <c r="A12" s="16" t="s">
        <v>92</v>
      </c>
      <c r="B12" s="23"/>
      <c r="C12" s="23"/>
      <c r="D12" s="23"/>
      <c r="E12" s="23"/>
      <c r="I12" t="s">
        <v>251</v>
      </c>
      <c r="J12">
        <v>27</v>
      </c>
      <c r="K12">
        <v>1</v>
      </c>
      <c r="L12" t="e">
        <v>#DIV/0!</v>
      </c>
      <c r="N12" t="s">
        <v>378</v>
      </c>
      <c r="O12" t="s">
        <v>378</v>
      </c>
    </row>
    <row r="13" spans="1:19" x14ac:dyDescent="0.35">
      <c r="A13" s="16" t="s">
        <v>100</v>
      </c>
      <c r="B13" s="23"/>
      <c r="C13" s="23"/>
      <c r="D13" s="23"/>
      <c r="E13" s="23"/>
      <c r="I13" t="s">
        <v>253</v>
      </c>
      <c r="J13">
        <v>2668</v>
      </c>
      <c r="K13">
        <v>9</v>
      </c>
      <c r="L13">
        <v>5463.1810788221183</v>
      </c>
      <c r="M13" s="18">
        <f>L13/SQRT(K13)</f>
        <v>1821.0603596073727</v>
      </c>
      <c r="N13" t="s">
        <v>377</v>
      </c>
      <c r="O13" t="s">
        <v>378</v>
      </c>
    </row>
    <row r="14" spans="1:19" x14ac:dyDescent="0.35">
      <c r="A14" s="16" t="s">
        <v>49</v>
      </c>
      <c r="B14" s="23" t="e">
        <v>#DIV/0!</v>
      </c>
      <c r="C14" s="23"/>
      <c r="D14" s="23"/>
      <c r="E14" s="23"/>
      <c r="F14" t="s">
        <v>378</v>
      </c>
      <c r="I14" t="s">
        <v>254</v>
      </c>
      <c r="J14">
        <v>441.4</v>
      </c>
      <c r="K14">
        <v>5</v>
      </c>
      <c r="L14">
        <v>424.3533904660124</v>
      </c>
      <c r="M14" s="18">
        <f>L14/SQRT(K14)</f>
        <v>189.77660551290296</v>
      </c>
      <c r="N14" t="s">
        <v>377</v>
      </c>
      <c r="O14" t="s">
        <v>378</v>
      </c>
      <c r="P14" s="18">
        <f>AVERAGE(J5:J14)</f>
        <v>812.31909090909085</v>
      </c>
      <c r="Q14" s="18">
        <f>_xlfn.STDEV.P(J5:J14)</f>
        <v>1152.2915873116735</v>
      </c>
      <c r="R14" s="18">
        <v>10</v>
      </c>
      <c r="S14" s="18">
        <f>Q14/SQRT(R14)</f>
        <v>364.38659445556664</v>
      </c>
    </row>
    <row r="15" spans="1:19" x14ac:dyDescent="0.35">
      <c r="A15" s="16" t="s">
        <v>94</v>
      </c>
      <c r="B15" s="23"/>
      <c r="C15" s="23"/>
      <c r="D15" s="23"/>
      <c r="E15" s="23"/>
      <c r="I15" t="s">
        <v>237</v>
      </c>
      <c r="J15" s="18">
        <v>1232</v>
      </c>
      <c r="K15">
        <v>1</v>
      </c>
      <c r="L15" t="e">
        <v>#DIV/0!</v>
      </c>
      <c r="N15" t="s">
        <v>377</v>
      </c>
      <c r="O15" t="s">
        <v>377</v>
      </c>
    </row>
    <row r="16" spans="1:19" x14ac:dyDescent="0.35">
      <c r="A16" s="16" t="s">
        <v>97</v>
      </c>
      <c r="B16" s="23" t="e">
        <v>#DIV/0!</v>
      </c>
      <c r="C16" s="23"/>
      <c r="D16" s="23"/>
      <c r="E16" s="23"/>
      <c r="F16" t="s">
        <v>379</v>
      </c>
      <c r="I16" t="s">
        <v>238</v>
      </c>
      <c r="J16" s="18">
        <v>15</v>
      </c>
      <c r="K16">
        <v>1</v>
      </c>
      <c r="L16" t="e">
        <v>#DIV/0!</v>
      </c>
      <c r="N16" t="s">
        <v>378</v>
      </c>
      <c r="O16" t="s">
        <v>377</v>
      </c>
    </row>
    <row r="17" spans="1:19" x14ac:dyDescent="0.35">
      <c r="A17" s="16" t="s">
        <v>242</v>
      </c>
      <c r="B17" s="23">
        <v>8937.6898767709172</v>
      </c>
      <c r="C17" s="23"/>
      <c r="D17" s="23"/>
      <c r="E17" s="23"/>
      <c r="F17" t="s">
        <v>377</v>
      </c>
      <c r="I17" t="s">
        <v>239</v>
      </c>
      <c r="J17" s="18">
        <v>4644</v>
      </c>
      <c r="K17">
        <v>1</v>
      </c>
      <c r="L17" t="e">
        <v>#DIV/0!</v>
      </c>
      <c r="N17" t="s">
        <v>378</v>
      </c>
      <c r="O17" t="s">
        <v>377</v>
      </c>
    </row>
    <row r="18" spans="1:19" x14ac:dyDescent="0.35">
      <c r="A18" s="16" t="s">
        <v>111</v>
      </c>
      <c r="B18" s="23"/>
      <c r="C18" s="23"/>
      <c r="D18" s="23"/>
      <c r="E18" s="23"/>
      <c r="I18" t="s">
        <v>242</v>
      </c>
      <c r="J18" s="18">
        <v>7300.333333333333</v>
      </c>
      <c r="K18">
        <v>3</v>
      </c>
      <c r="L18">
        <v>8937.6898767709172</v>
      </c>
      <c r="M18" s="18">
        <f>L18/SQRT(K18)</f>
        <v>5160.1776562870828</v>
      </c>
      <c r="N18" t="s">
        <v>377</v>
      </c>
      <c r="O18" t="s">
        <v>377</v>
      </c>
    </row>
    <row r="19" spans="1:19" x14ac:dyDescent="0.35">
      <c r="A19" s="16" t="s">
        <v>243</v>
      </c>
      <c r="B19" s="23">
        <v>267.46868975639001</v>
      </c>
      <c r="C19" s="23"/>
      <c r="D19" s="23"/>
      <c r="E19" s="23"/>
      <c r="F19" t="s">
        <v>378</v>
      </c>
      <c r="I19" t="s">
        <v>324</v>
      </c>
      <c r="J19" s="18">
        <v>6575.5</v>
      </c>
      <c r="K19">
        <v>2</v>
      </c>
      <c r="L19">
        <v>8423.7630842753406</v>
      </c>
      <c r="M19" s="18">
        <f>L19/SQRT(K19)</f>
        <v>5956.4999999999991</v>
      </c>
      <c r="N19" t="s">
        <v>378</v>
      </c>
      <c r="O19" t="s">
        <v>377</v>
      </c>
    </row>
    <row r="20" spans="1:19" x14ac:dyDescent="0.35">
      <c r="A20" s="16" t="s">
        <v>258</v>
      </c>
      <c r="B20" s="23"/>
      <c r="C20" s="23"/>
      <c r="D20" s="23"/>
      <c r="E20" s="23"/>
      <c r="I20" t="s">
        <v>323</v>
      </c>
      <c r="J20" s="18">
        <v>5918</v>
      </c>
      <c r="K20">
        <v>1</v>
      </c>
      <c r="L20" t="e">
        <v>#DIV/0!</v>
      </c>
      <c r="N20" t="s">
        <v>377</v>
      </c>
      <c r="O20" t="s">
        <v>377</v>
      </c>
    </row>
    <row r="21" spans="1:19" x14ac:dyDescent="0.35">
      <c r="A21" s="16" t="s">
        <v>261</v>
      </c>
      <c r="B21" s="23"/>
      <c r="C21" s="23"/>
      <c r="D21" s="23"/>
      <c r="E21" s="23"/>
      <c r="I21" t="s">
        <v>247</v>
      </c>
      <c r="J21" s="18">
        <v>7042.833333333333</v>
      </c>
      <c r="K21">
        <v>6</v>
      </c>
      <c r="L21">
        <v>5510.317574030254</v>
      </c>
      <c r="M21" s="18">
        <f>L21/SQRT(K21)</f>
        <v>2249.5777295108323</v>
      </c>
      <c r="N21" t="s">
        <v>377</v>
      </c>
      <c r="O21" t="s">
        <v>377</v>
      </c>
    </row>
    <row r="22" spans="1:19" x14ac:dyDescent="0.35">
      <c r="A22" s="16" t="s">
        <v>376</v>
      </c>
      <c r="B22" s="23" t="e">
        <v>#DIV/0!</v>
      </c>
      <c r="C22" s="23"/>
      <c r="D22" s="23"/>
      <c r="E22" s="23"/>
      <c r="F22" t="s">
        <v>380</v>
      </c>
      <c r="I22" t="s">
        <v>317</v>
      </c>
      <c r="J22" s="18">
        <v>8118.5</v>
      </c>
      <c r="K22">
        <v>2</v>
      </c>
      <c r="L22">
        <v>7423.9140956775627</v>
      </c>
      <c r="M22" s="18">
        <f>L22/SQRT(K22)</f>
        <v>5249.5</v>
      </c>
      <c r="N22" t="s">
        <v>377</v>
      </c>
      <c r="O22" t="s">
        <v>377</v>
      </c>
    </row>
    <row r="23" spans="1:19" x14ac:dyDescent="0.35">
      <c r="A23" s="16" t="s">
        <v>324</v>
      </c>
      <c r="B23" s="23">
        <v>8423.7630842753406</v>
      </c>
      <c r="C23" s="23"/>
      <c r="D23" s="23"/>
      <c r="E23" s="23"/>
      <c r="F23" t="s">
        <v>377</v>
      </c>
      <c r="I23" t="s">
        <v>255</v>
      </c>
      <c r="J23" s="18">
        <v>26278.25</v>
      </c>
      <c r="K23">
        <v>4</v>
      </c>
      <c r="L23">
        <v>36193.226515238086</v>
      </c>
      <c r="M23" s="18">
        <f>L23/SQRT(K23)</f>
        <v>18096.613257619043</v>
      </c>
      <c r="N23" t="s">
        <v>377</v>
      </c>
      <c r="O23" t="s">
        <v>377</v>
      </c>
      <c r="P23" s="18">
        <f>AVERAGE(J15:J23)</f>
        <v>7458.2685185185173</v>
      </c>
      <c r="Q23" s="18">
        <f>_xlfn.STDEV.P(J15:J23)</f>
        <v>7149.7134290082586</v>
      </c>
      <c r="R23" s="18">
        <v>9</v>
      </c>
      <c r="S23" s="18">
        <f>Q23/SQRT(R23)</f>
        <v>2383.2378096694197</v>
      </c>
    </row>
    <row r="24" spans="1:19" x14ac:dyDescent="0.35">
      <c r="A24" s="16" t="s">
        <v>85</v>
      </c>
      <c r="B24" s="23"/>
      <c r="C24" s="23"/>
      <c r="D24" s="23"/>
      <c r="E24" s="23"/>
      <c r="I24" t="s">
        <v>236</v>
      </c>
    </row>
    <row r="25" spans="1:19" x14ac:dyDescent="0.35">
      <c r="A25" s="16" t="s">
        <v>323</v>
      </c>
      <c r="B25" s="23" t="e">
        <v>#DIV/0!</v>
      </c>
      <c r="C25" s="23"/>
      <c r="D25" s="23"/>
      <c r="E25" s="23"/>
      <c r="F25" t="s">
        <v>377</v>
      </c>
      <c r="I25" t="s">
        <v>259</v>
      </c>
    </row>
    <row r="26" spans="1:19" x14ac:dyDescent="0.35">
      <c r="A26" s="16" t="s">
        <v>246</v>
      </c>
      <c r="B26" s="23">
        <v>3893.0779211312993</v>
      </c>
      <c r="C26" s="23"/>
      <c r="D26" s="23"/>
      <c r="E26" s="23"/>
      <c r="F26" t="s">
        <v>378</v>
      </c>
      <c r="I26" t="s">
        <v>240</v>
      </c>
    </row>
    <row r="27" spans="1:19" x14ac:dyDescent="0.35">
      <c r="A27" s="16" t="s">
        <v>42</v>
      </c>
      <c r="B27" s="23"/>
      <c r="C27" s="23"/>
      <c r="D27" s="23"/>
      <c r="E27" s="23"/>
      <c r="I27" t="s">
        <v>241</v>
      </c>
    </row>
    <row r="28" spans="1:19" x14ac:dyDescent="0.35">
      <c r="A28" s="16" t="s">
        <v>247</v>
      </c>
      <c r="B28" s="23">
        <v>5510.317574030254</v>
      </c>
      <c r="C28" s="23"/>
      <c r="D28" s="23"/>
      <c r="E28" s="23"/>
      <c r="F28" t="s">
        <v>377</v>
      </c>
      <c r="I28" t="s">
        <v>92</v>
      </c>
    </row>
    <row r="29" spans="1:19" x14ac:dyDescent="0.35">
      <c r="A29" s="16" t="s">
        <v>248</v>
      </c>
      <c r="B29" s="23">
        <v>64.346717087975819</v>
      </c>
      <c r="C29" s="23"/>
      <c r="D29" s="23"/>
      <c r="E29" s="23"/>
      <c r="F29" t="s">
        <v>378</v>
      </c>
      <c r="I29" t="s">
        <v>100</v>
      </c>
    </row>
    <row r="30" spans="1:19" x14ac:dyDescent="0.35">
      <c r="A30" s="16" t="s">
        <v>249</v>
      </c>
      <c r="B30" s="23">
        <v>33.941125496954278</v>
      </c>
      <c r="C30" s="23"/>
      <c r="D30" s="23"/>
      <c r="E30" s="23"/>
      <c r="F30" t="s">
        <v>378</v>
      </c>
      <c r="I30" t="s">
        <v>94</v>
      </c>
    </row>
    <row r="31" spans="1:19" x14ac:dyDescent="0.35">
      <c r="A31" s="16" t="s">
        <v>250</v>
      </c>
      <c r="B31" s="23"/>
      <c r="C31" s="23"/>
      <c r="D31" s="23"/>
      <c r="E31" s="23"/>
      <c r="I31" t="s">
        <v>111</v>
      </c>
    </row>
    <row r="32" spans="1:19" x14ac:dyDescent="0.35">
      <c r="A32" s="16" t="s">
        <v>317</v>
      </c>
      <c r="B32" s="23">
        <v>7423.9140956775627</v>
      </c>
      <c r="C32" s="23"/>
      <c r="D32" s="23"/>
      <c r="E32" s="23"/>
      <c r="F32" t="s">
        <v>377</v>
      </c>
      <c r="I32" t="s">
        <v>258</v>
      </c>
    </row>
    <row r="33" spans="1:9" x14ac:dyDescent="0.35">
      <c r="A33" s="16" t="s">
        <v>251</v>
      </c>
      <c r="B33" s="23" t="e">
        <v>#DIV/0!</v>
      </c>
      <c r="C33" s="23"/>
      <c r="D33" s="23"/>
      <c r="E33" s="23"/>
      <c r="F33" t="s">
        <v>378</v>
      </c>
      <c r="I33" t="s">
        <v>261</v>
      </c>
    </row>
    <row r="34" spans="1:9" x14ac:dyDescent="0.35">
      <c r="A34" s="16" t="s">
        <v>252</v>
      </c>
      <c r="B34" s="23"/>
      <c r="C34" s="23"/>
      <c r="D34" s="23"/>
      <c r="E34" s="23"/>
      <c r="I34" t="s">
        <v>85</v>
      </c>
    </row>
    <row r="35" spans="1:9" x14ac:dyDescent="0.35">
      <c r="A35" s="16" t="s">
        <v>319</v>
      </c>
      <c r="B35" s="23"/>
      <c r="C35" s="23"/>
      <c r="D35" s="23"/>
      <c r="E35" s="23"/>
      <c r="I35" t="s">
        <v>42</v>
      </c>
    </row>
    <row r="36" spans="1:9" x14ac:dyDescent="0.35">
      <c r="A36" s="16" t="s">
        <v>253</v>
      </c>
      <c r="B36" s="23">
        <v>5463.1810788221183</v>
      </c>
      <c r="C36" s="23"/>
      <c r="D36" s="23"/>
      <c r="E36" s="23"/>
      <c r="F36" t="s">
        <v>378</v>
      </c>
      <c r="I36" t="s">
        <v>250</v>
      </c>
    </row>
    <row r="37" spans="1:9" x14ac:dyDescent="0.35">
      <c r="A37" s="16" t="s">
        <v>254</v>
      </c>
      <c r="B37" s="23">
        <v>424.3533904660124</v>
      </c>
      <c r="C37" s="23"/>
      <c r="D37" s="23"/>
      <c r="E37" s="23"/>
      <c r="F37" t="s">
        <v>378</v>
      </c>
      <c r="I37" t="s">
        <v>252</v>
      </c>
    </row>
    <row r="38" spans="1:9" x14ac:dyDescent="0.35">
      <c r="A38" s="16" t="s">
        <v>114</v>
      </c>
      <c r="B38" s="23"/>
      <c r="C38" s="23"/>
      <c r="D38" s="23"/>
      <c r="E38" s="23"/>
      <c r="I38" t="s">
        <v>319</v>
      </c>
    </row>
    <row r="39" spans="1:9" x14ac:dyDescent="0.35">
      <c r="A39" s="16" t="s">
        <v>255</v>
      </c>
      <c r="B39" s="23">
        <v>36193.226515238086</v>
      </c>
      <c r="C39" s="23"/>
      <c r="D39" s="23"/>
      <c r="E39" s="23"/>
      <c r="F39" t="s">
        <v>377</v>
      </c>
      <c r="I39" t="s">
        <v>114</v>
      </c>
    </row>
    <row r="40" spans="1:9" x14ac:dyDescent="0.35">
      <c r="A40" s="16" t="s">
        <v>256</v>
      </c>
      <c r="B40" s="23">
        <v>10670.170506726176</v>
      </c>
      <c r="C40" s="23"/>
      <c r="D40" s="23"/>
      <c r="E40" s="23"/>
    </row>
    <row r="41" spans="1:9" x14ac:dyDescent="0.35">
      <c r="A41" s="16"/>
      <c r="B41" s="23"/>
      <c r="C41" s="23"/>
      <c r="D41" s="23"/>
      <c r="E41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3292-0083-42A9-A1AE-63E97614D3EA}">
  <dimension ref="A1:AI331"/>
  <sheetViews>
    <sheetView workbookViewId="0">
      <selection activeCell="L30" sqref="L30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325</v>
      </c>
      <c r="K1" t="s">
        <v>329</v>
      </c>
      <c r="L1" t="s">
        <v>9</v>
      </c>
      <c r="M1" t="s">
        <v>10</v>
      </c>
      <c r="N1" t="s">
        <v>11</v>
      </c>
      <c r="O1" t="s">
        <v>118</v>
      </c>
      <c r="P1" t="s">
        <v>12</v>
      </c>
      <c r="Q1" t="s">
        <v>13</v>
      </c>
      <c r="R1" t="s">
        <v>14</v>
      </c>
      <c r="S1" t="s">
        <v>228</v>
      </c>
      <c r="T1" t="s">
        <v>231</v>
      </c>
      <c r="U1" t="s">
        <v>270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227</v>
      </c>
      <c r="AB1" t="s">
        <v>22</v>
      </c>
      <c r="AC1" t="s">
        <v>263</v>
      </c>
      <c r="AD1" t="s">
        <v>175</v>
      </c>
      <c r="AE1" s="7" t="s">
        <v>176</v>
      </c>
      <c r="AF1" t="s">
        <v>189</v>
      </c>
      <c r="AG1" t="s">
        <v>190</v>
      </c>
      <c r="AH1" t="s">
        <v>191</v>
      </c>
      <c r="AI1" t="s">
        <v>264</v>
      </c>
    </row>
    <row r="2" spans="1:35" x14ac:dyDescent="0.35">
      <c r="A2" t="s">
        <v>68</v>
      </c>
      <c r="B2" t="s">
        <v>69</v>
      </c>
      <c r="C2" t="s">
        <v>33</v>
      </c>
      <c r="D2" t="s">
        <v>34</v>
      </c>
      <c r="E2" t="s">
        <v>309</v>
      </c>
      <c r="F2" t="s">
        <v>42</v>
      </c>
      <c r="I2" t="s">
        <v>42</v>
      </c>
      <c r="J2" t="s">
        <v>42</v>
      </c>
      <c r="K2" t="s">
        <v>334</v>
      </c>
      <c r="L2" t="s">
        <v>44</v>
      </c>
      <c r="M2" t="s">
        <v>77</v>
      </c>
      <c r="N2">
        <v>55</v>
      </c>
      <c r="O2" t="s">
        <v>119</v>
      </c>
      <c r="P2" t="s">
        <v>41</v>
      </c>
      <c r="Q2" t="s">
        <v>75</v>
      </c>
      <c r="S2" t="s">
        <v>107</v>
      </c>
      <c r="T2" t="s">
        <v>107</v>
      </c>
      <c r="U2" t="s">
        <v>271</v>
      </c>
      <c r="AD2">
        <v>1</v>
      </c>
      <c r="AF2" s="3">
        <v>2</v>
      </c>
      <c r="AI2">
        <v>68</v>
      </c>
    </row>
    <row r="3" spans="1:35" x14ac:dyDescent="0.35">
      <c r="A3" t="s">
        <v>68</v>
      </c>
      <c r="B3" t="s">
        <v>69</v>
      </c>
      <c r="C3" t="s">
        <v>33</v>
      </c>
      <c r="D3" t="s">
        <v>34</v>
      </c>
      <c r="E3" t="s">
        <v>309</v>
      </c>
      <c r="F3" t="s">
        <v>42</v>
      </c>
      <c r="I3" t="s">
        <v>42</v>
      </c>
      <c r="J3" t="s">
        <v>42</v>
      </c>
      <c r="K3" t="s">
        <v>334</v>
      </c>
      <c r="L3" t="s">
        <v>44</v>
      </c>
      <c r="M3" t="s">
        <v>44</v>
      </c>
      <c r="N3">
        <v>56</v>
      </c>
      <c r="O3" t="s">
        <v>119</v>
      </c>
      <c r="P3" t="s">
        <v>48</v>
      </c>
      <c r="Q3" t="s">
        <v>76</v>
      </c>
      <c r="R3">
        <v>1</v>
      </c>
      <c r="S3" t="s">
        <v>107</v>
      </c>
      <c r="T3" t="s">
        <v>107</v>
      </c>
      <c r="U3" t="s">
        <v>271</v>
      </c>
      <c r="AD3">
        <v>1</v>
      </c>
      <c r="AF3" s="3">
        <v>2</v>
      </c>
      <c r="AI3">
        <v>66</v>
      </c>
    </row>
    <row r="4" spans="1:35" x14ac:dyDescent="0.35">
      <c r="A4" t="s">
        <v>68</v>
      </c>
      <c r="B4" t="s">
        <v>69</v>
      </c>
      <c r="C4" t="s">
        <v>33</v>
      </c>
      <c r="D4" t="s">
        <v>34</v>
      </c>
      <c r="E4" t="s">
        <v>309</v>
      </c>
      <c r="F4" t="s">
        <v>42</v>
      </c>
      <c r="I4" t="s">
        <v>42</v>
      </c>
      <c r="J4" t="s">
        <v>42</v>
      </c>
      <c r="K4" t="s">
        <v>334</v>
      </c>
      <c r="L4" t="s">
        <v>44</v>
      </c>
      <c r="M4" t="s">
        <v>44</v>
      </c>
      <c r="N4">
        <v>57</v>
      </c>
      <c r="O4" t="s">
        <v>119</v>
      </c>
      <c r="P4" t="s">
        <v>48</v>
      </c>
      <c r="Q4" t="s">
        <v>76</v>
      </c>
      <c r="S4" t="s">
        <v>107</v>
      </c>
      <c r="T4" t="s">
        <v>107</v>
      </c>
      <c r="U4" t="s">
        <v>271</v>
      </c>
      <c r="AD4">
        <v>1</v>
      </c>
      <c r="AF4" s="3">
        <v>2</v>
      </c>
      <c r="AI4">
        <v>67</v>
      </c>
    </row>
    <row r="5" spans="1:35" x14ac:dyDescent="0.35">
      <c r="A5" t="s">
        <v>68</v>
      </c>
      <c r="B5" t="s">
        <v>69</v>
      </c>
      <c r="C5" t="s">
        <v>33</v>
      </c>
      <c r="D5" t="s">
        <v>34</v>
      </c>
      <c r="E5" t="s">
        <v>309</v>
      </c>
      <c r="F5" t="s">
        <v>42</v>
      </c>
      <c r="I5" t="s">
        <v>42</v>
      </c>
      <c r="J5" t="s">
        <v>42</v>
      </c>
      <c r="K5" t="s">
        <v>334</v>
      </c>
      <c r="L5" t="s">
        <v>44</v>
      </c>
      <c r="M5" t="s">
        <v>44</v>
      </c>
      <c r="N5">
        <v>58</v>
      </c>
      <c r="O5" t="s">
        <v>119</v>
      </c>
      <c r="P5" t="s">
        <v>30</v>
      </c>
      <c r="Q5" t="s">
        <v>79</v>
      </c>
      <c r="R5">
        <v>1</v>
      </c>
      <c r="S5" t="s">
        <v>107</v>
      </c>
      <c r="T5" t="s">
        <v>107</v>
      </c>
      <c r="U5" t="s">
        <v>271</v>
      </c>
      <c r="AD5">
        <v>1</v>
      </c>
      <c r="AF5">
        <v>2</v>
      </c>
      <c r="AI5">
        <v>5</v>
      </c>
    </row>
    <row r="6" spans="1:35" x14ac:dyDescent="0.35">
      <c r="A6" t="s">
        <v>68</v>
      </c>
      <c r="B6" t="s">
        <v>69</v>
      </c>
      <c r="C6" t="s">
        <v>33</v>
      </c>
      <c r="D6" t="s">
        <v>34</v>
      </c>
      <c r="E6" t="s">
        <v>309</v>
      </c>
      <c r="F6" t="s">
        <v>42</v>
      </c>
      <c r="I6" t="s">
        <v>42</v>
      </c>
      <c r="J6" t="s">
        <v>42</v>
      </c>
      <c r="K6" t="s">
        <v>334</v>
      </c>
      <c r="L6" t="s">
        <v>44</v>
      </c>
      <c r="M6" t="s">
        <v>44</v>
      </c>
      <c r="N6">
        <v>59</v>
      </c>
      <c r="O6" t="s">
        <v>119</v>
      </c>
      <c r="P6" t="s">
        <v>30</v>
      </c>
      <c r="Q6" t="s">
        <v>79</v>
      </c>
      <c r="R6">
        <v>0</v>
      </c>
      <c r="S6" t="s">
        <v>107</v>
      </c>
      <c r="T6" t="s">
        <v>107</v>
      </c>
      <c r="U6" t="s">
        <v>271</v>
      </c>
      <c r="AD6">
        <v>1</v>
      </c>
      <c r="AF6">
        <v>2</v>
      </c>
      <c r="AI6">
        <v>6</v>
      </c>
    </row>
    <row r="7" spans="1:35" x14ac:dyDescent="0.35">
      <c r="A7" t="s">
        <v>68</v>
      </c>
      <c r="B7" t="s">
        <v>69</v>
      </c>
      <c r="C7" t="s">
        <v>33</v>
      </c>
      <c r="D7" t="s">
        <v>34</v>
      </c>
      <c r="E7" t="s">
        <v>309</v>
      </c>
      <c r="F7" t="s">
        <v>42</v>
      </c>
      <c r="I7" t="s">
        <v>42</v>
      </c>
      <c r="J7" t="s">
        <v>42</v>
      </c>
      <c r="K7" t="s">
        <v>334</v>
      </c>
      <c r="L7" t="s">
        <v>44</v>
      </c>
      <c r="M7" t="s">
        <v>77</v>
      </c>
      <c r="N7">
        <v>60</v>
      </c>
      <c r="O7" t="s">
        <v>119</v>
      </c>
      <c r="P7" t="s">
        <v>30</v>
      </c>
      <c r="Q7" t="s">
        <v>79</v>
      </c>
      <c r="R7">
        <v>0</v>
      </c>
      <c r="S7" t="s">
        <v>107</v>
      </c>
      <c r="T7" t="s">
        <v>107</v>
      </c>
      <c r="U7" t="s">
        <v>271</v>
      </c>
      <c r="AD7">
        <v>1</v>
      </c>
      <c r="AF7">
        <v>2</v>
      </c>
      <c r="AI7">
        <v>7</v>
      </c>
    </row>
    <row r="8" spans="1:35" x14ac:dyDescent="0.35">
      <c r="A8" t="s">
        <v>68</v>
      </c>
      <c r="B8" t="s">
        <v>69</v>
      </c>
      <c r="C8" t="s">
        <v>33</v>
      </c>
      <c r="D8" t="s">
        <v>34</v>
      </c>
      <c r="E8" t="s">
        <v>309</v>
      </c>
      <c r="F8" t="s">
        <v>42</v>
      </c>
      <c r="I8" t="s">
        <v>42</v>
      </c>
      <c r="J8" t="s">
        <v>42</v>
      </c>
      <c r="K8" t="s">
        <v>334</v>
      </c>
      <c r="L8" t="s">
        <v>44</v>
      </c>
      <c r="M8" t="s">
        <v>44</v>
      </c>
      <c r="N8">
        <v>61</v>
      </c>
      <c r="O8" t="s">
        <v>119</v>
      </c>
      <c r="P8" t="s">
        <v>30</v>
      </c>
      <c r="Q8" t="s">
        <v>79</v>
      </c>
      <c r="R8">
        <v>0</v>
      </c>
      <c r="S8" t="s">
        <v>107</v>
      </c>
      <c r="T8" t="s">
        <v>107</v>
      </c>
      <c r="U8" t="s">
        <v>271</v>
      </c>
      <c r="AD8">
        <v>1</v>
      </c>
      <c r="AF8">
        <v>1</v>
      </c>
      <c r="AI8">
        <v>8</v>
      </c>
    </row>
    <row r="9" spans="1:35" x14ac:dyDescent="0.35">
      <c r="A9" t="s">
        <v>68</v>
      </c>
      <c r="B9" t="s">
        <v>69</v>
      </c>
      <c r="C9" t="s">
        <v>33</v>
      </c>
      <c r="D9" t="s">
        <v>34</v>
      </c>
      <c r="E9" t="s">
        <v>309</v>
      </c>
      <c r="F9" t="s">
        <v>42</v>
      </c>
      <c r="I9" t="s">
        <v>42</v>
      </c>
      <c r="J9" t="s">
        <v>42</v>
      </c>
      <c r="K9" t="s">
        <v>334</v>
      </c>
      <c r="L9" t="s">
        <v>44</v>
      </c>
      <c r="M9" t="s">
        <v>44</v>
      </c>
      <c r="N9">
        <v>62</v>
      </c>
      <c r="O9" t="s">
        <v>119</v>
      </c>
      <c r="P9" t="s">
        <v>30</v>
      </c>
      <c r="Q9" t="s">
        <v>79</v>
      </c>
      <c r="R9">
        <v>0</v>
      </c>
      <c r="S9" t="s">
        <v>107</v>
      </c>
      <c r="T9" t="s">
        <v>107</v>
      </c>
      <c r="U9" t="s">
        <v>271</v>
      </c>
      <c r="AD9">
        <v>1</v>
      </c>
      <c r="AF9">
        <v>4</v>
      </c>
      <c r="AI9">
        <v>9</v>
      </c>
    </row>
    <row r="10" spans="1:35" x14ac:dyDescent="0.35">
      <c r="A10" t="s">
        <v>68</v>
      </c>
      <c r="B10" t="s">
        <v>69</v>
      </c>
      <c r="C10" t="s">
        <v>33</v>
      </c>
      <c r="D10" t="s">
        <v>34</v>
      </c>
      <c r="E10" t="s">
        <v>309</v>
      </c>
      <c r="F10" t="s">
        <v>42</v>
      </c>
      <c r="I10" t="s">
        <v>42</v>
      </c>
      <c r="J10" t="s">
        <v>42</v>
      </c>
      <c r="K10" t="s">
        <v>334</v>
      </c>
      <c r="L10" t="s">
        <v>44</v>
      </c>
      <c r="M10" t="s">
        <v>44</v>
      </c>
      <c r="N10">
        <v>63</v>
      </c>
      <c r="O10" t="s">
        <v>119</v>
      </c>
      <c r="P10" t="s">
        <v>30</v>
      </c>
      <c r="Q10" t="s">
        <v>79</v>
      </c>
      <c r="R10">
        <v>0</v>
      </c>
      <c r="S10" t="s">
        <v>107</v>
      </c>
      <c r="T10" t="s">
        <v>107</v>
      </c>
      <c r="U10" t="s">
        <v>271</v>
      </c>
      <c r="AD10">
        <v>1</v>
      </c>
      <c r="AF10" s="9">
        <v>1</v>
      </c>
      <c r="AI10">
        <v>10</v>
      </c>
    </row>
    <row r="11" spans="1:35" x14ac:dyDescent="0.35">
      <c r="A11" t="s">
        <v>68</v>
      </c>
      <c r="B11" t="s">
        <v>69</v>
      </c>
      <c r="C11" t="s">
        <v>33</v>
      </c>
      <c r="D11" t="s">
        <v>34</v>
      </c>
      <c r="E11" t="s">
        <v>309</v>
      </c>
      <c r="F11" t="s">
        <v>42</v>
      </c>
      <c r="I11" t="s">
        <v>42</v>
      </c>
      <c r="J11" t="s">
        <v>42</v>
      </c>
      <c r="K11" t="s">
        <v>334</v>
      </c>
      <c r="L11" t="s">
        <v>44</v>
      </c>
      <c r="M11" t="s">
        <v>44</v>
      </c>
      <c r="N11">
        <v>64</v>
      </c>
      <c r="O11" t="s">
        <v>119</v>
      </c>
      <c r="P11" t="s">
        <v>30</v>
      </c>
      <c r="Q11" t="s">
        <v>79</v>
      </c>
      <c r="R11">
        <v>0</v>
      </c>
      <c r="S11" t="s">
        <v>107</v>
      </c>
      <c r="T11" t="s">
        <v>107</v>
      </c>
      <c r="U11" t="s">
        <v>271</v>
      </c>
      <c r="AD11">
        <v>1</v>
      </c>
      <c r="AF11" s="9">
        <v>3</v>
      </c>
      <c r="AI11">
        <v>11</v>
      </c>
    </row>
    <row r="12" spans="1:35" x14ac:dyDescent="0.35">
      <c r="A12" t="s">
        <v>68</v>
      </c>
      <c r="B12" t="s">
        <v>69</v>
      </c>
      <c r="C12" t="s">
        <v>33</v>
      </c>
      <c r="D12" t="s">
        <v>34</v>
      </c>
      <c r="E12" t="s">
        <v>309</v>
      </c>
      <c r="F12" t="s">
        <v>42</v>
      </c>
      <c r="I12" t="s">
        <v>42</v>
      </c>
      <c r="J12" t="s">
        <v>42</v>
      </c>
      <c r="K12" t="s">
        <v>334</v>
      </c>
      <c r="L12" t="s">
        <v>44</v>
      </c>
      <c r="M12" t="s">
        <v>77</v>
      </c>
      <c r="N12">
        <v>65</v>
      </c>
      <c r="O12" t="s">
        <v>119</v>
      </c>
      <c r="P12" t="s">
        <v>30</v>
      </c>
      <c r="Q12" t="s">
        <v>79</v>
      </c>
      <c r="R12">
        <v>1</v>
      </c>
      <c r="S12" t="s">
        <v>107</v>
      </c>
      <c r="T12" t="s">
        <v>107</v>
      </c>
      <c r="U12" t="s">
        <v>271</v>
      </c>
      <c r="AD12">
        <v>1</v>
      </c>
      <c r="AF12" s="9">
        <v>3</v>
      </c>
      <c r="AI12">
        <v>12</v>
      </c>
    </row>
    <row r="13" spans="1:35" x14ac:dyDescent="0.35">
      <c r="A13" t="s">
        <v>68</v>
      </c>
      <c r="B13" t="s">
        <v>69</v>
      </c>
      <c r="C13" t="s">
        <v>33</v>
      </c>
      <c r="D13" t="s">
        <v>34</v>
      </c>
      <c r="E13" t="s">
        <v>309</v>
      </c>
      <c r="F13" t="s">
        <v>42</v>
      </c>
      <c r="I13" t="s">
        <v>42</v>
      </c>
      <c r="J13" t="s">
        <v>42</v>
      </c>
      <c r="K13" t="s">
        <v>334</v>
      </c>
      <c r="L13" t="s">
        <v>44</v>
      </c>
      <c r="M13" t="s">
        <v>77</v>
      </c>
      <c r="N13">
        <v>66</v>
      </c>
      <c r="O13" t="s">
        <v>119</v>
      </c>
      <c r="P13" t="s">
        <v>30</v>
      </c>
      <c r="Q13" t="s">
        <v>79</v>
      </c>
      <c r="R13">
        <v>0</v>
      </c>
      <c r="S13" t="s">
        <v>107</v>
      </c>
      <c r="T13" t="s">
        <v>107</v>
      </c>
      <c r="U13" t="s">
        <v>271</v>
      </c>
      <c r="AD13">
        <v>1</v>
      </c>
      <c r="AF13" s="9">
        <v>1</v>
      </c>
      <c r="AI13">
        <v>13</v>
      </c>
    </row>
    <row r="14" spans="1:35" x14ac:dyDescent="0.35">
      <c r="A14" t="s">
        <v>68</v>
      </c>
      <c r="B14" t="s">
        <v>69</v>
      </c>
      <c r="C14" t="s">
        <v>33</v>
      </c>
      <c r="D14" t="s">
        <v>34</v>
      </c>
      <c r="E14" t="s">
        <v>309</v>
      </c>
      <c r="F14" t="s">
        <v>42</v>
      </c>
      <c r="I14" t="s">
        <v>42</v>
      </c>
      <c r="J14" t="s">
        <v>42</v>
      </c>
      <c r="K14" t="s">
        <v>334</v>
      </c>
      <c r="L14" t="s">
        <v>44</v>
      </c>
      <c r="M14" t="s">
        <v>77</v>
      </c>
      <c r="N14">
        <v>67</v>
      </c>
      <c r="O14" t="s">
        <v>119</v>
      </c>
      <c r="P14" t="s">
        <v>30</v>
      </c>
      <c r="Q14" t="s">
        <v>79</v>
      </c>
      <c r="R14">
        <v>0</v>
      </c>
      <c r="S14" t="s">
        <v>107</v>
      </c>
      <c r="T14" t="s">
        <v>107</v>
      </c>
      <c r="U14" t="s">
        <v>271</v>
      </c>
      <c r="AD14">
        <v>1</v>
      </c>
      <c r="AF14" s="9">
        <v>1</v>
      </c>
      <c r="AI14">
        <v>14</v>
      </c>
    </row>
    <row r="15" spans="1:35" x14ac:dyDescent="0.35">
      <c r="A15" t="s">
        <v>68</v>
      </c>
      <c r="B15" t="s">
        <v>69</v>
      </c>
      <c r="C15" t="s">
        <v>33</v>
      </c>
      <c r="D15" t="s">
        <v>34</v>
      </c>
      <c r="E15" t="s">
        <v>309</v>
      </c>
      <c r="F15" t="s">
        <v>42</v>
      </c>
      <c r="I15" t="s">
        <v>42</v>
      </c>
      <c r="J15" t="s">
        <v>42</v>
      </c>
      <c r="K15" t="s">
        <v>334</v>
      </c>
      <c r="L15" t="s">
        <v>44</v>
      </c>
      <c r="M15" t="s">
        <v>77</v>
      </c>
      <c r="N15">
        <v>68</v>
      </c>
      <c r="O15" t="s">
        <v>119</v>
      </c>
      <c r="P15" t="s">
        <v>30</v>
      </c>
      <c r="Q15" t="s">
        <v>79</v>
      </c>
      <c r="R15">
        <v>0</v>
      </c>
      <c r="S15" t="s">
        <v>107</v>
      </c>
      <c r="T15" t="s">
        <v>107</v>
      </c>
      <c r="U15" t="s">
        <v>271</v>
      </c>
      <c r="AD15">
        <v>1</v>
      </c>
      <c r="AF15" s="9">
        <v>1</v>
      </c>
      <c r="AI15">
        <v>15</v>
      </c>
    </row>
    <row r="16" spans="1:35" x14ac:dyDescent="0.35">
      <c r="A16" t="s">
        <v>68</v>
      </c>
      <c r="B16" t="s">
        <v>69</v>
      </c>
      <c r="C16" t="s">
        <v>33</v>
      </c>
      <c r="D16" t="s">
        <v>34</v>
      </c>
      <c r="E16" t="s">
        <v>309</v>
      </c>
      <c r="F16" t="s">
        <v>42</v>
      </c>
      <c r="I16" t="s">
        <v>42</v>
      </c>
      <c r="J16" t="s">
        <v>42</v>
      </c>
      <c r="K16" t="s">
        <v>334</v>
      </c>
      <c r="L16" t="s">
        <v>44</v>
      </c>
      <c r="M16" t="s">
        <v>77</v>
      </c>
      <c r="N16">
        <v>69</v>
      </c>
      <c r="O16" t="s">
        <v>119</v>
      </c>
      <c r="P16" t="s">
        <v>30</v>
      </c>
      <c r="Q16" t="s">
        <v>79</v>
      </c>
      <c r="R16">
        <v>0</v>
      </c>
      <c r="S16" t="s">
        <v>107</v>
      </c>
      <c r="T16" t="s">
        <v>107</v>
      </c>
      <c r="U16" t="s">
        <v>271</v>
      </c>
      <c r="AD16">
        <v>1</v>
      </c>
      <c r="AF16" s="9">
        <v>3</v>
      </c>
      <c r="AI16">
        <v>16</v>
      </c>
    </row>
    <row r="17" spans="1:35" x14ac:dyDescent="0.35">
      <c r="A17" t="s">
        <v>68</v>
      </c>
      <c r="B17" t="s">
        <v>69</v>
      </c>
      <c r="C17" t="s">
        <v>33</v>
      </c>
      <c r="D17" t="s">
        <v>34</v>
      </c>
      <c r="E17" t="s">
        <v>309</v>
      </c>
      <c r="F17" t="s">
        <v>42</v>
      </c>
      <c r="I17" t="s">
        <v>42</v>
      </c>
      <c r="J17" t="s">
        <v>42</v>
      </c>
      <c r="K17" t="s">
        <v>334</v>
      </c>
      <c r="L17" t="s">
        <v>44</v>
      </c>
      <c r="M17" t="s">
        <v>44</v>
      </c>
      <c r="N17">
        <v>70</v>
      </c>
      <c r="O17" t="s">
        <v>119</v>
      </c>
      <c r="P17" t="s">
        <v>30</v>
      </c>
      <c r="Q17" t="s">
        <v>79</v>
      </c>
      <c r="R17">
        <v>1</v>
      </c>
      <c r="S17" t="s">
        <v>107</v>
      </c>
      <c r="T17" t="s">
        <v>107</v>
      </c>
      <c r="U17" t="s">
        <v>271</v>
      </c>
      <c r="AD17">
        <v>1</v>
      </c>
      <c r="AF17" s="9">
        <v>3</v>
      </c>
      <c r="AI17">
        <v>17</v>
      </c>
    </row>
    <row r="18" spans="1:35" x14ac:dyDescent="0.35">
      <c r="A18" t="s">
        <v>68</v>
      </c>
      <c r="B18" t="s">
        <v>69</v>
      </c>
      <c r="C18" t="s">
        <v>33</v>
      </c>
      <c r="D18" t="s">
        <v>34</v>
      </c>
      <c r="E18" t="s">
        <v>309</v>
      </c>
      <c r="F18" t="s">
        <v>42</v>
      </c>
      <c r="I18" t="s">
        <v>42</v>
      </c>
      <c r="J18" t="s">
        <v>42</v>
      </c>
      <c r="K18" t="s">
        <v>334</v>
      </c>
      <c r="L18" t="s">
        <v>44</v>
      </c>
      <c r="M18" t="s">
        <v>77</v>
      </c>
      <c r="N18">
        <v>71</v>
      </c>
      <c r="O18" t="s">
        <v>119</v>
      </c>
      <c r="P18" t="s">
        <v>30</v>
      </c>
      <c r="Q18" t="s">
        <v>79</v>
      </c>
      <c r="R18">
        <v>1</v>
      </c>
      <c r="S18" t="s">
        <v>107</v>
      </c>
      <c r="T18" t="s">
        <v>107</v>
      </c>
      <c r="U18" t="s">
        <v>271</v>
      </c>
      <c r="AD18">
        <v>1</v>
      </c>
      <c r="AF18" s="9">
        <v>3</v>
      </c>
      <c r="AI18">
        <v>18</v>
      </c>
    </row>
    <row r="19" spans="1:35" x14ac:dyDescent="0.35">
      <c r="A19" t="s">
        <v>68</v>
      </c>
      <c r="B19" t="s">
        <v>69</v>
      </c>
      <c r="C19" t="s">
        <v>33</v>
      </c>
      <c r="D19" t="s">
        <v>34</v>
      </c>
      <c r="E19" t="s">
        <v>309</v>
      </c>
      <c r="F19" t="s">
        <v>42</v>
      </c>
      <c r="I19" t="s">
        <v>42</v>
      </c>
      <c r="J19" t="s">
        <v>42</v>
      </c>
      <c r="K19" t="s">
        <v>334</v>
      </c>
      <c r="L19" t="s">
        <v>44</v>
      </c>
      <c r="M19" t="s">
        <v>77</v>
      </c>
      <c r="N19">
        <v>72</v>
      </c>
      <c r="O19" t="s">
        <v>119</v>
      </c>
      <c r="P19" t="s">
        <v>30</v>
      </c>
      <c r="Q19" t="s">
        <v>79</v>
      </c>
      <c r="R19">
        <v>0</v>
      </c>
      <c r="S19" t="s">
        <v>107</v>
      </c>
      <c r="T19" t="s">
        <v>107</v>
      </c>
      <c r="U19" t="s">
        <v>271</v>
      </c>
      <c r="AD19">
        <v>1</v>
      </c>
      <c r="AF19" s="9">
        <v>3</v>
      </c>
      <c r="AI19">
        <v>19</v>
      </c>
    </row>
    <row r="20" spans="1:35" x14ac:dyDescent="0.35">
      <c r="A20" t="s">
        <v>68</v>
      </c>
      <c r="B20" t="s">
        <v>69</v>
      </c>
      <c r="C20" t="s">
        <v>33</v>
      </c>
      <c r="D20" t="s">
        <v>34</v>
      </c>
      <c r="E20" t="s">
        <v>309</v>
      </c>
      <c r="F20" t="s">
        <v>42</v>
      </c>
      <c r="I20" t="s">
        <v>42</v>
      </c>
      <c r="J20" t="s">
        <v>42</v>
      </c>
      <c r="K20" t="s">
        <v>334</v>
      </c>
      <c r="L20" t="s">
        <v>44</v>
      </c>
      <c r="M20" t="s">
        <v>77</v>
      </c>
      <c r="N20">
        <v>73</v>
      </c>
      <c r="O20" t="s">
        <v>119</v>
      </c>
      <c r="P20" t="s">
        <v>30</v>
      </c>
      <c r="Q20" t="s">
        <v>79</v>
      </c>
      <c r="R20">
        <v>1</v>
      </c>
      <c r="S20" t="s">
        <v>107</v>
      </c>
      <c r="T20" t="s">
        <v>107</v>
      </c>
      <c r="U20" t="s">
        <v>271</v>
      </c>
      <c r="AD20">
        <v>1</v>
      </c>
      <c r="AF20" s="9">
        <v>3</v>
      </c>
      <c r="AI20">
        <v>20</v>
      </c>
    </row>
    <row r="21" spans="1:35" x14ac:dyDescent="0.35">
      <c r="A21" t="s">
        <v>68</v>
      </c>
      <c r="B21" t="s">
        <v>69</v>
      </c>
      <c r="C21" t="s">
        <v>33</v>
      </c>
      <c r="D21" t="s">
        <v>34</v>
      </c>
      <c r="E21" t="s">
        <v>309</v>
      </c>
      <c r="F21" t="s">
        <v>42</v>
      </c>
      <c r="I21" t="s">
        <v>42</v>
      </c>
      <c r="J21" t="s">
        <v>42</v>
      </c>
      <c r="K21" t="s">
        <v>334</v>
      </c>
      <c r="L21" t="s">
        <v>44</v>
      </c>
      <c r="M21" t="s">
        <v>44</v>
      </c>
      <c r="N21">
        <v>106</v>
      </c>
      <c r="O21" t="s">
        <v>119</v>
      </c>
      <c r="P21" t="s">
        <v>30</v>
      </c>
      <c r="Q21" t="s">
        <v>79</v>
      </c>
      <c r="R21">
        <v>0</v>
      </c>
      <c r="S21" t="s">
        <v>107</v>
      </c>
      <c r="T21" t="s">
        <v>107</v>
      </c>
      <c r="U21" t="s">
        <v>271</v>
      </c>
      <c r="AD21">
        <v>1</v>
      </c>
      <c r="AF21" s="9">
        <v>3</v>
      </c>
      <c r="AI21">
        <v>53</v>
      </c>
    </row>
    <row r="22" spans="1:35" x14ac:dyDescent="0.35">
      <c r="A22" t="s">
        <v>68</v>
      </c>
      <c r="B22" t="s">
        <v>69</v>
      </c>
      <c r="C22" t="s">
        <v>33</v>
      </c>
      <c r="D22" t="s">
        <v>34</v>
      </c>
      <c r="E22" t="s">
        <v>309</v>
      </c>
      <c r="F22" t="s">
        <v>42</v>
      </c>
      <c r="I22" t="s">
        <v>42</v>
      </c>
      <c r="J22" t="s">
        <v>42</v>
      </c>
      <c r="K22" t="s">
        <v>334</v>
      </c>
      <c r="L22" t="s">
        <v>44</v>
      </c>
      <c r="M22" t="s">
        <v>44</v>
      </c>
      <c r="N22">
        <v>107</v>
      </c>
      <c r="O22" t="s">
        <v>119</v>
      </c>
      <c r="P22" t="s">
        <v>30</v>
      </c>
      <c r="Q22" t="s">
        <v>79</v>
      </c>
      <c r="R22">
        <v>0</v>
      </c>
      <c r="S22" t="s">
        <v>107</v>
      </c>
      <c r="T22" t="s">
        <v>107</v>
      </c>
      <c r="U22" t="s">
        <v>271</v>
      </c>
      <c r="AD22">
        <v>1</v>
      </c>
      <c r="AF22" s="9">
        <v>3</v>
      </c>
      <c r="AI22">
        <v>54</v>
      </c>
    </row>
    <row r="23" spans="1:35" x14ac:dyDescent="0.35">
      <c r="A23" t="s">
        <v>68</v>
      </c>
      <c r="B23" t="s">
        <v>69</v>
      </c>
      <c r="C23" t="s">
        <v>33</v>
      </c>
      <c r="D23" t="s">
        <v>34</v>
      </c>
      <c r="E23" t="s">
        <v>309</v>
      </c>
      <c r="F23" t="s">
        <v>42</v>
      </c>
      <c r="I23" t="s">
        <v>42</v>
      </c>
      <c r="J23" t="s">
        <v>42</v>
      </c>
      <c r="K23" t="s">
        <v>334</v>
      </c>
      <c r="L23" t="s">
        <v>44</v>
      </c>
      <c r="M23" t="s">
        <v>44</v>
      </c>
      <c r="N23">
        <v>108</v>
      </c>
      <c r="O23" t="s">
        <v>119</v>
      </c>
      <c r="P23" t="s">
        <v>30</v>
      </c>
      <c r="Q23" t="s">
        <v>81</v>
      </c>
      <c r="R23">
        <v>1</v>
      </c>
      <c r="S23" t="s">
        <v>107</v>
      </c>
      <c r="T23" t="s">
        <v>107</v>
      </c>
      <c r="U23" t="s">
        <v>271</v>
      </c>
      <c r="AD23">
        <v>1</v>
      </c>
      <c r="AF23" s="9">
        <v>3</v>
      </c>
      <c r="AI23">
        <v>55</v>
      </c>
    </row>
    <row r="24" spans="1:35" x14ac:dyDescent="0.35">
      <c r="A24" t="s">
        <v>68</v>
      </c>
      <c r="B24" t="s">
        <v>69</v>
      </c>
      <c r="C24" t="s">
        <v>33</v>
      </c>
      <c r="D24" t="s">
        <v>34</v>
      </c>
      <c r="E24" t="s">
        <v>309</v>
      </c>
      <c r="F24" t="s">
        <v>42</v>
      </c>
      <c r="I24" t="s">
        <v>42</v>
      </c>
      <c r="J24" t="s">
        <v>42</v>
      </c>
      <c r="K24" t="s">
        <v>334</v>
      </c>
      <c r="L24" t="s">
        <v>44</v>
      </c>
      <c r="M24" t="s">
        <v>44</v>
      </c>
      <c r="N24">
        <v>109</v>
      </c>
      <c r="O24" t="s">
        <v>119</v>
      </c>
      <c r="P24" t="s">
        <v>30</v>
      </c>
      <c r="Q24" t="s">
        <v>81</v>
      </c>
      <c r="R24">
        <v>0</v>
      </c>
      <c r="S24" t="s">
        <v>107</v>
      </c>
      <c r="T24" t="s">
        <v>107</v>
      </c>
      <c r="U24" t="s">
        <v>271</v>
      </c>
      <c r="AD24">
        <v>1</v>
      </c>
      <c r="AF24" s="9">
        <v>3</v>
      </c>
      <c r="AI24">
        <v>56</v>
      </c>
    </row>
    <row r="25" spans="1:35" x14ac:dyDescent="0.35">
      <c r="A25" t="s">
        <v>68</v>
      </c>
      <c r="B25" t="s">
        <v>69</v>
      </c>
      <c r="C25" t="s">
        <v>33</v>
      </c>
      <c r="D25" t="s">
        <v>34</v>
      </c>
      <c r="E25" t="s">
        <v>309</v>
      </c>
      <c r="F25" t="s">
        <v>42</v>
      </c>
      <c r="I25" t="s">
        <v>42</v>
      </c>
      <c r="J25" t="s">
        <v>42</v>
      </c>
      <c r="K25" t="s">
        <v>334</v>
      </c>
      <c r="L25" t="s">
        <v>44</v>
      </c>
      <c r="M25" t="s">
        <v>44</v>
      </c>
      <c r="N25">
        <v>110</v>
      </c>
      <c r="O25" t="s">
        <v>119</v>
      </c>
      <c r="P25" t="s">
        <v>30</v>
      </c>
      <c r="Q25" t="s">
        <v>81</v>
      </c>
      <c r="R25">
        <v>1</v>
      </c>
      <c r="S25" t="s">
        <v>107</v>
      </c>
      <c r="T25" t="s">
        <v>107</v>
      </c>
      <c r="U25" t="s">
        <v>271</v>
      </c>
      <c r="AD25">
        <v>1</v>
      </c>
      <c r="AF25" s="9">
        <v>3</v>
      </c>
      <c r="AI25">
        <v>57</v>
      </c>
    </row>
    <row r="26" spans="1:35" x14ac:dyDescent="0.35">
      <c r="A26" t="s">
        <v>68</v>
      </c>
      <c r="B26" t="s">
        <v>69</v>
      </c>
      <c r="C26" t="s">
        <v>33</v>
      </c>
      <c r="D26" t="s">
        <v>34</v>
      </c>
      <c r="E26" t="s">
        <v>309</v>
      </c>
      <c r="F26" t="s">
        <v>42</v>
      </c>
      <c r="I26" t="s">
        <v>42</v>
      </c>
      <c r="J26" t="s">
        <v>42</v>
      </c>
      <c r="K26" t="s">
        <v>334</v>
      </c>
      <c r="L26" t="s">
        <v>44</v>
      </c>
      <c r="M26" t="s">
        <v>44</v>
      </c>
      <c r="N26">
        <v>111</v>
      </c>
      <c r="O26" t="s">
        <v>119</v>
      </c>
      <c r="P26" t="s">
        <v>30</v>
      </c>
      <c r="Q26" t="s">
        <v>81</v>
      </c>
      <c r="R26">
        <v>1</v>
      </c>
      <c r="S26" t="s">
        <v>107</v>
      </c>
      <c r="T26" t="s">
        <v>107</v>
      </c>
      <c r="U26" t="s">
        <v>271</v>
      </c>
      <c r="AD26">
        <v>1</v>
      </c>
      <c r="AF26" s="9">
        <v>1</v>
      </c>
      <c r="AI26">
        <v>58</v>
      </c>
    </row>
    <row r="27" spans="1:35" x14ac:dyDescent="0.35">
      <c r="A27" t="s">
        <v>68</v>
      </c>
      <c r="B27" t="s">
        <v>69</v>
      </c>
      <c r="C27" t="s">
        <v>33</v>
      </c>
      <c r="D27" t="s">
        <v>34</v>
      </c>
      <c r="E27" t="s">
        <v>309</v>
      </c>
      <c r="F27" t="s">
        <v>42</v>
      </c>
      <c r="I27" t="s">
        <v>42</v>
      </c>
      <c r="J27" t="s">
        <v>42</v>
      </c>
      <c r="K27" t="s">
        <v>334</v>
      </c>
      <c r="L27" t="s">
        <v>44</v>
      </c>
      <c r="M27" t="s">
        <v>44</v>
      </c>
      <c r="N27">
        <v>112</v>
      </c>
      <c r="O27" t="s">
        <v>119</v>
      </c>
      <c r="P27" t="s">
        <v>30</v>
      </c>
      <c r="Q27" t="s">
        <v>81</v>
      </c>
      <c r="S27" t="s">
        <v>107</v>
      </c>
      <c r="T27" t="s">
        <v>107</v>
      </c>
      <c r="U27" t="s">
        <v>271</v>
      </c>
      <c r="AD27">
        <v>1</v>
      </c>
      <c r="AF27" s="9">
        <v>3</v>
      </c>
      <c r="AI27">
        <v>59</v>
      </c>
    </row>
    <row r="28" spans="1:35" x14ac:dyDescent="0.35">
      <c r="A28" t="s">
        <v>68</v>
      </c>
      <c r="B28" t="s">
        <v>69</v>
      </c>
      <c r="C28" t="s">
        <v>33</v>
      </c>
      <c r="D28" t="s">
        <v>34</v>
      </c>
      <c r="E28" t="s">
        <v>309</v>
      </c>
      <c r="F28" t="s">
        <v>42</v>
      </c>
      <c r="I28" t="s">
        <v>42</v>
      </c>
      <c r="J28" t="s">
        <v>42</v>
      </c>
      <c r="K28" t="s">
        <v>334</v>
      </c>
      <c r="L28" t="s">
        <v>44</v>
      </c>
      <c r="M28" t="s">
        <v>44</v>
      </c>
      <c r="N28">
        <v>113</v>
      </c>
      <c r="O28" t="s">
        <v>119</v>
      </c>
      <c r="P28" t="s">
        <v>30</v>
      </c>
      <c r="Q28" t="s">
        <v>82</v>
      </c>
      <c r="R28">
        <v>0</v>
      </c>
      <c r="S28" t="s">
        <v>107</v>
      </c>
      <c r="T28" t="s">
        <v>107</v>
      </c>
      <c r="U28" t="s">
        <v>271</v>
      </c>
      <c r="AD28">
        <v>1</v>
      </c>
      <c r="AF28">
        <v>2</v>
      </c>
      <c r="AI28">
        <v>60</v>
      </c>
    </row>
    <row r="29" spans="1:35" x14ac:dyDescent="0.35">
      <c r="A29" t="s">
        <v>68</v>
      </c>
      <c r="B29" t="s">
        <v>69</v>
      </c>
      <c r="C29" t="s">
        <v>33</v>
      </c>
      <c r="D29" t="s">
        <v>34</v>
      </c>
      <c r="E29" t="s">
        <v>309</v>
      </c>
      <c r="F29" t="s">
        <v>42</v>
      </c>
      <c r="I29" t="s">
        <v>42</v>
      </c>
      <c r="J29" t="s">
        <v>42</v>
      </c>
      <c r="K29" t="s">
        <v>334</v>
      </c>
      <c r="L29" t="s">
        <v>44</v>
      </c>
      <c r="M29" t="s">
        <v>44</v>
      </c>
      <c r="N29">
        <v>114</v>
      </c>
      <c r="O29" t="s">
        <v>119</v>
      </c>
      <c r="P29" t="s">
        <v>30</v>
      </c>
      <c r="Q29" t="s">
        <v>82</v>
      </c>
      <c r="R29">
        <v>0</v>
      </c>
      <c r="S29" t="s">
        <v>107</v>
      </c>
      <c r="T29" t="s">
        <v>107</v>
      </c>
      <c r="U29" t="s">
        <v>271</v>
      </c>
      <c r="AD29">
        <v>1</v>
      </c>
      <c r="AF29">
        <v>2</v>
      </c>
      <c r="AI29">
        <v>61</v>
      </c>
    </row>
    <row r="30" spans="1:35" x14ac:dyDescent="0.35">
      <c r="A30" t="s">
        <v>68</v>
      </c>
      <c r="B30" t="s">
        <v>69</v>
      </c>
      <c r="C30" t="s">
        <v>33</v>
      </c>
      <c r="D30" t="s">
        <v>65</v>
      </c>
      <c r="E30" t="s">
        <v>62</v>
      </c>
      <c r="F30" t="s">
        <v>316</v>
      </c>
      <c r="G30" s="20" t="s">
        <v>314</v>
      </c>
      <c r="H30" s="20" t="s">
        <v>63</v>
      </c>
      <c r="I30" t="s">
        <v>317</v>
      </c>
      <c r="J30" t="s">
        <v>65</v>
      </c>
      <c r="K30" t="s">
        <v>333</v>
      </c>
      <c r="L30" t="s">
        <v>196</v>
      </c>
      <c r="M30" t="s">
        <v>64</v>
      </c>
      <c r="N30">
        <v>119</v>
      </c>
      <c r="O30" t="s">
        <v>119</v>
      </c>
      <c r="P30" t="s">
        <v>37</v>
      </c>
      <c r="Q30" t="s">
        <v>73</v>
      </c>
      <c r="R30">
        <v>1</v>
      </c>
      <c r="S30" t="s">
        <v>107</v>
      </c>
      <c r="T30" t="s">
        <v>107</v>
      </c>
      <c r="U30" t="s">
        <v>271</v>
      </c>
      <c r="AD30">
        <v>1</v>
      </c>
      <c r="AF30" s="3">
        <v>2</v>
      </c>
      <c r="AI30">
        <v>69</v>
      </c>
    </row>
    <row r="31" spans="1:35" x14ac:dyDescent="0.35">
      <c r="A31" t="s">
        <v>68</v>
      </c>
      <c r="B31" t="s">
        <v>69</v>
      </c>
      <c r="C31" t="s">
        <v>33</v>
      </c>
      <c r="D31" t="s">
        <v>34</v>
      </c>
      <c r="E31" t="s">
        <v>320</v>
      </c>
      <c r="F31" t="s">
        <v>321</v>
      </c>
      <c r="G31" s="20" t="s">
        <v>46</v>
      </c>
      <c r="H31" t="s">
        <v>7</v>
      </c>
      <c r="I31" t="s">
        <v>255</v>
      </c>
      <c r="J31" t="s">
        <v>255</v>
      </c>
      <c r="K31" t="s">
        <v>331</v>
      </c>
      <c r="L31" t="s">
        <v>47</v>
      </c>
      <c r="M31" t="s">
        <v>47</v>
      </c>
      <c r="N31">
        <v>51</v>
      </c>
      <c r="O31" t="s">
        <v>119</v>
      </c>
      <c r="P31" t="s">
        <v>37</v>
      </c>
      <c r="Q31" t="s">
        <v>73</v>
      </c>
      <c r="R31">
        <v>1</v>
      </c>
      <c r="S31" t="s">
        <v>110</v>
      </c>
      <c r="T31" t="s">
        <v>107</v>
      </c>
      <c r="U31" t="s">
        <v>271</v>
      </c>
      <c r="AD31">
        <v>1</v>
      </c>
      <c r="AF31">
        <v>2</v>
      </c>
      <c r="AI31">
        <v>72</v>
      </c>
    </row>
    <row r="32" spans="1:35" x14ac:dyDescent="0.35">
      <c r="A32" t="s">
        <v>68</v>
      </c>
      <c r="B32" t="s">
        <v>69</v>
      </c>
      <c r="C32" t="s">
        <v>33</v>
      </c>
      <c r="D32" t="s">
        <v>34</v>
      </c>
      <c r="E32" t="s">
        <v>320</v>
      </c>
      <c r="F32" t="s">
        <v>321</v>
      </c>
      <c r="G32" s="20" t="s">
        <v>46</v>
      </c>
      <c r="H32" t="s">
        <v>7</v>
      </c>
      <c r="I32" t="s">
        <v>255</v>
      </c>
      <c r="J32" t="s">
        <v>255</v>
      </c>
      <c r="K32" t="s">
        <v>331</v>
      </c>
      <c r="L32" t="s">
        <v>47</v>
      </c>
      <c r="M32" t="s">
        <v>47</v>
      </c>
      <c r="N32">
        <v>52</v>
      </c>
      <c r="O32" t="s">
        <v>119</v>
      </c>
      <c r="P32" t="s">
        <v>41</v>
      </c>
      <c r="Q32" t="s">
        <v>75</v>
      </c>
      <c r="S32" t="s">
        <v>104</v>
      </c>
      <c r="T32" t="s">
        <v>107</v>
      </c>
      <c r="U32" t="s">
        <v>271</v>
      </c>
      <c r="AD32">
        <v>1</v>
      </c>
      <c r="AF32">
        <v>2</v>
      </c>
      <c r="AI32">
        <v>73</v>
      </c>
    </row>
    <row r="33" spans="1:35" x14ac:dyDescent="0.35">
      <c r="A33" t="s">
        <v>68</v>
      </c>
      <c r="B33" t="s">
        <v>69</v>
      </c>
      <c r="C33" t="s">
        <v>33</v>
      </c>
      <c r="D33" t="s">
        <v>34</v>
      </c>
      <c r="E33" t="s">
        <v>320</v>
      </c>
      <c r="F33" t="s">
        <v>321</v>
      </c>
      <c r="G33" s="20" t="s">
        <v>46</v>
      </c>
      <c r="H33" t="s">
        <v>7</v>
      </c>
      <c r="I33" t="s">
        <v>255</v>
      </c>
      <c r="J33" t="s">
        <v>255</v>
      </c>
      <c r="K33" t="s">
        <v>331</v>
      </c>
      <c r="L33" t="s">
        <v>47</v>
      </c>
      <c r="M33" t="s">
        <v>47</v>
      </c>
      <c r="N33">
        <v>53</v>
      </c>
      <c r="O33" t="s">
        <v>119</v>
      </c>
      <c r="P33" t="s">
        <v>48</v>
      </c>
      <c r="Q33" t="s">
        <v>76</v>
      </c>
      <c r="S33" t="s">
        <v>174</v>
      </c>
      <c r="T33" t="s">
        <v>107</v>
      </c>
      <c r="U33" t="s">
        <v>271</v>
      </c>
      <c r="AD33">
        <v>1</v>
      </c>
      <c r="AF33" s="3">
        <v>2</v>
      </c>
      <c r="AI33">
        <v>70</v>
      </c>
    </row>
    <row r="34" spans="1:35" x14ac:dyDescent="0.35">
      <c r="A34" t="s">
        <v>68</v>
      </c>
      <c r="B34" t="s">
        <v>69</v>
      </c>
      <c r="C34" t="s">
        <v>33</v>
      </c>
      <c r="D34" t="s">
        <v>34</v>
      </c>
      <c r="E34" t="s">
        <v>320</v>
      </c>
      <c r="F34" t="s">
        <v>321</v>
      </c>
      <c r="G34" s="20" t="s">
        <v>46</v>
      </c>
      <c r="H34" t="s">
        <v>7</v>
      </c>
      <c r="I34" t="s">
        <v>255</v>
      </c>
      <c r="J34" t="s">
        <v>255</v>
      </c>
      <c r="K34" t="s">
        <v>331</v>
      </c>
      <c r="L34" t="s">
        <v>47</v>
      </c>
      <c r="M34" t="s">
        <v>47</v>
      </c>
      <c r="N34">
        <v>54</v>
      </c>
      <c r="O34" t="s">
        <v>119</v>
      </c>
      <c r="P34" t="s">
        <v>48</v>
      </c>
      <c r="Q34" t="s">
        <v>76</v>
      </c>
      <c r="S34" t="s">
        <v>173</v>
      </c>
      <c r="T34" t="s">
        <v>107</v>
      </c>
      <c r="U34" t="s">
        <v>271</v>
      </c>
      <c r="AD34">
        <v>1</v>
      </c>
      <c r="AF34">
        <v>2</v>
      </c>
      <c r="AI34">
        <v>71</v>
      </c>
    </row>
    <row r="35" spans="1:35" x14ac:dyDescent="0.35">
      <c r="A35" t="s">
        <v>193</v>
      </c>
      <c r="B35" t="s">
        <v>69</v>
      </c>
      <c r="C35" t="s">
        <v>33</v>
      </c>
      <c r="D35" t="s">
        <v>34</v>
      </c>
      <c r="E35" t="s">
        <v>309</v>
      </c>
      <c r="F35" t="s">
        <v>310</v>
      </c>
      <c r="G35" s="20" t="s">
        <v>38</v>
      </c>
      <c r="H35" s="20" t="s">
        <v>39</v>
      </c>
      <c r="I35" t="s">
        <v>70</v>
      </c>
      <c r="J35" t="s">
        <v>70</v>
      </c>
      <c r="K35" t="s">
        <v>332</v>
      </c>
      <c r="L35" s="9" t="s">
        <v>197</v>
      </c>
      <c r="N35">
        <v>816</v>
      </c>
      <c r="O35" t="s">
        <v>155</v>
      </c>
      <c r="P35" t="s">
        <v>222</v>
      </c>
      <c r="Q35" t="s">
        <v>207</v>
      </c>
      <c r="R35" s="9">
        <v>1</v>
      </c>
      <c r="S35" s="13" t="s">
        <v>166</v>
      </c>
      <c r="T35" t="s">
        <v>72</v>
      </c>
      <c r="U35" t="s">
        <v>271</v>
      </c>
      <c r="AD35">
        <v>1</v>
      </c>
      <c r="AE35" s="8"/>
      <c r="AF35" s="17">
        <v>2</v>
      </c>
      <c r="AI35">
        <v>4</v>
      </c>
    </row>
    <row r="36" spans="1:35" x14ac:dyDescent="0.35">
      <c r="A36" t="s">
        <v>193</v>
      </c>
      <c r="B36" t="s">
        <v>69</v>
      </c>
      <c r="C36" t="s">
        <v>33</v>
      </c>
      <c r="D36" t="s">
        <v>34</v>
      </c>
      <c r="E36" t="s">
        <v>309</v>
      </c>
      <c r="F36" t="s">
        <v>310</v>
      </c>
      <c r="G36" s="20" t="s">
        <v>38</v>
      </c>
      <c r="H36" s="20" t="s">
        <v>39</v>
      </c>
      <c r="I36" t="s">
        <v>70</v>
      </c>
      <c r="J36" t="s">
        <v>70</v>
      </c>
      <c r="K36" t="s">
        <v>332</v>
      </c>
      <c r="L36" s="9" t="s">
        <v>197</v>
      </c>
      <c r="N36">
        <v>817</v>
      </c>
      <c r="O36" t="s">
        <v>155</v>
      </c>
      <c r="P36" t="s">
        <v>222</v>
      </c>
      <c r="Q36" t="s">
        <v>207</v>
      </c>
      <c r="R36" s="9">
        <v>1</v>
      </c>
      <c r="S36" t="s">
        <v>166</v>
      </c>
      <c r="T36" t="s">
        <v>72</v>
      </c>
      <c r="U36" t="s">
        <v>271</v>
      </c>
      <c r="AD36">
        <v>1</v>
      </c>
      <c r="AE36" s="8"/>
      <c r="AF36" s="17">
        <v>2</v>
      </c>
      <c r="AI36">
        <v>6</v>
      </c>
    </row>
    <row r="37" spans="1:35" x14ac:dyDescent="0.35">
      <c r="A37" t="s">
        <v>193</v>
      </c>
      <c r="B37" t="s">
        <v>69</v>
      </c>
      <c r="C37" t="s">
        <v>33</v>
      </c>
      <c r="D37" t="s">
        <v>34</v>
      </c>
      <c r="E37" t="s">
        <v>309</v>
      </c>
      <c r="F37" t="s">
        <v>310</v>
      </c>
      <c r="G37" s="20" t="s">
        <v>38</v>
      </c>
      <c r="H37" s="20" t="s">
        <v>39</v>
      </c>
      <c r="I37" t="s">
        <v>70</v>
      </c>
      <c r="J37" t="s">
        <v>70</v>
      </c>
      <c r="K37" t="s">
        <v>332</v>
      </c>
      <c r="L37" s="9" t="s">
        <v>197</v>
      </c>
      <c r="N37">
        <v>818</v>
      </c>
      <c r="O37" t="s">
        <v>155</v>
      </c>
      <c r="P37" t="s">
        <v>222</v>
      </c>
      <c r="Q37" t="s">
        <v>207</v>
      </c>
      <c r="R37" s="9">
        <v>1</v>
      </c>
      <c r="S37" t="s">
        <v>166</v>
      </c>
      <c r="T37" t="s">
        <v>72</v>
      </c>
      <c r="U37" t="s">
        <v>271</v>
      </c>
      <c r="AD37">
        <v>1</v>
      </c>
      <c r="AE37" s="8"/>
      <c r="AF37" s="17">
        <v>2</v>
      </c>
      <c r="AI37">
        <v>7</v>
      </c>
    </row>
    <row r="38" spans="1:35" x14ac:dyDescent="0.35">
      <c r="A38" t="s">
        <v>193</v>
      </c>
      <c r="B38" t="s">
        <v>69</v>
      </c>
      <c r="C38" t="s">
        <v>33</v>
      </c>
      <c r="D38" t="s">
        <v>34</v>
      </c>
      <c r="E38" t="s">
        <v>309</v>
      </c>
      <c r="F38" t="s">
        <v>310</v>
      </c>
      <c r="G38" s="20" t="s">
        <v>38</v>
      </c>
      <c r="H38" s="20" t="s">
        <v>39</v>
      </c>
      <c r="I38" t="s">
        <v>70</v>
      </c>
      <c r="J38" t="s">
        <v>70</v>
      </c>
      <c r="K38" t="s">
        <v>332</v>
      </c>
      <c r="L38" s="9" t="s">
        <v>197</v>
      </c>
      <c r="N38">
        <v>819</v>
      </c>
      <c r="O38" t="s">
        <v>155</v>
      </c>
      <c r="P38" t="s">
        <v>154</v>
      </c>
      <c r="Q38" t="s">
        <v>208</v>
      </c>
      <c r="R38" s="9">
        <v>1</v>
      </c>
      <c r="S38" s="13" t="s">
        <v>166</v>
      </c>
      <c r="T38" t="s">
        <v>72</v>
      </c>
      <c r="U38" t="s">
        <v>271</v>
      </c>
      <c r="AD38">
        <v>1</v>
      </c>
      <c r="AE38" s="8"/>
      <c r="AF38" s="17">
        <v>2</v>
      </c>
      <c r="AI38">
        <v>18</v>
      </c>
    </row>
    <row r="39" spans="1:35" x14ac:dyDescent="0.35">
      <c r="A39" t="s">
        <v>193</v>
      </c>
      <c r="B39" t="s">
        <v>69</v>
      </c>
      <c r="C39" t="s">
        <v>33</v>
      </c>
      <c r="D39" t="s">
        <v>34</v>
      </c>
      <c r="E39" t="s">
        <v>309</v>
      </c>
      <c r="F39" t="s">
        <v>310</v>
      </c>
      <c r="G39" s="20" t="s">
        <v>38</v>
      </c>
      <c r="H39" s="20" t="s">
        <v>39</v>
      </c>
      <c r="I39" t="s">
        <v>70</v>
      </c>
      <c r="J39" t="s">
        <v>70</v>
      </c>
      <c r="K39" t="s">
        <v>332</v>
      </c>
      <c r="L39" s="9" t="s">
        <v>197</v>
      </c>
      <c r="N39">
        <v>820</v>
      </c>
      <c r="O39" t="s">
        <v>155</v>
      </c>
      <c r="P39" t="s">
        <v>154</v>
      </c>
      <c r="Q39" t="s">
        <v>208</v>
      </c>
      <c r="R39" s="3">
        <v>1</v>
      </c>
      <c r="S39" s="13" t="s">
        <v>166</v>
      </c>
      <c r="T39" t="s">
        <v>72</v>
      </c>
      <c r="U39" t="s">
        <v>271</v>
      </c>
      <c r="AD39">
        <v>1</v>
      </c>
      <c r="AE39" s="8"/>
      <c r="AF39" s="17">
        <v>2</v>
      </c>
      <c r="AI39">
        <v>19</v>
      </c>
    </row>
    <row r="40" spans="1:35" x14ac:dyDescent="0.35">
      <c r="A40" t="s">
        <v>193</v>
      </c>
      <c r="B40" t="s">
        <v>69</v>
      </c>
      <c r="C40" t="s">
        <v>33</v>
      </c>
      <c r="D40" t="s">
        <v>34</v>
      </c>
      <c r="E40" t="s">
        <v>309</v>
      </c>
      <c r="F40" t="s">
        <v>310</v>
      </c>
      <c r="G40" s="20" t="s">
        <v>38</v>
      </c>
      <c r="H40" s="20" t="s">
        <v>39</v>
      </c>
      <c r="I40" t="s">
        <v>70</v>
      </c>
      <c r="J40" t="s">
        <v>70</v>
      </c>
      <c r="K40" t="s">
        <v>332</v>
      </c>
      <c r="L40" s="3" t="s">
        <v>197</v>
      </c>
      <c r="N40">
        <v>823</v>
      </c>
      <c r="O40" t="s">
        <v>155</v>
      </c>
      <c r="P40" t="s">
        <v>154</v>
      </c>
      <c r="Q40" t="s">
        <v>209</v>
      </c>
      <c r="R40" s="3">
        <v>1</v>
      </c>
      <c r="S40" s="14" t="s">
        <v>166</v>
      </c>
      <c r="T40" t="s">
        <v>72</v>
      </c>
      <c r="U40" t="s">
        <v>271</v>
      </c>
      <c r="AD40">
        <v>1</v>
      </c>
      <c r="AE40" s="8"/>
      <c r="AF40" s="9">
        <v>3</v>
      </c>
      <c r="AI40">
        <v>24</v>
      </c>
    </row>
    <row r="41" spans="1:35" x14ac:dyDescent="0.35">
      <c r="A41" t="s">
        <v>193</v>
      </c>
      <c r="B41" t="s">
        <v>69</v>
      </c>
      <c r="C41" t="s">
        <v>33</v>
      </c>
      <c r="D41" t="s">
        <v>34</v>
      </c>
      <c r="E41" t="s">
        <v>309</v>
      </c>
      <c r="F41" t="s">
        <v>310</v>
      </c>
      <c r="G41" s="20" t="s">
        <v>38</v>
      </c>
      <c r="H41" s="20" t="s">
        <v>39</v>
      </c>
      <c r="I41" t="s">
        <v>70</v>
      </c>
      <c r="J41" t="s">
        <v>70</v>
      </c>
      <c r="K41" t="s">
        <v>332</v>
      </c>
      <c r="L41" s="3" t="s">
        <v>197</v>
      </c>
      <c r="N41">
        <v>824</v>
      </c>
      <c r="O41" t="s">
        <v>155</v>
      </c>
      <c r="P41" t="s">
        <v>154</v>
      </c>
      <c r="Q41" t="s">
        <v>209</v>
      </c>
      <c r="R41" s="3">
        <v>1</v>
      </c>
      <c r="S41" s="14" t="s">
        <v>166</v>
      </c>
      <c r="T41" t="s">
        <v>72</v>
      </c>
      <c r="U41" t="s">
        <v>271</v>
      </c>
      <c r="AD41">
        <v>1</v>
      </c>
      <c r="AE41" s="8"/>
      <c r="AF41" s="3">
        <v>3</v>
      </c>
      <c r="AI41">
        <v>25</v>
      </c>
    </row>
    <row r="42" spans="1:35" x14ac:dyDescent="0.35">
      <c r="A42" t="s">
        <v>193</v>
      </c>
      <c r="B42" t="s">
        <v>69</v>
      </c>
      <c r="C42" t="s">
        <v>33</v>
      </c>
      <c r="D42" t="s">
        <v>34</v>
      </c>
      <c r="E42" t="s">
        <v>309</v>
      </c>
      <c r="F42" t="s">
        <v>310</v>
      </c>
      <c r="G42" s="20" t="s">
        <v>38</v>
      </c>
      <c r="H42" s="20" t="s">
        <v>39</v>
      </c>
      <c r="I42" t="s">
        <v>70</v>
      </c>
      <c r="J42" t="s">
        <v>70</v>
      </c>
      <c r="K42" t="s">
        <v>332</v>
      </c>
      <c r="L42" s="3" t="s">
        <v>197</v>
      </c>
      <c r="N42">
        <v>825</v>
      </c>
      <c r="O42" t="s">
        <v>155</v>
      </c>
      <c r="P42" t="s">
        <v>154</v>
      </c>
      <c r="Q42" t="s">
        <v>209</v>
      </c>
      <c r="R42" s="3">
        <v>1</v>
      </c>
      <c r="S42" s="3" t="s">
        <v>166</v>
      </c>
      <c r="T42" t="s">
        <v>72</v>
      </c>
      <c r="U42" t="s">
        <v>271</v>
      </c>
      <c r="AD42">
        <v>1</v>
      </c>
      <c r="AE42" s="8"/>
      <c r="AF42" s="3">
        <v>1</v>
      </c>
      <c r="AI42">
        <v>26</v>
      </c>
    </row>
    <row r="43" spans="1:35" x14ac:dyDescent="0.35">
      <c r="A43" t="s">
        <v>193</v>
      </c>
      <c r="B43" t="s">
        <v>69</v>
      </c>
      <c r="C43" t="s">
        <v>33</v>
      </c>
      <c r="D43" t="s">
        <v>34</v>
      </c>
      <c r="E43" t="s">
        <v>309</v>
      </c>
      <c r="F43" t="s">
        <v>310</v>
      </c>
      <c r="G43" s="20" t="s">
        <v>38</v>
      </c>
      <c r="H43" s="20" t="s">
        <v>39</v>
      </c>
      <c r="I43" t="s">
        <v>70</v>
      </c>
      <c r="J43" t="s">
        <v>70</v>
      </c>
      <c r="K43" t="s">
        <v>332</v>
      </c>
      <c r="L43" s="3" t="s">
        <v>197</v>
      </c>
      <c r="N43">
        <v>826</v>
      </c>
      <c r="O43" t="s">
        <v>155</v>
      </c>
      <c r="P43" t="s">
        <v>154</v>
      </c>
      <c r="Q43" s="3" t="s">
        <v>209</v>
      </c>
      <c r="R43" s="3">
        <v>1</v>
      </c>
      <c r="S43" s="3" t="s">
        <v>166</v>
      </c>
      <c r="T43" t="s">
        <v>72</v>
      </c>
      <c r="U43" t="s">
        <v>271</v>
      </c>
      <c r="AD43">
        <v>1</v>
      </c>
      <c r="AE43" s="8"/>
      <c r="AF43" s="3">
        <v>1</v>
      </c>
      <c r="AI43">
        <v>28</v>
      </c>
    </row>
    <row r="44" spans="1:35" x14ac:dyDescent="0.35">
      <c r="A44" t="s">
        <v>193</v>
      </c>
      <c r="B44" t="s">
        <v>69</v>
      </c>
      <c r="C44" t="s">
        <v>33</v>
      </c>
      <c r="D44" t="s">
        <v>34</v>
      </c>
      <c r="E44" t="s">
        <v>309</v>
      </c>
      <c r="F44" t="s">
        <v>310</v>
      </c>
      <c r="G44" s="20" t="s">
        <v>38</v>
      </c>
      <c r="H44" s="20" t="s">
        <v>39</v>
      </c>
      <c r="I44" t="s">
        <v>70</v>
      </c>
      <c r="J44" t="s">
        <v>70</v>
      </c>
      <c r="K44" t="s">
        <v>332</v>
      </c>
      <c r="L44" s="3" t="s">
        <v>197</v>
      </c>
      <c r="N44">
        <v>827</v>
      </c>
      <c r="O44" t="s">
        <v>155</v>
      </c>
      <c r="P44" t="s">
        <v>154</v>
      </c>
      <c r="Q44" t="s">
        <v>209</v>
      </c>
      <c r="R44" s="3">
        <v>1</v>
      </c>
      <c r="S44" s="3" t="s">
        <v>166</v>
      </c>
      <c r="T44" t="s">
        <v>72</v>
      </c>
      <c r="U44" t="s">
        <v>271</v>
      </c>
      <c r="AD44">
        <v>1</v>
      </c>
      <c r="AE44" s="8"/>
      <c r="AF44" s="9">
        <v>1</v>
      </c>
      <c r="AI44">
        <v>29</v>
      </c>
    </row>
    <row r="45" spans="1:35" x14ac:dyDescent="0.35">
      <c r="A45" t="s">
        <v>193</v>
      </c>
      <c r="B45" t="s">
        <v>69</v>
      </c>
      <c r="C45" t="s">
        <v>33</v>
      </c>
      <c r="D45" t="s">
        <v>34</v>
      </c>
      <c r="E45" t="s">
        <v>309</v>
      </c>
      <c r="F45" t="s">
        <v>310</v>
      </c>
      <c r="G45" s="20" t="s">
        <v>38</v>
      </c>
      <c r="H45" s="20" t="s">
        <v>39</v>
      </c>
      <c r="I45" t="s">
        <v>70</v>
      </c>
      <c r="J45" t="s">
        <v>70</v>
      </c>
      <c r="K45" t="s">
        <v>332</v>
      </c>
      <c r="L45" s="3" t="s">
        <v>197</v>
      </c>
      <c r="N45">
        <v>828</v>
      </c>
      <c r="O45" t="s">
        <v>155</v>
      </c>
      <c r="P45" t="s">
        <v>154</v>
      </c>
      <c r="Q45" t="s">
        <v>209</v>
      </c>
      <c r="R45" s="3">
        <v>1</v>
      </c>
      <c r="S45" s="3" t="s">
        <v>166</v>
      </c>
      <c r="T45" t="s">
        <v>72</v>
      </c>
      <c r="U45" t="s">
        <v>271</v>
      </c>
      <c r="AD45">
        <v>1</v>
      </c>
      <c r="AE45" s="8"/>
      <c r="AF45" s="3">
        <v>1</v>
      </c>
      <c r="AI45">
        <v>30</v>
      </c>
    </row>
    <row r="46" spans="1:35" x14ac:dyDescent="0.35">
      <c r="A46" t="s">
        <v>193</v>
      </c>
      <c r="B46" t="s">
        <v>69</v>
      </c>
      <c r="C46" t="s">
        <v>33</v>
      </c>
      <c r="D46" t="s">
        <v>34</v>
      </c>
      <c r="E46" t="s">
        <v>309</v>
      </c>
      <c r="F46" t="s">
        <v>310</v>
      </c>
      <c r="G46" s="20" t="s">
        <v>38</v>
      </c>
      <c r="H46" s="20" t="s">
        <v>39</v>
      </c>
      <c r="I46" t="s">
        <v>70</v>
      </c>
      <c r="J46" t="s">
        <v>70</v>
      </c>
      <c r="K46" t="s">
        <v>332</v>
      </c>
      <c r="L46" s="3" t="s">
        <v>197</v>
      </c>
      <c r="N46">
        <v>829</v>
      </c>
      <c r="O46" t="s">
        <v>155</v>
      </c>
      <c r="P46" t="s">
        <v>154</v>
      </c>
      <c r="Q46" t="s">
        <v>209</v>
      </c>
      <c r="R46" s="9">
        <v>1</v>
      </c>
      <c r="S46" s="13" t="s">
        <v>166</v>
      </c>
      <c r="T46" t="s">
        <v>72</v>
      </c>
      <c r="U46" t="s">
        <v>271</v>
      </c>
      <c r="AD46">
        <v>1</v>
      </c>
      <c r="AE46" s="8"/>
      <c r="AF46" s="9">
        <v>1</v>
      </c>
      <c r="AI46">
        <v>32</v>
      </c>
    </row>
    <row r="47" spans="1:35" x14ac:dyDescent="0.35">
      <c r="A47" t="s">
        <v>193</v>
      </c>
      <c r="B47" t="s">
        <v>69</v>
      </c>
      <c r="C47" t="s">
        <v>33</v>
      </c>
      <c r="D47" t="s">
        <v>34</v>
      </c>
      <c r="E47" t="s">
        <v>309</v>
      </c>
      <c r="F47" t="s">
        <v>310</v>
      </c>
      <c r="G47" s="20" t="s">
        <v>38</v>
      </c>
      <c r="H47" s="20" t="s">
        <v>39</v>
      </c>
      <c r="I47" t="s">
        <v>70</v>
      </c>
      <c r="J47" t="s">
        <v>70</v>
      </c>
      <c r="K47" t="s">
        <v>332</v>
      </c>
      <c r="L47" s="3" t="s">
        <v>197</v>
      </c>
      <c r="N47">
        <v>830</v>
      </c>
      <c r="O47" t="s">
        <v>155</v>
      </c>
      <c r="P47" t="s">
        <v>154</v>
      </c>
      <c r="Q47" t="s">
        <v>209</v>
      </c>
      <c r="R47" s="9">
        <v>1</v>
      </c>
      <c r="S47" s="3" t="s">
        <v>166</v>
      </c>
      <c r="T47" t="s">
        <v>72</v>
      </c>
      <c r="U47" t="s">
        <v>271</v>
      </c>
      <c r="AD47">
        <v>1</v>
      </c>
      <c r="AE47" s="8"/>
      <c r="AF47" s="9">
        <v>1</v>
      </c>
      <c r="AI47">
        <v>36</v>
      </c>
    </row>
    <row r="48" spans="1:35" x14ac:dyDescent="0.35">
      <c r="A48" t="s">
        <v>193</v>
      </c>
      <c r="B48" t="s">
        <v>69</v>
      </c>
      <c r="C48" t="s">
        <v>33</v>
      </c>
      <c r="D48" t="s">
        <v>34</v>
      </c>
      <c r="E48" t="s">
        <v>309</v>
      </c>
      <c r="F48" t="s">
        <v>310</v>
      </c>
      <c r="G48" s="20" t="s">
        <v>38</v>
      </c>
      <c r="H48" s="20" t="s">
        <v>39</v>
      </c>
      <c r="I48" t="s">
        <v>70</v>
      </c>
      <c r="J48" t="s">
        <v>70</v>
      </c>
      <c r="K48" t="s">
        <v>332</v>
      </c>
      <c r="L48" s="3" t="s">
        <v>197</v>
      </c>
      <c r="N48">
        <v>831</v>
      </c>
      <c r="O48" t="s">
        <v>155</v>
      </c>
      <c r="P48" t="s">
        <v>222</v>
      </c>
      <c r="Q48" t="s">
        <v>210</v>
      </c>
      <c r="R48" s="9">
        <v>1</v>
      </c>
      <c r="S48" s="3" t="s">
        <v>166</v>
      </c>
      <c r="T48" t="s">
        <v>72</v>
      </c>
      <c r="U48" t="s">
        <v>271</v>
      </c>
      <c r="AD48">
        <v>1</v>
      </c>
      <c r="AE48" s="8"/>
      <c r="AF48" s="9">
        <v>1</v>
      </c>
      <c r="AI48">
        <v>37</v>
      </c>
    </row>
    <row r="49" spans="1:35" x14ac:dyDescent="0.35">
      <c r="A49" t="s">
        <v>193</v>
      </c>
      <c r="B49" t="s">
        <v>69</v>
      </c>
      <c r="C49" t="s">
        <v>33</v>
      </c>
      <c r="D49" t="s">
        <v>34</v>
      </c>
      <c r="E49" t="s">
        <v>309</v>
      </c>
      <c r="F49" t="s">
        <v>310</v>
      </c>
      <c r="G49" s="20" t="s">
        <v>38</v>
      </c>
      <c r="H49" s="20" t="s">
        <v>39</v>
      </c>
      <c r="I49" t="s">
        <v>70</v>
      </c>
      <c r="J49" t="s">
        <v>70</v>
      </c>
      <c r="K49" t="s">
        <v>332</v>
      </c>
      <c r="L49" s="3" t="s">
        <v>197</v>
      </c>
      <c r="N49">
        <v>832</v>
      </c>
      <c r="O49" t="s">
        <v>155</v>
      </c>
      <c r="P49" t="s">
        <v>222</v>
      </c>
      <c r="Q49" t="s">
        <v>211</v>
      </c>
      <c r="R49" s="9">
        <v>1</v>
      </c>
      <c r="S49" t="s">
        <v>166</v>
      </c>
      <c r="T49" t="s">
        <v>72</v>
      </c>
      <c r="U49" t="s">
        <v>271</v>
      </c>
      <c r="AD49">
        <v>1</v>
      </c>
      <c r="AE49" s="8"/>
      <c r="AF49" s="9">
        <v>1</v>
      </c>
      <c r="AI49">
        <v>52</v>
      </c>
    </row>
    <row r="50" spans="1:35" x14ac:dyDescent="0.35">
      <c r="A50" t="s">
        <v>193</v>
      </c>
      <c r="B50" t="s">
        <v>69</v>
      </c>
      <c r="C50" t="s">
        <v>33</v>
      </c>
      <c r="D50" t="s">
        <v>34</v>
      </c>
      <c r="E50" t="s">
        <v>309</v>
      </c>
      <c r="F50" t="s">
        <v>310</v>
      </c>
      <c r="G50" s="20" t="s">
        <v>38</v>
      </c>
      <c r="H50" s="20" t="s">
        <v>39</v>
      </c>
      <c r="I50" t="s">
        <v>70</v>
      </c>
      <c r="J50" t="s">
        <v>70</v>
      </c>
      <c r="K50" t="s">
        <v>332</v>
      </c>
      <c r="L50" t="s">
        <v>197</v>
      </c>
      <c r="N50">
        <v>833</v>
      </c>
      <c r="O50" t="s">
        <v>155</v>
      </c>
      <c r="P50" t="s">
        <v>223</v>
      </c>
      <c r="Q50" s="9" t="s">
        <v>213</v>
      </c>
      <c r="R50">
        <v>1</v>
      </c>
      <c r="S50" t="s">
        <v>166</v>
      </c>
      <c r="T50" t="s">
        <v>72</v>
      </c>
      <c r="U50" t="s">
        <v>271</v>
      </c>
      <c r="AD50">
        <v>1</v>
      </c>
      <c r="AE50" s="8"/>
      <c r="AF50" s="9">
        <v>1</v>
      </c>
      <c r="AI50">
        <v>68</v>
      </c>
    </row>
    <row r="51" spans="1:35" x14ac:dyDescent="0.35">
      <c r="A51" t="s">
        <v>193</v>
      </c>
      <c r="B51" t="s">
        <v>69</v>
      </c>
      <c r="C51" t="s">
        <v>33</v>
      </c>
      <c r="D51" t="s">
        <v>34</v>
      </c>
      <c r="E51" t="s">
        <v>309</v>
      </c>
      <c r="F51" t="s">
        <v>310</v>
      </c>
      <c r="G51" s="20" t="s">
        <v>38</v>
      </c>
      <c r="H51" s="20" t="s">
        <v>39</v>
      </c>
      <c r="I51" t="s">
        <v>70</v>
      </c>
      <c r="J51" t="s">
        <v>70</v>
      </c>
      <c r="K51" t="s">
        <v>332</v>
      </c>
      <c r="L51" t="s">
        <v>197</v>
      </c>
      <c r="N51">
        <v>834</v>
      </c>
      <c r="O51" t="s">
        <v>155</v>
      </c>
      <c r="P51" t="s">
        <v>223</v>
      </c>
      <c r="Q51" s="9" t="s">
        <v>213</v>
      </c>
      <c r="R51">
        <v>1</v>
      </c>
      <c r="S51" t="s">
        <v>166</v>
      </c>
      <c r="T51" t="s">
        <v>72</v>
      </c>
      <c r="U51" t="s">
        <v>271</v>
      </c>
      <c r="AD51">
        <v>1</v>
      </c>
      <c r="AE51" s="8"/>
      <c r="AF51" s="9">
        <v>1</v>
      </c>
      <c r="AI51">
        <v>69</v>
      </c>
    </row>
    <row r="52" spans="1:35" x14ac:dyDescent="0.35">
      <c r="A52" t="s">
        <v>193</v>
      </c>
      <c r="B52" t="s">
        <v>69</v>
      </c>
      <c r="C52" t="s">
        <v>33</v>
      </c>
      <c r="D52" t="s">
        <v>34</v>
      </c>
      <c r="E52" t="s">
        <v>309</v>
      </c>
      <c r="F52" t="s">
        <v>310</v>
      </c>
      <c r="G52" s="20" t="s">
        <v>38</v>
      </c>
      <c r="H52" s="20" t="s">
        <v>39</v>
      </c>
      <c r="I52" t="s">
        <v>70</v>
      </c>
      <c r="J52" t="s">
        <v>70</v>
      </c>
      <c r="K52" t="s">
        <v>332</v>
      </c>
      <c r="L52" t="s">
        <v>197</v>
      </c>
      <c r="N52">
        <v>835</v>
      </c>
      <c r="O52" t="s">
        <v>155</v>
      </c>
      <c r="P52" t="s">
        <v>223</v>
      </c>
      <c r="Q52" s="9" t="s">
        <v>213</v>
      </c>
      <c r="R52">
        <v>1</v>
      </c>
      <c r="S52" t="s">
        <v>166</v>
      </c>
      <c r="T52" t="s">
        <v>72</v>
      </c>
      <c r="U52" t="s">
        <v>271</v>
      </c>
      <c r="AD52">
        <v>1</v>
      </c>
      <c r="AE52" s="8"/>
      <c r="AF52" s="18">
        <v>3</v>
      </c>
      <c r="AI52">
        <v>75</v>
      </c>
    </row>
    <row r="53" spans="1:35" x14ac:dyDescent="0.35">
      <c r="A53" t="s">
        <v>193</v>
      </c>
      <c r="B53" t="s">
        <v>69</v>
      </c>
      <c r="C53" t="s">
        <v>33</v>
      </c>
      <c r="D53" t="s">
        <v>34</v>
      </c>
      <c r="E53" t="s">
        <v>309</v>
      </c>
      <c r="F53" t="s">
        <v>310</v>
      </c>
      <c r="G53" s="20" t="s">
        <v>38</v>
      </c>
      <c r="H53" s="20" t="s">
        <v>39</v>
      </c>
      <c r="I53" t="s">
        <v>70</v>
      </c>
      <c r="J53" t="s">
        <v>70</v>
      </c>
      <c r="K53" t="s">
        <v>332</v>
      </c>
      <c r="L53" t="s">
        <v>197</v>
      </c>
      <c r="N53">
        <v>836</v>
      </c>
      <c r="O53" t="s">
        <v>155</v>
      </c>
      <c r="P53" t="s">
        <v>223</v>
      </c>
      <c r="Q53" s="9" t="s">
        <v>213</v>
      </c>
      <c r="R53">
        <v>1</v>
      </c>
      <c r="S53" t="s">
        <v>166</v>
      </c>
      <c r="T53" t="s">
        <v>72</v>
      </c>
      <c r="U53" t="s">
        <v>271</v>
      </c>
      <c r="AD53">
        <v>1</v>
      </c>
      <c r="AE53" s="8"/>
      <c r="AF53" s="18">
        <v>3</v>
      </c>
      <c r="AI53">
        <v>77</v>
      </c>
    </row>
    <row r="54" spans="1:35" x14ac:dyDescent="0.35">
      <c r="A54" t="s">
        <v>193</v>
      </c>
      <c r="B54" t="s">
        <v>69</v>
      </c>
      <c r="C54" t="s">
        <v>33</v>
      </c>
      <c r="D54" t="s">
        <v>34</v>
      </c>
      <c r="E54" t="s">
        <v>309</v>
      </c>
      <c r="F54" t="s">
        <v>310</v>
      </c>
      <c r="G54" s="20" t="s">
        <v>38</v>
      </c>
      <c r="H54" s="20" t="s">
        <v>39</v>
      </c>
      <c r="I54" t="s">
        <v>70</v>
      </c>
      <c r="J54" t="s">
        <v>70</v>
      </c>
      <c r="K54" t="s">
        <v>332</v>
      </c>
      <c r="L54" t="s">
        <v>197</v>
      </c>
      <c r="N54">
        <v>837</v>
      </c>
      <c r="O54" t="s">
        <v>155</v>
      </c>
      <c r="P54" t="s">
        <v>154</v>
      </c>
      <c r="Q54" t="s">
        <v>214</v>
      </c>
      <c r="R54">
        <v>1</v>
      </c>
      <c r="S54" t="s">
        <v>166</v>
      </c>
      <c r="T54" t="s">
        <v>72</v>
      </c>
      <c r="U54" t="s">
        <v>271</v>
      </c>
      <c r="AD54">
        <v>1</v>
      </c>
      <c r="AE54" s="8"/>
      <c r="AF54" s="18">
        <v>1</v>
      </c>
      <c r="AI54">
        <v>80</v>
      </c>
    </row>
    <row r="55" spans="1:35" x14ac:dyDescent="0.35">
      <c r="A55" t="s">
        <v>193</v>
      </c>
      <c r="B55" t="s">
        <v>69</v>
      </c>
      <c r="C55" t="s">
        <v>33</v>
      </c>
      <c r="D55" t="s">
        <v>34</v>
      </c>
      <c r="E55" t="s">
        <v>309</v>
      </c>
      <c r="F55" t="s">
        <v>310</v>
      </c>
      <c r="G55" s="20" t="s">
        <v>38</v>
      </c>
      <c r="H55" s="20" t="s">
        <v>39</v>
      </c>
      <c r="I55" t="s">
        <v>70</v>
      </c>
      <c r="J55" t="s">
        <v>70</v>
      </c>
      <c r="K55" t="s">
        <v>332</v>
      </c>
      <c r="L55" t="s">
        <v>197</v>
      </c>
      <c r="N55">
        <v>838</v>
      </c>
      <c r="O55" t="s">
        <v>155</v>
      </c>
      <c r="P55" t="s">
        <v>154</v>
      </c>
      <c r="Q55" t="s">
        <v>214</v>
      </c>
      <c r="R55">
        <v>1</v>
      </c>
      <c r="S55" t="s">
        <v>166</v>
      </c>
      <c r="T55" t="s">
        <v>72</v>
      </c>
      <c r="U55" t="s">
        <v>271</v>
      </c>
      <c r="AD55">
        <v>1</v>
      </c>
      <c r="AE55" s="8"/>
      <c r="AF55" s="18">
        <v>1</v>
      </c>
      <c r="AI55">
        <v>81</v>
      </c>
    </row>
    <row r="56" spans="1:35" x14ac:dyDescent="0.35">
      <c r="A56" t="s">
        <v>193</v>
      </c>
      <c r="B56" t="s">
        <v>69</v>
      </c>
      <c r="C56" t="s">
        <v>33</v>
      </c>
      <c r="D56" t="s">
        <v>34</v>
      </c>
      <c r="E56" t="s">
        <v>309</v>
      </c>
      <c r="F56" t="s">
        <v>310</v>
      </c>
      <c r="G56" s="20" t="s">
        <v>38</v>
      </c>
      <c r="H56" s="20" t="s">
        <v>39</v>
      </c>
      <c r="I56" t="s">
        <v>70</v>
      </c>
      <c r="J56" t="s">
        <v>70</v>
      </c>
      <c r="K56" t="s">
        <v>332</v>
      </c>
      <c r="L56" t="s">
        <v>197</v>
      </c>
      <c r="N56">
        <v>839</v>
      </c>
      <c r="O56" t="s">
        <v>155</v>
      </c>
      <c r="P56" t="s">
        <v>154</v>
      </c>
      <c r="Q56" t="s">
        <v>214</v>
      </c>
      <c r="R56">
        <v>1</v>
      </c>
      <c r="S56" t="s">
        <v>166</v>
      </c>
      <c r="T56" t="s">
        <v>72</v>
      </c>
      <c r="U56" t="s">
        <v>271</v>
      </c>
      <c r="AD56">
        <v>1</v>
      </c>
      <c r="AE56" s="8"/>
      <c r="AF56" s="18">
        <v>1</v>
      </c>
      <c r="AI56">
        <v>85</v>
      </c>
    </row>
    <row r="57" spans="1:35" x14ac:dyDescent="0.35">
      <c r="A57" t="s">
        <v>193</v>
      </c>
      <c r="B57" t="s">
        <v>69</v>
      </c>
      <c r="C57" t="s">
        <v>33</v>
      </c>
      <c r="D57" t="s">
        <v>34</v>
      </c>
      <c r="E57" t="s">
        <v>309</v>
      </c>
      <c r="F57" t="s">
        <v>310</v>
      </c>
      <c r="G57" s="20" t="s">
        <v>38</v>
      </c>
      <c r="H57" s="20" t="s">
        <v>39</v>
      </c>
      <c r="I57" t="s">
        <v>70</v>
      </c>
      <c r="J57" t="s">
        <v>70</v>
      </c>
      <c r="K57" t="s">
        <v>332</v>
      </c>
      <c r="L57" t="s">
        <v>197</v>
      </c>
      <c r="N57">
        <v>840</v>
      </c>
      <c r="O57" t="s">
        <v>155</v>
      </c>
      <c r="P57" t="s">
        <v>154</v>
      </c>
      <c r="Q57" t="s">
        <v>214</v>
      </c>
      <c r="R57">
        <v>1</v>
      </c>
      <c r="S57" t="s">
        <v>166</v>
      </c>
      <c r="T57" t="s">
        <v>72</v>
      </c>
      <c r="U57" t="s">
        <v>271</v>
      </c>
      <c r="AD57">
        <v>1</v>
      </c>
      <c r="AE57" s="8"/>
      <c r="AF57" s="18">
        <v>1</v>
      </c>
      <c r="AI57">
        <v>86</v>
      </c>
    </row>
    <row r="58" spans="1:35" x14ac:dyDescent="0.35">
      <c r="A58" t="s">
        <v>193</v>
      </c>
      <c r="B58" t="s">
        <v>69</v>
      </c>
      <c r="C58" t="s">
        <v>33</v>
      </c>
      <c r="D58" t="s">
        <v>34</v>
      </c>
      <c r="E58" t="s">
        <v>309</v>
      </c>
      <c r="F58" t="s">
        <v>310</v>
      </c>
      <c r="G58" s="20" t="s">
        <v>38</v>
      </c>
      <c r="H58" s="20" t="s">
        <v>39</v>
      </c>
      <c r="I58" t="s">
        <v>70</v>
      </c>
      <c r="J58" t="s">
        <v>70</v>
      </c>
      <c r="K58" t="s">
        <v>332</v>
      </c>
      <c r="L58" t="s">
        <v>197</v>
      </c>
      <c r="N58">
        <v>841</v>
      </c>
      <c r="O58" t="s">
        <v>155</v>
      </c>
      <c r="P58" t="s">
        <v>154</v>
      </c>
      <c r="Q58" t="s">
        <v>214</v>
      </c>
      <c r="R58">
        <v>1</v>
      </c>
      <c r="S58" t="s">
        <v>166</v>
      </c>
      <c r="T58" t="s">
        <v>72</v>
      </c>
      <c r="U58" t="s">
        <v>271</v>
      </c>
      <c r="AD58">
        <v>1</v>
      </c>
      <c r="AE58" s="8"/>
      <c r="AF58" s="18">
        <v>1</v>
      </c>
      <c r="AI58">
        <v>87</v>
      </c>
    </row>
    <row r="59" spans="1:35" x14ac:dyDescent="0.35">
      <c r="A59" t="s">
        <v>193</v>
      </c>
      <c r="B59" t="s">
        <v>69</v>
      </c>
      <c r="C59" t="s">
        <v>33</v>
      </c>
      <c r="D59" t="s">
        <v>34</v>
      </c>
      <c r="E59" t="s">
        <v>309</v>
      </c>
      <c r="F59" t="s">
        <v>310</v>
      </c>
      <c r="G59" s="20" t="s">
        <v>38</v>
      </c>
      <c r="H59" s="20" t="s">
        <v>39</v>
      </c>
      <c r="I59" t="s">
        <v>70</v>
      </c>
      <c r="J59" t="s">
        <v>70</v>
      </c>
      <c r="K59" t="s">
        <v>332</v>
      </c>
      <c r="L59" t="s">
        <v>197</v>
      </c>
      <c r="N59">
        <v>842</v>
      </c>
      <c r="O59" t="s">
        <v>155</v>
      </c>
      <c r="P59" t="s">
        <v>154</v>
      </c>
      <c r="Q59" t="s">
        <v>214</v>
      </c>
      <c r="R59">
        <v>1</v>
      </c>
      <c r="S59" t="s">
        <v>166</v>
      </c>
      <c r="T59" t="s">
        <v>72</v>
      </c>
      <c r="U59" t="s">
        <v>271</v>
      </c>
      <c r="AD59">
        <v>1</v>
      </c>
      <c r="AE59" s="8"/>
      <c r="AF59" s="18">
        <v>1</v>
      </c>
      <c r="AI59">
        <v>88</v>
      </c>
    </row>
    <row r="60" spans="1:35" x14ac:dyDescent="0.35">
      <c r="A60" t="s">
        <v>193</v>
      </c>
      <c r="B60" t="s">
        <v>69</v>
      </c>
      <c r="C60" t="s">
        <v>33</v>
      </c>
      <c r="D60" t="s">
        <v>34</v>
      </c>
      <c r="E60" t="s">
        <v>309</v>
      </c>
      <c r="F60" t="s">
        <v>310</v>
      </c>
      <c r="G60" s="20" t="s">
        <v>38</v>
      </c>
      <c r="H60" s="20" t="s">
        <v>39</v>
      </c>
      <c r="I60" t="s">
        <v>70</v>
      </c>
      <c r="J60" t="s">
        <v>70</v>
      </c>
      <c r="K60" t="s">
        <v>332</v>
      </c>
      <c r="L60" t="s">
        <v>197</v>
      </c>
      <c r="N60">
        <v>843</v>
      </c>
      <c r="O60" t="s">
        <v>155</v>
      </c>
      <c r="P60" t="s">
        <v>154</v>
      </c>
      <c r="Q60" t="s">
        <v>214</v>
      </c>
      <c r="R60">
        <v>1</v>
      </c>
      <c r="S60" t="s">
        <v>166</v>
      </c>
      <c r="T60" t="s">
        <v>72</v>
      </c>
      <c r="U60" t="s">
        <v>271</v>
      </c>
      <c r="AD60">
        <v>1</v>
      </c>
      <c r="AE60" s="8"/>
      <c r="AF60" s="18">
        <v>1</v>
      </c>
      <c r="AI60">
        <v>91</v>
      </c>
    </row>
    <row r="61" spans="1:35" x14ac:dyDescent="0.35">
      <c r="A61" t="s">
        <v>193</v>
      </c>
      <c r="B61" t="s">
        <v>69</v>
      </c>
      <c r="C61" t="s">
        <v>33</v>
      </c>
      <c r="D61" t="s">
        <v>34</v>
      </c>
      <c r="E61" t="s">
        <v>309</v>
      </c>
      <c r="F61" t="s">
        <v>310</v>
      </c>
      <c r="G61" s="20" t="s">
        <v>38</v>
      </c>
      <c r="H61" s="20" t="s">
        <v>39</v>
      </c>
      <c r="I61" t="s">
        <v>70</v>
      </c>
      <c r="J61" t="s">
        <v>70</v>
      </c>
      <c r="K61" t="s">
        <v>332</v>
      </c>
      <c r="L61" t="s">
        <v>197</v>
      </c>
      <c r="N61">
        <v>844</v>
      </c>
      <c r="O61" t="s">
        <v>155</v>
      </c>
      <c r="P61" t="s">
        <v>154</v>
      </c>
      <c r="Q61" t="s">
        <v>214</v>
      </c>
      <c r="R61">
        <v>1</v>
      </c>
      <c r="S61" t="s">
        <v>166</v>
      </c>
      <c r="T61" t="s">
        <v>72</v>
      </c>
      <c r="U61" t="s">
        <v>271</v>
      </c>
      <c r="AD61">
        <v>1</v>
      </c>
      <c r="AE61" s="8"/>
      <c r="AF61" s="18">
        <v>1</v>
      </c>
      <c r="AI61">
        <v>94</v>
      </c>
    </row>
    <row r="62" spans="1:35" x14ac:dyDescent="0.35">
      <c r="A62" t="s">
        <v>193</v>
      </c>
      <c r="B62" t="s">
        <v>69</v>
      </c>
      <c r="C62" t="s">
        <v>33</v>
      </c>
      <c r="D62" t="s">
        <v>34</v>
      </c>
      <c r="E62" t="s">
        <v>309</v>
      </c>
      <c r="F62" t="s">
        <v>310</v>
      </c>
      <c r="G62" s="20" t="s">
        <v>38</v>
      </c>
      <c r="H62" s="20" t="s">
        <v>39</v>
      </c>
      <c r="I62" t="s">
        <v>70</v>
      </c>
      <c r="J62" t="s">
        <v>70</v>
      </c>
      <c r="K62" t="s">
        <v>332</v>
      </c>
      <c r="L62" t="s">
        <v>197</v>
      </c>
      <c r="N62">
        <v>845</v>
      </c>
      <c r="O62" t="s">
        <v>155</v>
      </c>
      <c r="P62" t="s">
        <v>154</v>
      </c>
      <c r="Q62" t="s">
        <v>214</v>
      </c>
      <c r="R62">
        <v>1</v>
      </c>
      <c r="S62" t="s">
        <v>166</v>
      </c>
      <c r="T62" t="s">
        <v>72</v>
      </c>
      <c r="U62" t="s">
        <v>271</v>
      </c>
      <c r="AD62">
        <v>1</v>
      </c>
      <c r="AE62" s="8"/>
      <c r="AF62" s="18">
        <v>1</v>
      </c>
      <c r="AI62">
        <v>95</v>
      </c>
    </row>
    <row r="63" spans="1:35" x14ac:dyDescent="0.35">
      <c r="A63" t="s">
        <v>193</v>
      </c>
      <c r="B63" t="s">
        <v>69</v>
      </c>
      <c r="C63" t="s">
        <v>33</v>
      </c>
      <c r="D63" t="s">
        <v>34</v>
      </c>
      <c r="E63" t="s">
        <v>309</v>
      </c>
      <c r="F63" t="s">
        <v>310</v>
      </c>
      <c r="G63" s="20" t="s">
        <v>38</v>
      </c>
      <c r="H63" s="20" t="s">
        <v>39</v>
      </c>
      <c r="I63" t="s">
        <v>70</v>
      </c>
      <c r="J63" t="s">
        <v>70</v>
      </c>
      <c r="K63" t="s">
        <v>332</v>
      </c>
      <c r="L63" t="s">
        <v>197</v>
      </c>
      <c r="N63">
        <v>846</v>
      </c>
      <c r="O63" t="s">
        <v>155</v>
      </c>
      <c r="P63" t="s">
        <v>154</v>
      </c>
      <c r="Q63" t="s">
        <v>214</v>
      </c>
      <c r="R63">
        <v>1</v>
      </c>
      <c r="S63" t="s">
        <v>166</v>
      </c>
      <c r="T63" t="s">
        <v>72</v>
      </c>
      <c r="U63" t="s">
        <v>271</v>
      </c>
      <c r="AD63">
        <v>1</v>
      </c>
      <c r="AE63" s="8"/>
      <c r="AF63" s="18">
        <v>1</v>
      </c>
      <c r="AI63">
        <v>96</v>
      </c>
    </row>
    <row r="64" spans="1:35" x14ac:dyDescent="0.35">
      <c r="A64" t="s">
        <v>193</v>
      </c>
      <c r="B64" t="s">
        <v>69</v>
      </c>
      <c r="C64" t="s">
        <v>33</v>
      </c>
      <c r="D64" t="s">
        <v>34</v>
      </c>
      <c r="E64" t="s">
        <v>309</v>
      </c>
      <c r="F64" t="s">
        <v>310</v>
      </c>
      <c r="G64" s="20" t="s">
        <v>38</v>
      </c>
      <c r="H64" s="20" t="s">
        <v>39</v>
      </c>
      <c r="I64" t="s">
        <v>70</v>
      </c>
      <c r="J64" t="s">
        <v>70</v>
      </c>
      <c r="K64" t="s">
        <v>332</v>
      </c>
      <c r="L64" t="s">
        <v>197</v>
      </c>
      <c r="N64">
        <v>847</v>
      </c>
      <c r="O64" t="s">
        <v>155</v>
      </c>
      <c r="P64" t="s">
        <v>154</v>
      </c>
      <c r="Q64" t="s">
        <v>214</v>
      </c>
      <c r="R64">
        <v>1</v>
      </c>
      <c r="S64" t="s">
        <v>166</v>
      </c>
      <c r="T64" t="s">
        <v>72</v>
      </c>
      <c r="U64" t="s">
        <v>271</v>
      </c>
      <c r="AD64">
        <v>1</v>
      </c>
      <c r="AE64" s="8"/>
      <c r="AF64" s="18">
        <v>1</v>
      </c>
      <c r="AI64">
        <v>98</v>
      </c>
    </row>
    <row r="65" spans="1:35" x14ac:dyDescent="0.35">
      <c r="A65" t="s">
        <v>193</v>
      </c>
      <c r="B65" t="s">
        <v>69</v>
      </c>
      <c r="C65" t="s">
        <v>33</v>
      </c>
      <c r="D65" t="s">
        <v>34</v>
      </c>
      <c r="E65" t="s">
        <v>309</v>
      </c>
      <c r="F65" t="s">
        <v>310</v>
      </c>
      <c r="G65" s="20" t="s">
        <v>38</v>
      </c>
      <c r="H65" s="20" t="s">
        <v>39</v>
      </c>
      <c r="I65" t="s">
        <v>70</v>
      </c>
      <c r="J65" t="s">
        <v>70</v>
      </c>
      <c r="K65" t="s">
        <v>332</v>
      </c>
      <c r="L65" t="s">
        <v>197</v>
      </c>
      <c r="N65">
        <v>848</v>
      </c>
      <c r="O65" t="s">
        <v>155</v>
      </c>
      <c r="P65" t="s">
        <v>154</v>
      </c>
      <c r="Q65" t="s">
        <v>214</v>
      </c>
      <c r="R65">
        <v>1</v>
      </c>
      <c r="S65" t="s">
        <v>166</v>
      </c>
      <c r="T65" t="s">
        <v>72</v>
      </c>
      <c r="U65" t="s">
        <v>271</v>
      </c>
      <c r="AD65">
        <v>1</v>
      </c>
      <c r="AE65" s="8"/>
      <c r="AF65" s="18">
        <v>1</v>
      </c>
      <c r="AI65">
        <v>99</v>
      </c>
    </row>
    <row r="66" spans="1:35" x14ac:dyDescent="0.35">
      <c r="A66" t="s">
        <v>193</v>
      </c>
      <c r="B66" t="s">
        <v>69</v>
      </c>
      <c r="C66" t="s">
        <v>33</v>
      </c>
      <c r="D66" t="s">
        <v>34</v>
      </c>
      <c r="E66" t="s">
        <v>309</v>
      </c>
      <c r="F66" t="s">
        <v>310</v>
      </c>
      <c r="G66" s="20" t="s">
        <v>38</v>
      </c>
      <c r="H66" s="20" t="s">
        <v>39</v>
      </c>
      <c r="I66" t="s">
        <v>70</v>
      </c>
      <c r="J66" t="s">
        <v>70</v>
      </c>
      <c r="K66" t="s">
        <v>332</v>
      </c>
      <c r="L66" t="s">
        <v>197</v>
      </c>
      <c r="N66">
        <v>849</v>
      </c>
      <c r="O66" t="s">
        <v>155</v>
      </c>
      <c r="P66" t="s">
        <v>154</v>
      </c>
      <c r="Q66" t="s">
        <v>214</v>
      </c>
      <c r="R66">
        <v>1</v>
      </c>
      <c r="S66" t="s">
        <v>166</v>
      </c>
      <c r="T66" t="s">
        <v>72</v>
      </c>
      <c r="U66" t="s">
        <v>271</v>
      </c>
      <c r="AD66">
        <v>1</v>
      </c>
      <c r="AE66" s="8"/>
      <c r="AF66" s="18">
        <v>1</v>
      </c>
      <c r="AI66">
        <v>100</v>
      </c>
    </row>
    <row r="67" spans="1:35" x14ac:dyDescent="0.35">
      <c r="A67" t="s">
        <v>193</v>
      </c>
      <c r="B67" t="s">
        <v>69</v>
      </c>
      <c r="C67" t="s">
        <v>33</v>
      </c>
      <c r="D67" t="s">
        <v>34</v>
      </c>
      <c r="E67" t="s">
        <v>309</v>
      </c>
      <c r="F67" t="s">
        <v>310</v>
      </c>
      <c r="G67" s="20" t="s">
        <v>38</v>
      </c>
      <c r="H67" s="20" t="s">
        <v>39</v>
      </c>
      <c r="I67" t="s">
        <v>70</v>
      </c>
      <c r="J67" t="s">
        <v>70</v>
      </c>
      <c r="K67" t="s">
        <v>332</v>
      </c>
      <c r="L67" t="s">
        <v>197</v>
      </c>
      <c r="N67">
        <v>850</v>
      </c>
      <c r="O67" t="s">
        <v>155</v>
      </c>
      <c r="P67" t="s">
        <v>154</v>
      </c>
      <c r="Q67" t="s">
        <v>214</v>
      </c>
      <c r="R67">
        <v>1</v>
      </c>
      <c r="S67" t="s">
        <v>166</v>
      </c>
      <c r="T67" t="s">
        <v>72</v>
      </c>
      <c r="U67" t="s">
        <v>271</v>
      </c>
      <c r="AD67">
        <v>1</v>
      </c>
      <c r="AE67" s="8"/>
      <c r="AF67" s="18">
        <v>1</v>
      </c>
      <c r="AI67">
        <v>102</v>
      </c>
    </row>
    <row r="68" spans="1:35" x14ac:dyDescent="0.35">
      <c r="A68" t="s">
        <v>193</v>
      </c>
      <c r="B68" t="s">
        <v>69</v>
      </c>
      <c r="C68" t="s">
        <v>33</v>
      </c>
      <c r="D68" t="s">
        <v>34</v>
      </c>
      <c r="E68" t="s">
        <v>309</v>
      </c>
      <c r="F68" t="s">
        <v>310</v>
      </c>
      <c r="G68" s="20" t="s">
        <v>38</v>
      </c>
      <c r="H68" s="20" t="s">
        <v>39</v>
      </c>
      <c r="I68" t="s">
        <v>70</v>
      </c>
      <c r="J68" t="s">
        <v>70</v>
      </c>
      <c r="K68" t="s">
        <v>332</v>
      </c>
      <c r="L68" t="s">
        <v>197</v>
      </c>
      <c r="N68">
        <v>851</v>
      </c>
      <c r="O68" t="s">
        <v>155</v>
      </c>
      <c r="P68" t="s">
        <v>154</v>
      </c>
      <c r="Q68" t="s">
        <v>214</v>
      </c>
      <c r="R68">
        <v>1</v>
      </c>
      <c r="S68" t="s">
        <v>166</v>
      </c>
      <c r="T68" t="s">
        <v>72</v>
      </c>
      <c r="U68" t="s">
        <v>271</v>
      </c>
      <c r="AD68">
        <v>1</v>
      </c>
      <c r="AE68" s="8"/>
      <c r="AF68" s="18">
        <v>1</v>
      </c>
      <c r="AI68">
        <v>103</v>
      </c>
    </row>
    <row r="69" spans="1:35" x14ac:dyDescent="0.35">
      <c r="A69" t="s">
        <v>193</v>
      </c>
      <c r="B69" t="s">
        <v>69</v>
      </c>
      <c r="C69" t="s">
        <v>33</v>
      </c>
      <c r="D69" t="s">
        <v>34</v>
      </c>
      <c r="E69" t="s">
        <v>309</v>
      </c>
      <c r="F69" t="s">
        <v>310</v>
      </c>
      <c r="G69" s="20" t="s">
        <v>38</v>
      </c>
      <c r="H69" s="20" t="s">
        <v>39</v>
      </c>
      <c r="I69" t="s">
        <v>70</v>
      </c>
      <c r="J69" t="s">
        <v>70</v>
      </c>
      <c r="K69" t="s">
        <v>332</v>
      </c>
      <c r="L69" t="s">
        <v>197</v>
      </c>
      <c r="N69">
        <v>852</v>
      </c>
      <c r="O69" t="s">
        <v>155</v>
      </c>
      <c r="P69" t="s">
        <v>154</v>
      </c>
      <c r="Q69" t="s">
        <v>214</v>
      </c>
      <c r="R69">
        <v>1</v>
      </c>
      <c r="S69" t="s">
        <v>166</v>
      </c>
      <c r="T69" t="s">
        <v>72</v>
      </c>
      <c r="U69" t="s">
        <v>271</v>
      </c>
      <c r="AD69">
        <v>1</v>
      </c>
      <c r="AE69" s="8"/>
      <c r="AF69" s="18">
        <v>1</v>
      </c>
      <c r="AI69">
        <v>104</v>
      </c>
    </row>
    <row r="70" spans="1:35" x14ac:dyDescent="0.35">
      <c r="A70" t="s">
        <v>193</v>
      </c>
      <c r="B70" t="s">
        <v>69</v>
      </c>
      <c r="C70" t="s">
        <v>33</v>
      </c>
      <c r="D70" t="s">
        <v>34</v>
      </c>
      <c r="E70" t="s">
        <v>309</v>
      </c>
      <c r="F70" t="s">
        <v>310</v>
      </c>
      <c r="G70" s="20" t="s">
        <v>38</v>
      </c>
      <c r="H70" s="20" t="s">
        <v>39</v>
      </c>
      <c r="I70" t="s">
        <v>70</v>
      </c>
      <c r="J70" t="s">
        <v>70</v>
      </c>
      <c r="K70" t="s">
        <v>332</v>
      </c>
      <c r="L70" t="s">
        <v>197</v>
      </c>
      <c r="N70">
        <v>853</v>
      </c>
      <c r="O70" t="s">
        <v>155</v>
      </c>
      <c r="P70" t="s">
        <v>154</v>
      </c>
      <c r="Q70" t="s">
        <v>214</v>
      </c>
      <c r="R70">
        <v>1</v>
      </c>
      <c r="S70" t="s">
        <v>166</v>
      </c>
      <c r="T70" t="s">
        <v>72</v>
      </c>
      <c r="U70" t="s">
        <v>271</v>
      </c>
      <c r="AD70">
        <v>1</v>
      </c>
      <c r="AE70" s="8"/>
      <c r="AF70" s="18">
        <v>1</v>
      </c>
      <c r="AI70">
        <v>108</v>
      </c>
    </row>
    <row r="71" spans="1:35" x14ac:dyDescent="0.35">
      <c r="A71" t="s">
        <v>193</v>
      </c>
      <c r="B71" t="s">
        <v>69</v>
      </c>
      <c r="C71" t="s">
        <v>33</v>
      </c>
      <c r="D71" t="s">
        <v>34</v>
      </c>
      <c r="E71" t="s">
        <v>309</v>
      </c>
      <c r="F71" t="s">
        <v>310</v>
      </c>
      <c r="G71" s="20" t="s">
        <v>38</v>
      </c>
      <c r="H71" s="20" t="s">
        <v>39</v>
      </c>
      <c r="I71" t="s">
        <v>70</v>
      </c>
      <c r="J71" t="s">
        <v>70</v>
      </c>
      <c r="K71" t="s">
        <v>332</v>
      </c>
      <c r="L71" t="s">
        <v>197</v>
      </c>
      <c r="N71">
        <v>854</v>
      </c>
      <c r="O71" t="s">
        <v>155</v>
      </c>
      <c r="P71" t="s">
        <v>154</v>
      </c>
      <c r="Q71" t="s">
        <v>214</v>
      </c>
      <c r="R71">
        <v>0</v>
      </c>
      <c r="S71" t="s">
        <v>166</v>
      </c>
      <c r="T71" t="s">
        <v>72</v>
      </c>
      <c r="U71" t="s">
        <v>271</v>
      </c>
      <c r="AF71" s="18">
        <v>1</v>
      </c>
      <c r="AI71">
        <v>110</v>
      </c>
    </row>
    <row r="72" spans="1:35" x14ac:dyDescent="0.35">
      <c r="A72" t="s">
        <v>193</v>
      </c>
      <c r="B72" t="s">
        <v>69</v>
      </c>
      <c r="C72" t="s">
        <v>33</v>
      </c>
      <c r="D72" t="s">
        <v>34</v>
      </c>
      <c r="E72" t="s">
        <v>309</v>
      </c>
      <c r="F72" t="s">
        <v>310</v>
      </c>
      <c r="G72" s="20" t="s">
        <v>38</v>
      </c>
      <c r="H72" s="20" t="s">
        <v>39</v>
      </c>
      <c r="I72" t="s">
        <v>70</v>
      </c>
      <c r="J72" t="s">
        <v>70</v>
      </c>
      <c r="K72" t="s">
        <v>332</v>
      </c>
      <c r="L72" t="s">
        <v>197</v>
      </c>
      <c r="N72">
        <v>855</v>
      </c>
      <c r="O72" t="s">
        <v>155</v>
      </c>
      <c r="P72" t="s">
        <v>154</v>
      </c>
      <c r="Q72" t="s">
        <v>214</v>
      </c>
      <c r="R72">
        <v>1</v>
      </c>
      <c r="S72" t="s">
        <v>166</v>
      </c>
      <c r="T72" t="s">
        <v>72</v>
      </c>
      <c r="U72" t="s">
        <v>271</v>
      </c>
      <c r="AD72">
        <v>1</v>
      </c>
      <c r="AI72">
        <v>112</v>
      </c>
    </row>
    <row r="73" spans="1:35" x14ac:dyDescent="0.35">
      <c r="A73" t="s">
        <v>193</v>
      </c>
      <c r="B73" t="s">
        <v>69</v>
      </c>
      <c r="C73" t="s">
        <v>33</v>
      </c>
      <c r="D73" t="s">
        <v>34</v>
      </c>
      <c r="E73" t="s">
        <v>309</v>
      </c>
      <c r="F73" t="s">
        <v>310</v>
      </c>
      <c r="G73" s="20" t="s">
        <v>38</v>
      </c>
      <c r="H73" s="20" t="s">
        <v>39</v>
      </c>
      <c r="I73" t="s">
        <v>70</v>
      </c>
      <c r="J73" t="s">
        <v>70</v>
      </c>
      <c r="K73" t="s">
        <v>332</v>
      </c>
      <c r="L73" t="s">
        <v>197</v>
      </c>
      <c r="N73">
        <v>856</v>
      </c>
      <c r="O73" t="s">
        <v>155</v>
      </c>
      <c r="P73" t="s">
        <v>154</v>
      </c>
      <c r="Q73" t="s">
        <v>214</v>
      </c>
      <c r="R73">
        <v>1</v>
      </c>
      <c r="S73" t="s">
        <v>166</v>
      </c>
      <c r="T73" t="s">
        <v>72</v>
      </c>
      <c r="U73" t="s">
        <v>271</v>
      </c>
      <c r="AD73">
        <v>1</v>
      </c>
      <c r="AI73">
        <v>113</v>
      </c>
    </row>
    <row r="74" spans="1:35" x14ac:dyDescent="0.35">
      <c r="A74" t="s">
        <v>193</v>
      </c>
      <c r="B74" t="s">
        <v>69</v>
      </c>
      <c r="C74" t="s">
        <v>33</v>
      </c>
      <c r="D74" t="s">
        <v>34</v>
      </c>
      <c r="E74" t="s">
        <v>309</v>
      </c>
      <c r="F74" t="s">
        <v>310</v>
      </c>
      <c r="G74" s="20" t="s">
        <v>38</v>
      </c>
      <c r="H74" s="20" t="s">
        <v>39</v>
      </c>
      <c r="I74" t="s">
        <v>70</v>
      </c>
      <c r="J74" t="s">
        <v>70</v>
      </c>
      <c r="K74" t="s">
        <v>332</v>
      </c>
      <c r="L74" t="s">
        <v>197</v>
      </c>
      <c r="N74">
        <v>857</v>
      </c>
      <c r="O74" t="s">
        <v>155</v>
      </c>
      <c r="P74" t="s">
        <v>154</v>
      </c>
      <c r="Q74" t="s">
        <v>214</v>
      </c>
      <c r="R74">
        <v>1</v>
      </c>
      <c r="S74" t="s">
        <v>166</v>
      </c>
      <c r="T74" t="s">
        <v>72</v>
      </c>
      <c r="U74" t="s">
        <v>271</v>
      </c>
      <c r="AD74">
        <v>1</v>
      </c>
      <c r="AI74">
        <v>114</v>
      </c>
    </row>
    <row r="75" spans="1:35" x14ac:dyDescent="0.35">
      <c r="A75" t="s">
        <v>193</v>
      </c>
      <c r="B75" t="s">
        <v>69</v>
      </c>
      <c r="C75" t="s">
        <v>33</v>
      </c>
      <c r="D75" t="s">
        <v>34</v>
      </c>
      <c r="E75" t="s">
        <v>309</v>
      </c>
      <c r="F75" t="s">
        <v>310</v>
      </c>
      <c r="G75" s="20" t="s">
        <v>38</v>
      </c>
      <c r="H75" s="20" t="s">
        <v>39</v>
      </c>
      <c r="I75" t="s">
        <v>70</v>
      </c>
      <c r="J75" t="s">
        <v>70</v>
      </c>
      <c r="K75" t="s">
        <v>332</v>
      </c>
      <c r="L75" t="s">
        <v>197</v>
      </c>
      <c r="N75">
        <v>863</v>
      </c>
      <c r="O75" t="s">
        <v>155</v>
      </c>
      <c r="P75" t="s">
        <v>154</v>
      </c>
      <c r="Q75" t="s">
        <v>214</v>
      </c>
      <c r="R75">
        <v>1</v>
      </c>
      <c r="S75" t="s">
        <v>166</v>
      </c>
      <c r="T75" t="s">
        <v>72</v>
      </c>
      <c r="U75" t="s">
        <v>271</v>
      </c>
      <c r="AD75">
        <v>1</v>
      </c>
      <c r="AI75">
        <v>115</v>
      </c>
    </row>
    <row r="76" spans="1:35" x14ac:dyDescent="0.35">
      <c r="A76" t="s">
        <v>193</v>
      </c>
      <c r="B76" t="s">
        <v>69</v>
      </c>
      <c r="C76" t="s">
        <v>33</v>
      </c>
      <c r="D76" t="s">
        <v>34</v>
      </c>
      <c r="E76" t="s">
        <v>309</v>
      </c>
      <c r="F76" t="s">
        <v>310</v>
      </c>
      <c r="G76" s="20" t="s">
        <v>38</v>
      </c>
      <c r="H76" s="20" t="s">
        <v>39</v>
      </c>
      <c r="I76" t="s">
        <v>70</v>
      </c>
      <c r="J76" t="s">
        <v>70</v>
      </c>
      <c r="K76" t="s">
        <v>332</v>
      </c>
      <c r="L76" t="s">
        <v>197</v>
      </c>
      <c r="N76">
        <v>864</v>
      </c>
      <c r="O76" t="s">
        <v>155</v>
      </c>
      <c r="P76" t="s">
        <v>154</v>
      </c>
      <c r="Q76" t="s">
        <v>214</v>
      </c>
      <c r="R76">
        <v>1</v>
      </c>
      <c r="S76" t="s">
        <v>166</v>
      </c>
      <c r="T76" t="s">
        <v>72</v>
      </c>
      <c r="U76" t="s">
        <v>271</v>
      </c>
      <c r="AD76">
        <v>1</v>
      </c>
      <c r="AI76">
        <v>116</v>
      </c>
    </row>
    <row r="77" spans="1:35" x14ac:dyDescent="0.35">
      <c r="A77" t="s">
        <v>193</v>
      </c>
      <c r="B77" t="s">
        <v>69</v>
      </c>
      <c r="C77" t="s">
        <v>33</v>
      </c>
      <c r="D77" t="s">
        <v>34</v>
      </c>
      <c r="E77" t="s">
        <v>309</v>
      </c>
      <c r="F77" t="s">
        <v>310</v>
      </c>
      <c r="G77" s="20" t="s">
        <v>38</v>
      </c>
      <c r="H77" s="20" t="s">
        <v>39</v>
      </c>
      <c r="I77" t="s">
        <v>70</v>
      </c>
      <c r="J77" t="s">
        <v>70</v>
      </c>
      <c r="K77" t="s">
        <v>332</v>
      </c>
      <c r="L77" t="s">
        <v>197</v>
      </c>
      <c r="N77">
        <v>865</v>
      </c>
      <c r="O77" t="s">
        <v>155</v>
      </c>
      <c r="P77" t="s">
        <v>154</v>
      </c>
      <c r="Q77" t="s">
        <v>214</v>
      </c>
      <c r="R77">
        <v>1</v>
      </c>
      <c r="S77" t="s">
        <v>166</v>
      </c>
      <c r="T77" t="s">
        <v>72</v>
      </c>
      <c r="U77" t="s">
        <v>271</v>
      </c>
      <c r="AD77">
        <v>1</v>
      </c>
      <c r="AI77">
        <v>118</v>
      </c>
    </row>
    <row r="78" spans="1:35" x14ac:dyDescent="0.35">
      <c r="A78" t="s">
        <v>193</v>
      </c>
      <c r="B78" t="s">
        <v>69</v>
      </c>
      <c r="C78" t="s">
        <v>33</v>
      </c>
      <c r="D78" t="s">
        <v>34</v>
      </c>
      <c r="E78" t="s">
        <v>309</v>
      </c>
      <c r="F78" t="s">
        <v>310</v>
      </c>
      <c r="G78" s="20" t="s">
        <v>38</v>
      </c>
      <c r="H78" s="20" t="s">
        <v>39</v>
      </c>
      <c r="I78" t="s">
        <v>70</v>
      </c>
      <c r="J78" t="s">
        <v>70</v>
      </c>
      <c r="K78" t="s">
        <v>332</v>
      </c>
      <c r="L78" t="s">
        <v>197</v>
      </c>
      <c r="N78">
        <v>883</v>
      </c>
      <c r="O78" t="s">
        <v>155</v>
      </c>
      <c r="P78" t="s">
        <v>223</v>
      </c>
      <c r="Q78" t="s">
        <v>215</v>
      </c>
      <c r="R78">
        <v>1</v>
      </c>
      <c r="S78" t="s">
        <v>166</v>
      </c>
      <c r="T78" t="s">
        <v>72</v>
      </c>
      <c r="U78" t="s">
        <v>271</v>
      </c>
      <c r="AD78">
        <v>1</v>
      </c>
      <c r="AI78">
        <v>124</v>
      </c>
    </row>
    <row r="79" spans="1:35" x14ac:dyDescent="0.35">
      <c r="A79" t="s">
        <v>193</v>
      </c>
      <c r="B79" t="s">
        <v>69</v>
      </c>
      <c r="C79" t="s">
        <v>33</v>
      </c>
      <c r="D79" t="s">
        <v>34</v>
      </c>
      <c r="E79" t="s">
        <v>309</v>
      </c>
      <c r="F79" t="s">
        <v>310</v>
      </c>
      <c r="G79" s="20" t="s">
        <v>38</v>
      </c>
      <c r="H79" s="20" t="s">
        <v>39</v>
      </c>
      <c r="I79" t="s">
        <v>70</v>
      </c>
      <c r="J79" t="s">
        <v>70</v>
      </c>
      <c r="K79" t="s">
        <v>332</v>
      </c>
      <c r="L79" t="s">
        <v>197</v>
      </c>
      <c r="N79">
        <v>884</v>
      </c>
      <c r="O79" t="s">
        <v>155</v>
      </c>
      <c r="P79" t="s">
        <v>223</v>
      </c>
      <c r="Q79" t="s">
        <v>215</v>
      </c>
      <c r="R79">
        <v>1</v>
      </c>
      <c r="S79" t="s">
        <v>166</v>
      </c>
      <c r="T79" t="s">
        <v>72</v>
      </c>
      <c r="U79" t="s">
        <v>271</v>
      </c>
      <c r="AD79">
        <v>1</v>
      </c>
      <c r="AI79">
        <v>129</v>
      </c>
    </row>
    <row r="80" spans="1:35" x14ac:dyDescent="0.35">
      <c r="A80" t="s">
        <v>193</v>
      </c>
      <c r="B80" t="s">
        <v>69</v>
      </c>
      <c r="C80" t="s">
        <v>33</v>
      </c>
      <c r="D80" t="s">
        <v>34</v>
      </c>
      <c r="E80" t="s">
        <v>309</v>
      </c>
      <c r="F80" t="s">
        <v>310</v>
      </c>
      <c r="G80" s="20" t="s">
        <v>38</v>
      </c>
      <c r="H80" s="20" t="s">
        <v>39</v>
      </c>
      <c r="I80" t="s">
        <v>70</v>
      </c>
      <c r="J80" t="s">
        <v>70</v>
      </c>
      <c r="K80" t="s">
        <v>332</v>
      </c>
      <c r="L80" t="s">
        <v>197</v>
      </c>
      <c r="N80">
        <v>885</v>
      </c>
      <c r="O80" t="s">
        <v>155</v>
      </c>
      <c r="P80" t="s">
        <v>223</v>
      </c>
      <c r="Q80" t="s">
        <v>215</v>
      </c>
      <c r="R80">
        <v>1</v>
      </c>
      <c r="S80" t="s">
        <v>166</v>
      </c>
      <c r="T80" t="s">
        <v>72</v>
      </c>
      <c r="U80" t="s">
        <v>271</v>
      </c>
      <c r="AD80">
        <v>1</v>
      </c>
      <c r="AI80">
        <v>130</v>
      </c>
    </row>
    <row r="81" spans="1:35" x14ac:dyDescent="0.35">
      <c r="A81" t="s">
        <v>193</v>
      </c>
      <c r="B81" t="s">
        <v>69</v>
      </c>
      <c r="C81" t="s">
        <v>33</v>
      </c>
      <c r="D81" t="s">
        <v>34</v>
      </c>
      <c r="E81" t="s">
        <v>309</v>
      </c>
      <c r="F81" t="s">
        <v>310</v>
      </c>
      <c r="G81" s="20" t="s">
        <v>38</v>
      </c>
      <c r="H81" s="20" t="s">
        <v>39</v>
      </c>
      <c r="I81" t="s">
        <v>70</v>
      </c>
      <c r="J81" t="s">
        <v>70</v>
      </c>
      <c r="K81" t="s">
        <v>332</v>
      </c>
      <c r="L81" t="s">
        <v>197</v>
      </c>
      <c r="N81">
        <v>907</v>
      </c>
      <c r="O81" t="s">
        <v>155</v>
      </c>
      <c r="P81" t="s">
        <v>154</v>
      </c>
      <c r="Q81" t="s">
        <v>214</v>
      </c>
      <c r="S81" t="s">
        <v>165</v>
      </c>
      <c r="T81" t="s">
        <v>72</v>
      </c>
      <c r="U81" t="s">
        <v>271</v>
      </c>
      <c r="AD81">
        <v>1</v>
      </c>
      <c r="AE81" s="8"/>
      <c r="AF81" s="18">
        <v>1</v>
      </c>
      <c r="AI81">
        <v>106</v>
      </c>
    </row>
    <row r="82" spans="1:35" x14ac:dyDescent="0.35">
      <c r="A82" t="s">
        <v>193</v>
      </c>
      <c r="B82" t="s">
        <v>69</v>
      </c>
      <c r="C82" t="s">
        <v>33</v>
      </c>
      <c r="D82" s="8" t="s">
        <v>65</v>
      </c>
      <c r="F82" t="s">
        <v>194</v>
      </c>
      <c r="G82" t="s">
        <v>195</v>
      </c>
      <c r="H82" t="s">
        <v>7</v>
      </c>
      <c r="I82" t="s">
        <v>259</v>
      </c>
      <c r="J82" t="s">
        <v>65</v>
      </c>
      <c r="K82" t="s">
        <v>333</v>
      </c>
      <c r="L82" s="8" t="s">
        <v>196</v>
      </c>
      <c r="N82">
        <v>355</v>
      </c>
      <c r="O82" t="s">
        <v>155</v>
      </c>
      <c r="P82" t="s">
        <v>222</v>
      </c>
      <c r="Q82" t="s">
        <v>210</v>
      </c>
      <c r="R82" s="9"/>
      <c r="S82" s="3" t="s">
        <v>170</v>
      </c>
      <c r="T82" t="s">
        <v>229</v>
      </c>
      <c r="U82" t="s">
        <v>229</v>
      </c>
      <c r="V82">
        <v>0</v>
      </c>
      <c r="AD82">
        <v>1</v>
      </c>
      <c r="AE82" s="8"/>
      <c r="AF82" s="9">
        <v>1</v>
      </c>
      <c r="AI82">
        <v>43</v>
      </c>
    </row>
    <row r="83" spans="1:35" x14ac:dyDescent="0.35">
      <c r="A83" t="s">
        <v>193</v>
      </c>
      <c r="B83" t="s">
        <v>69</v>
      </c>
      <c r="C83" t="s">
        <v>33</v>
      </c>
      <c r="D83" t="s">
        <v>34</v>
      </c>
      <c r="E83" t="s">
        <v>309</v>
      </c>
      <c r="F83" t="s">
        <v>42</v>
      </c>
      <c r="G83" s="20" t="s">
        <v>151</v>
      </c>
      <c r="H83" s="21" t="s">
        <v>152</v>
      </c>
      <c r="I83" t="s">
        <v>254</v>
      </c>
      <c r="J83" t="s">
        <v>42</v>
      </c>
      <c r="K83" t="s">
        <v>334</v>
      </c>
      <c r="L83" s="9" t="s">
        <v>198</v>
      </c>
      <c r="N83">
        <v>881</v>
      </c>
      <c r="O83" t="s">
        <v>155</v>
      </c>
      <c r="P83" t="s">
        <v>223</v>
      </c>
      <c r="Q83" t="s">
        <v>215</v>
      </c>
      <c r="R83">
        <v>0</v>
      </c>
      <c r="S83" t="s">
        <v>166</v>
      </c>
      <c r="T83" t="s">
        <v>72</v>
      </c>
      <c r="U83" t="s">
        <v>271</v>
      </c>
      <c r="AD83">
        <v>1</v>
      </c>
      <c r="AI83">
        <v>119</v>
      </c>
    </row>
    <row r="84" spans="1:35" x14ac:dyDescent="0.35">
      <c r="A84" t="s">
        <v>193</v>
      </c>
      <c r="B84" t="s">
        <v>69</v>
      </c>
      <c r="C84" t="s">
        <v>33</v>
      </c>
      <c r="D84" t="s">
        <v>34</v>
      </c>
      <c r="E84" t="s">
        <v>309</v>
      </c>
      <c r="F84" t="s">
        <v>42</v>
      </c>
      <c r="G84" s="20" t="s">
        <v>151</v>
      </c>
      <c r="H84" s="21" t="s">
        <v>152</v>
      </c>
      <c r="I84" t="s">
        <v>254</v>
      </c>
      <c r="J84" t="s">
        <v>42</v>
      </c>
      <c r="K84" t="s">
        <v>334</v>
      </c>
      <c r="L84" s="9" t="s">
        <v>198</v>
      </c>
      <c r="N84">
        <v>882</v>
      </c>
      <c r="O84" t="s">
        <v>155</v>
      </c>
      <c r="P84" t="s">
        <v>223</v>
      </c>
      <c r="Q84" t="s">
        <v>215</v>
      </c>
      <c r="R84">
        <v>0</v>
      </c>
      <c r="S84" t="s">
        <v>166</v>
      </c>
      <c r="T84" t="s">
        <v>72</v>
      </c>
      <c r="U84" t="s">
        <v>271</v>
      </c>
      <c r="AD84">
        <v>1</v>
      </c>
      <c r="AI84">
        <v>123</v>
      </c>
    </row>
    <row r="85" spans="1:35" x14ac:dyDescent="0.35">
      <c r="A85" t="s">
        <v>193</v>
      </c>
      <c r="B85" t="s">
        <v>69</v>
      </c>
      <c r="C85" t="s">
        <v>33</v>
      </c>
      <c r="D85" t="s">
        <v>34</v>
      </c>
      <c r="E85" t="s">
        <v>309</v>
      </c>
      <c r="F85" t="s">
        <v>42</v>
      </c>
      <c r="G85" s="20" t="s">
        <v>151</v>
      </c>
      <c r="H85" s="21" t="s">
        <v>152</v>
      </c>
      <c r="I85" t="s">
        <v>254</v>
      </c>
      <c r="J85" t="s">
        <v>42</v>
      </c>
      <c r="K85" t="s">
        <v>334</v>
      </c>
      <c r="L85" s="9" t="s">
        <v>198</v>
      </c>
      <c r="N85">
        <v>908</v>
      </c>
      <c r="O85" t="s">
        <v>155</v>
      </c>
      <c r="P85" t="s">
        <v>223</v>
      </c>
      <c r="Q85" t="s">
        <v>215</v>
      </c>
      <c r="R85">
        <v>0</v>
      </c>
      <c r="S85" t="s">
        <v>165</v>
      </c>
      <c r="T85" t="s">
        <v>72</v>
      </c>
      <c r="U85" t="s">
        <v>271</v>
      </c>
      <c r="AD85">
        <v>1</v>
      </c>
      <c r="AI85">
        <v>125</v>
      </c>
    </row>
    <row r="86" spans="1:35" x14ac:dyDescent="0.35">
      <c r="A86" t="s">
        <v>193</v>
      </c>
      <c r="B86" t="s">
        <v>69</v>
      </c>
      <c r="C86" t="s">
        <v>33</v>
      </c>
      <c r="D86" t="s">
        <v>34</v>
      </c>
      <c r="E86" t="s">
        <v>309</v>
      </c>
      <c r="F86" t="s">
        <v>42</v>
      </c>
      <c r="G86" s="20" t="s">
        <v>151</v>
      </c>
      <c r="H86" s="21" t="s">
        <v>152</v>
      </c>
      <c r="I86" t="s">
        <v>254</v>
      </c>
      <c r="J86" t="s">
        <v>42</v>
      </c>
      <c r="K86" t="s">
        <v>334</v>
      </c>
      <c r="L86" s="9" t="s">
        <v>198</v>
      </c>
      <c r="N86">
        <v>909</v>
      </c>
      <c r="O86" t="s">
        <v>155</v>
      </c>
      <c r="P86" t="s">
        <v>154</v>
      </c>
      <c r="Q86" t="s">
        <v>214</v>
      </c>
      <c r="R86">
        <v>1</v>
      </c>
      <c r="S86" t="s">
        <v>204</v>
      </c>
      <c r="T86" t="s">
        <v>230</v>
      </c>
      <c r="U86" t="s">
        <v>271</v>
      </c>
      <c r="AD86">
        <v>1</v>
      </c>
      <c r="AE86" s="8"/>
      <c r="AF86" s="18">
        <v>1</v>
      </c>
      <c r="AI86">
        <v>92</v>
      </c>
    </row>
    <row r="87" spans="1:35" x14ac:dyDescent="0.35">
      <c r="A87" t="s">
        <v>193</v>
      </c>
      <c r="B87" t="s">
        <v>69</v>
      </c>
      <c r="C87" t="s">
        <v>33</v>
      </c>
      <c r="D87" t="s">
        <v>34</v>
      </c>
      <c r="E87" t="s">
        <v>309</v>
      </c>
      <c r="F87" t="s">
        <v>42</v>
      </c>
      <c r="G87" s="20" t="s">
        <v>151</v>
      </c>
      <c r="H87" s="21" t="s">
        <v>152</v>
      </c>
      <c r="I87" t="s">
        <v>254</v>
      </c>
      <c r="J87" t="s">
        <v>42</v>
      </c>
      <c r="K87" t="s">
        <v>334</v>
      </c>
      <c r="L87" s="9" t="s">
        <v>198</v>
      </c>
      <c r="N87">
        <v>910</v>
      </c>
      <c r="O87" t="s">
        <v>155</v>
      </c>
      <c r="P87" t="s">
        <v>154</v>
      </c>
      <c r="Q87" t="s">
        <v>214</v>
      </c>
      <c r="R87">
        <v>1</v>
      </c>
      <c r="S87" t="s">
        <v>204</v>
      </c>
      <c r="T87" t="s">
        <v>230</v>
      </c>
      <c r="U87" t="s">
        <v>271</v>
      </c>
      <c r="AD87">
        <v>1</v>
      </c>
      <c r="AE87" s="8"/>
      <c r="AF87" s="18">
        <v>1</v>
      </c>
      <c r="AI87">
        <v>93</v>
      </c>
    </row>
    <row r="88" spans="1:35" x14ac:dyDescent="0.35">
      <c r="A88" t="s">
        <v>193</v>
      </c>
      <c r="B88" t="s">
        <v>69</v>
      </c>
      <c r="C88" t="s">
        <v>33</v>
      </c>
      <c r="D88" t="s">
        <v>34</v>
      </c>
      <c r="E88" t="s">
        <v>309</v>
      </c>
      <c r="F88" t="s">
        <v>42</v>
      </c>
      <c r="G88" s="20" t="s">
        <v>151</v>
      </c>
      <c r="H88" s="21" t="s">
        <v>152</v>
      </c>
      <c r="I88" t="s">
        <v>254</v>
      </c>
      <c r="J88" t="s">
        <v>42</v>
      </c>
      <c r="K88" t="s">
        <v>334</v>
      </c>
      <c r="L88" s="9" t="s">
        <v>198</v>
      </c>
      <c r="N88">
        <v>911</v>
      </c>
      <c r="O88" t="s">
        <v>155</v>
      </c>
      <c r="P88" t="s">
        <v>154</v>
      </c>
      <c r="Q88" t="s">
        <v>214</v>
      </c>
      <c r="R88">
        <v>0</v>
      </c>
      <c r="S88" t="s">
        <v>204</v>
      </c>
      <c r="T88" t="s">
        <v>230</v>
      </c>
      <c r="U88" t="s">
        <v>271</v>
      </c>
      <c r="AD88">
        <v>1</v>
      </c>
      <c r="AE88" s="8"/>
      <c r="AF88" s="18">
        <v>1</v>
      </c>
      <c r="AI88">
        <v>105</v>
      </c>
    </row>
    <row r="89" spans="1:35" x14ac:dyDescent="0.35">
      <c r="A89" t="s">
        <v>193</v>
      </c>
      <c r="B89" t="s">
        <v>69</v>
      </c>
      <c r="C89" t="s">
        <v>33</v>
      </c>
      <c r="D89" t="s">
        <v>34</v>
      </c>
      <c r="E89" t="s">
        <v>309</v>
      </c>
      <c r="F89" t="s">
        <v>42</v>
      </c>
      <c r="G89" s="20" t="s">
        <v>151</v>
      </c>
      <c r="H89" s="21" t="s">
        <v>152</v>
      </c>
      <c r="I89" t="s">
        <v>254</v>
      </c>
      <c r="J89" t="s">
        <v>42</v>
      </c>
      <c r="K89" t="s">
        <v>334</v>
      </c>
      <c r="L89" s="9" t="s">
        <v>198</v>
      </c>
      <c r="N89">
        <v>912</v>
      </c>
      <c r="O89" t="s">
        <v>155</v>
      </c>
      <c r="P89" t="s">
        <v>154</v>
      </c>
      <c r="Q89" t="s">
        <v>214</v>
      </c>
      <c r="R89">
        <v>1</v>
      </c>
      <c r="S89" t="s">
        <v>204</v>
      </c>
      <c r="T89" t="s">
        <v>230</v>
      </c>
      <c r="U89" t="s">
        <v>271</v>
      </c>
      <c r="AD89">
        <v>1</v>
      </c>
      <c r="AE89" s="8"/>
      <c r="AF89" s="18">
        <v>1</v>
      </c>
      <c r="AI89">
        <v>109</v>
      </c>
    </row>
    <row r="90" spans="1:35" x14ac:dyDescent="0.35">
      <c r="A90" t="s">
        <v>193</v>
      </c>
      <c r="B90" t="s">
        <v>69</v>
      </c>
      <c r="C90" t="s">
        <v>33</v>
      </c>
      <c r="D90" t="s">
        <v>34</v>
      </c>
      <c r="E90" t="s">
        <v>309</v>
      </c>
      <c r="F90" t="s">
        <v>42</v>
      </c>
      <c r="G90" s="20" t="s">
        <v>151</v>
      </c>
      <c r="H90" s="21" t="s">
        <v>152</v>
      </c>
      <c r="I90" t="s">
        <v>254</v>
      </c>
      <c r="J90" t="s">
        <v>42</v>
      </c>
      <c r="K90" t="s">
        <v>334</v>
      </c>
      <c r="L90" s="9" t="s">
        <v>198</v>
      </c>
      <c r="N90">
        <v>913</v>
      </c>
      <c r="O90" t="s">
        <v>155</v>
      </c>
      <c r="P90" t="s">
        <v>223</v>
      </c>
      <c r="Q90" t="s">
        <v>215</v>
      </c>
      <c r="R90">
        <v>0</v>
      </c>
      <c r="S90" t="s">
        <v>204</v>
      </c>
      <c r="T90" t="s">
        <v>230</v>
      </c>
      <c r="U90" t="s">
        <v>271</v>
      </c>
      <c r="AD90">
        <v>1</v>
      </c>
      <c r="AI90">
        <v>126</v>
      </c>
    </row>
    <row r="91" spans="1:35" x14ac:dyDescent="0.35">
      <c r="A91" t="s">
        <v>193</v>
      </c>
      <c r="B91" t="s">
        <v>69</v>
      </c>
      <c r="C91" t="s">
        <v>33</v>
      </c>
      <c r="D91" t="s">
        <v>34</v>
      </c>
      <c r="E91" t="s">
        <v>309</v>
      </c>
      <c r="F91" t="s">
        <v>42</v>
      </c>
      <c r="G91" s="20" t="s">
        <v>151</v>
      </c>
      <c r="H91" s="21" t="s">
        <v>152</v>
      </c>
      <c r="I91" t="s">
        <v>254</v>
      </c>
      <c r="J91" t="s">
        <v>42</v>
      </c>
      <c r="K91" t="s">
        <v>334</v>
      </c>
      <c r="L91" s="9" t="s">
        <v>198</v>
      </c>
      <c r="N91">
        <v>922</v>
      </c>
      <c r="O91" t="s">
        <v>155</v>
      </c>
      <c r="P91" t="s">
        <v>154</v>
      </c>
      <c r="Q91" t="s">
        <v>208</v>
      </c>
      <c r="R91" s="9">
        <v>1</v>
      </c>
      <c r="S91" s="9" t="s">
        <v>200</v>
      </c>
      <c r="T91" t="s">
        <v>230</v>
      </c>
      <c r="U91" t="s">
        <v>271</v>
      </c>
      <c r="AD91">
        <v>1</v>
      </c>
      <c r="AE91" s="8"/>
      <c r="AF91" s="17">
        <v>2</v>
      </c>
      <c r="AI91">
        <v>17</v>
      </c>
    </row>
    <row r="92" spans="1:35" x14ac:dyDescent="0.35">
      <c r="A92" t="s">
        <v>91</v>
      </c>
      <c r="B92" t="s">
        <v>24</v>
      </c>
      <c r="C92" t="s">
        <v>33</v>
      </c>
      <c r="D92" t="s">
        <v>34</v>
      </c>
      <c r="E92" t="s">
        <v>309</v>
      </c>
      <c r="F92" t="s">
        <v>308</v>
      </c>
      <c r="G92" s="20" t="s">
        <v>35</v>
      </c>
      <c r="H92" t="s">
        <v>7</v>
      </c>
      <c r="I92" t="s">
        <v>237</v>
      </c>
      <c r="J92" t="s">
        <v>237</v>
      </c>
      <c r="K92" t="s">
        <v>331</v>
      </c>
      <c r="L92" t="s">
        <v>36</v>
      </c>
      <c r="M92" t="s">
        <v>36</v>
      </c>
      <c r="N92">
        <v>131</v>
      </c>
      <c r="O92" t="s">
        <v>119</v>
      </c>
      <c r="P92" t="s">
        <v>37</v>
      </c>
      <c r="Q92" s="4">
        <v>44728</v>
      </c>
      <c r="R92">
        <v>1</v>
      </c>
      <c r="S92" t="s">
        <v>107</v>
      </c>
      <c r="T92" t="s">
        <v>107</v>
      </c>
      <c r="U92" t="s">
        <v>271</v>
      </c>
      <c r="V92">
        <v>0</v>
      </c>
      <c r="AD92">
        <v>1</v>
      </c>
      <c r="AF92" s="18">
        <v>1</v>
      </c>
      <c r="AI92">
        <v>8</v>
      </c>
    </row>
    <row r="93" spans="1:35" x14ac:dyDescent="0.35">
      <c r="A93" t="s">
        <v>91</v>
      </c>
      <c r="B93" t="s">
        <v>24</v>
      </c>
      <c r="C93" t="s">
        <v>33</v>
      </c>
      <c r="D93" t="s">
        <v>34</v>
      </c>
      <c r="E93" t="s">
        <v>309</v>
      </c>
      <c r="F93" t="s">
        <v>308</v>
      </c>
      <c r="G93" s="20" t="s">
        <v>35</v>
      </c>
      <c r="H93" t="s">
        <v>7</v>
      </c>
      <c r="I93" t="s">
        <v>237</v>
      </c>
      <c r="J93" t="s">
        <v>237</v>
      </c>
      <c r="K93" t="s">
        <v>331</v>
      </c>
      <c r="L93" t="s">
        <v>36</v>
      </c>
      <c r="M93" t="s">
        <v>36</v>
      </c>
      <c r="N93">
        <v>132</v>
      </c>
      <c r="O93" t="s">
        <v>119</v>
      </c>
      <c r="P93" t="s">
        <v>37</v>
      </c>
      <c r="Q93" s="4">
        <v>44728</v>
      </c>
      <c r="R93">
        <v>1</v>
      </c>
      <c r="S93" t="s">
        <v>107</v>
      </c>
      <c r="T93" t="s">
        <v>107</v>
      </c>
      <c r="U93" t="s">
        <v>271</v>
      </c>
      <c r="V93">
        <v>0</v>
      </c>
      <c r="AD93">
        <v>1</v>
      </c>
      <c r="AF93" s="18">
        <v>1</v>
      </c>
      <c r="AI93">
        <v>9</v>
      </c>
    </row>
    <row r="94" spans="1:35" x14ac:dyDescent="0.35">
      <c r="A94" t="s">
        <v>91</v>
      </c>
      <c r="B94" t="s">
        <v>24</v>
      </c>
      <c r="C94" t="s">
        <v>33</v>
      </c>
      <c r="D94" t="s">
        <v>57</v>
      </c>
      <c r="H94" s="22" t="s">
        <v>322</v>
      </c>
      <c r="I94" t="s">
        <v>258</v>
      </c>
      <c r="J94" t="s">
        <v>65</v>
      </c>
      <c r="K94" t="s">
        <v>333</v>
      </c>
      <c r="L94" t="s">
        <v>196</v>
      </c>
      <c r="M94" t="s">
        <v>113</v>
      </c>
      <c r="N94">
        <v>526</v>
      </c>
      <c r="O94" t="s">
        <v>119</v>
      </c>
      <c r="P94" t="s">
        <v>37</v>
      </c>
      <c r="Q94" s="4">
        <v>44728</v>
      </c>
      <c r="R94">
        <v>0</v>
      </c>
      <c r="S94" t="s">
        <v>171</v>
      </c>
      <c r="T94" t="s">
        <v>72</v>
      </c>
      <c r="U94" t="s">
        <v>271</v>
      </c>
      <c r="V94">
        <v>0</v>
      </c>
      <c r="AD94">
        <v>1</v>
      </c>
      <c r="AF94" s="18">
        <v>1</v>
      </c>
      <c r="AI94">
        <v>37</v>
      </c>
    </row>
    <row r="95" spans="1:35" x14ac:dyDescent="0.35">
      <c r="A95" t="s">
        <v>91</v>
      </c>
      <c r="B95" t="s">
        <v>24</v>
      </c>
      <c r="C95" t="s">
        <v>33</v>
      </c>
      <c r="D95" t="s">
        <v>65</v>
      </c>
      <c r="E95" t="s">
        <v>58</v>
      </c>
      <c r="G95" s="20" t="s">
        <v>307</v>
      </c>
      <c r="H95" t="s">
        <v>7</v>
      </c>
      <c r="I95" t="s">
        <v>323</v>
      </c>
      <c r="J95" t="s">
        <v>65</v>
      </c>
      <c r="K95" t="s">
        <v>333</v>
      </c>
      <c r="L95" t="s">
        <v>196</v>
      </c>
      <c r="M95" t="s">
        <v>59</v>
      </c>
      <c r="N95">
        <v>351</v>
      </c>
      <c r="O95" t="s">
        <v>119</v>
      </c>
      <c r="P95" t="s">
        <v>37</v>
      </c>
      <c r="Q95" s="4">
        <v>44728</v>
      </c>
      <c r="R95">
        <v>1</v>
      </c>
      <c r="S95" t="s">
        <v>74</v>
      </c>
      <c r="T95" t="s">
        <v>229</v>
      </c>
      <c r="U95" t="s">
        <v>229</v>
      </c>
      <c r="V95">
        <v>0</v>
      </c>
      <c r="AD95">
        <v>1</v>
      </c>
      <c r="AF95">
        <v>7</v>
      </c>
      <c r="AI95">
        <v>39</v>
      </c>
    </row>
    <row r="96" spans="1:35" x14ac:dyDescent="0.35">
      <c r="A96" t="s">
        <v>91</v>
      </c>
      <c r="B96" t="s">
        <v>24</v>
      </c>
      <c r="C96" t="s">
        <v>33</v>
      </c>
      <c r="D96" t="s">
        <v>65</v>
      </c>
      <c r="E96" t="s">
        <v>58</v>
      </c>
      <c r="G96" s="20" t="s">
        <v>307</v>
      </c>
      <c r="H96" t="s">
        <v>7</v>
      </c>
      <c r="I96" t="s">
        <v>323</v>
      </c>
      <c r="J96" t="s">
        <v>65</v>
      </c>
      <c r="K96" t="s">
        <v>333</v>
      </c>
      <c r="L96" t="s">
        <v>196</v>
      </c>
      <c r="M96" t="s">
        <v>59</v>
      </c>
      <c r="N96">
        <v>352</v>
      </c>
      <c r="O96" t="s">
        <v>119</v>
      </c>
      <c r="P96" t="s">
        <v>37</v>
      </c>
      <c r="Q96" s="4">
        <v>44728</v>
      </c>
      <c r="R96">
        <v>1</v>
      </c>
      <c r="S96" t="s">
        <v>170</v>
      </c>
      <c r="T96" t="s">
        <v>229</v>
      </c>
      <c r="U96" t="s">
        <v>229</v>
      </c>
      <c r="V96">
        <v>0</v>
      </c>
      <c r="AD96">
        <v>1</v>
      </c>
      <c r="AF96">
        <v>7</v>
      </c>
      <c r="AI96">
        <v>40</v>
      </c>
    </row>
    <row r="97" spans="1:35" x14ac:dyDescent="0.35">
      <c r="A97" t="s">
        <v>91</v>
      </c>
      <c r="B97" t="s">
        <v>24</v>
      </c>
      <c r="C97" t="s">
        <v>33</v>
      </c>
      <c r="D97" t="s">
        <v>65</v>
      </c>
      <c r="E97" t="s">
        <v>58</v>
      </c>
      <c r="G97" s="20" t="s">
        <v>307</v>
      </c>
      <c r="H97" t="s">
        <v>7</v>
      </c>
      <c r="I97" t="s">
        <v>323</v>
      </c>
      <c r="J97" t="s">
        <v>65</v>
      </c>
      <c r="K97" t="s">
        <v>333</v>
      </c>
      <c r="L97" t="s">
        <v>196</v>
      </c>
      <c r="M97" t="s">
        <v>59</v>
      </c>
      <c r="N97">
        <v>353</v>
      </c>
      <c r="O97" t="s">
        <v>119</v>
      </c>
      <c r="P97" t="s">
        <v>37</v>
      </c>
      <c r="Q97" s="4">
        <v>44728</v>
      </c>
      <c r="R97">
        <v>1</v>
      </c>
      <c r="S97" t="s">
        <v>170</v>
      </c>
      <c r="T97" t="s">
        <v>229</v>
      </c>
      <c r="U97" t="s">
        <v>229</v>
      </c>
      <c r="V97">
        <v>0</v>
      </c>
      <c r="AD97">
        <v>1</v>
      </c>
      <c r="AF97">
        <v>7</v>
      </c>
      <c r="AI97">
        <v>41</v>
      </c>
    </row>
    <row r="98" spans="1:35" x14ac:dyDescent="0.35">
      <c r="A98" t="s">
        <v>91</v>
      </c>
      <c r="B98" t="s">
        <v>24</v>
      </c>
      <c r="C98" t="s">
        <v>33</v>
      </c>
      <c r="D98" t="s">
        <v>65</v>
      </c>
      <c r="E98" t="s">
        <v>58</v>
      </c>
      <c r="G98" s="20" t="s">
        <v>307</v>
      </c>
      <c r="H98" t="s">
        <v>7</v>
      </c>
      <c r="I98" t="s">
        <v>323</v>
      </c>
      <c r="J98" t="s">
        <v>65</v>
      </c>
      <c r="K98" t="s">
        <v>333</v>
      </c>
      <c r="L98" t="s">
        <v>196</v>
      </c>
      <c r="M98" t="s">
        <v>59</v>
      </c>
      <c r="N98">
        <v>354</v>
      </c>
      <c r="O98" t="s">
        <v>119</v>
      </c>
      <c r="P98" t="s">
        <v>37</v>
      </c>
      <c r="Q98" s="4">
        <v>44728</v>
      </c>
      <c r="R98">
        <v>1</v>
      </c>
      <c r="S98" s="3" t="s">
        <v>170</v>
      </c>
      <c r="T98" t="s">
        <v>229</v>
      </c>
      <c r="U98" t="s">
        <v>229</v>
      </c>
      <c r="V98">
        <v>0</v>
      </c>
      <c r="AD98">
        <v>1</v>
      </c>
      <c r="AF98">
        <v>7</v>
      </c>
      <c r="AI98">
        <v>42</v>
      </c>
    </row>
    <row r="99" spans="1:35" x14ac:dyDescent="0.35">
      <c r="A99" t="s">
        <v>91</v>
      </c>
      <c r="B99" t="s">
        <v>24</v>
      </c>
      <c r="C99" t="s">
        <v>33</v>
      </c>
      <c r="D99" t="s">
        <v>65</v>
      </c>
      <c r="E99" t="s">
        <v>58</v>
      </c>
      <c r="G99" s="20" t="s">
        <v>60</v>
      </c>
      <c r="H99" t="s">
        <v>7</v>
      </c>
      <c r="I99" t="s">
        <v>247</v>
      </c>
      <c r="J99" t="s">
        <v>65</v>
      </c>
      <c r="K99" t="s">
        <v>333</v>
      </c>
      <c r="L99" t="s">
        <v>196</v>
      </c>
      <c r="M99" t="s">
        <v>61</v>
      </c>
      <c r="N99">
        <v>361</v>
      </c>
      <c r="O99" t="s">
        <v>119</v>
      </c>
      <c r="P99" t="s">
        <v>56</v>
      </c>
      <c r="Q99" s="4">
        <v>44734</v>
      </c>
      <c r="R99">
        <v>1</v>
      </c>
      <c r="S99" t="s">
        <v>171</v>
      </c>
      <c r="T99" t="s">
        <v>72</v>
      </c>
      <c r="U99" t="s">
        <v>271</v>
      </c>
      <c r="V99">
        <v>0</v>
      </c>
      <c r="AD99">
        <v>1</v>
      </c>
      <c r="AF99">
        <v>13</v>
      </c>
      <c r="AI99">
        <v>48</v>
      </c>
    </row>
    <row r="100" spans="1:35" x14ac:dyDescent="0.35">
      <c r="A100" t="s">
        <v>91</v>
      </c>
      <c r="B100" t="s">
        <v>24</v>
      </c>
      <c r="C100" t="s">
        <v>33</v>
      </c>
      <c r="D100" t="s">
        <v>65</v>
      </c>
      <c r="E100" t="s">
        <v>58</v>
      </c>
      <c r="G100" s="20" t="s">
        <v>60</v>
      </c>
      <c r="H100" t="s">
        <v>7</v>
      </c>
      <c r="I100" t="s">
        <v>247</v>
      </c>
      <c r="J100" t="s">
        <v>65</v>
      </c>
      <c r="K100" t="s">
        <v>333</v>
      </c>
      <c r="L100" t="s">
        <v>196</v>
      </c>
      <c r="M100" t="s">
        <v>61</v>
      </c>
      <c r="N100">
        <v>362</v>
      </c>
      <c r="O100" t="s">
        <v>119</v>
      </c>
      <c r="P100" t="s">
        <v>56</v>
      </c>
      <c r="Q100" s="4">
        <v>44734</v>
      </c>
      <c r="R100">
        <v>1</v>
      </c>
      <c r="S100" t="s">
        <v>171</v>
      </c>
      <c r="T100" t="s">
        <v>72</v>
      </c>
      <c r="U100" t="s">
        <v>271</v>
      </c>
      <c r="V100">
        <v>0</v>
      </c>
      <c r="AD100">
        <v>1</v>
      </c>
      <c r="AF100">
        <v>13</v>
      </c>
      <c r="AI100">
        <v>49</v>
      </c>
    </row>
    <row r="101" spans="1:35" x14ac:dyDescent="0.35">
      <c r="A101" t="s">
        <v>91</v>
      </c>
      <c r="B101" t="s">
        <v>24</v>
      </c>
      <c r="C101" t="s">
        <v>33</v>
      </c>
      <c r="D101" t="s">
        <v>65</v>
      </c>
      <c r="E101" t="s">
        <v>58</v>
      </c>
      <c r="G101" s="20" t="s">
        <v>60</v>
      </c>
      <c r="H101" t="s">
        <v>7</v>
      </c>
      <c r="I101" t="s">
        <v>247</v>
      </c>
      <c r="J101" t="s">
        <v>65</v>
      </c>
      <c r="K101" t="s">
        <v>333</v>
      </c>
      <c r="L101" t="s">
        <v>196</v>
      </c>
      <c r="M101" t="s">
        <v>61</v>
      </c>
      <c r="N101">
        <v>363</v>
      </c>
      <c r="O101" t="s">
        <v>119</v>
      </c>
      <c r="P101" t="s">
        <v>56</v>
      </c>
      <c r="Q101" s="4">
        <v>44734</v>
      </c>
      <c r="R101">
        <v>1</v>
      </c>
      <c r="S101" t="s">
        <v>171</v>
      </c>
      <c r="T101" t="s">
        <v>72</v>
      </c>
      <c r="U101" t="s">
        <v>271</v>
      </c>
      <c r="V101">
        <v>0</v>
      </c>
      <c r="AD101">
        <v>1</v>
      </c>
      <c r="AF101">
        <v>13</v>
      </c>
      <c r="AI101">
        <v>50</v>
      </c>
    </row>
    <row r="102" spans="1:35" x14ac:dyDescent="0.35">
      <c r="A102" t="s">
        <v>91</v>
      </c>
      <c r="B102" t="s">
        <v>24</v>
      </c>
      <c r="C102" t="s">
        <v>33</v>
      </c>
      <c r="D102" t="s">
        <v>52</v>
      </c>
      <c r="E102" t="s">
        <v>53</v>
      </c>
      <c r="G102" t="s">
        <v>54</v>
      </c>
      <c r="H102" t="s">
        <v>7</v>
      </c>
      <c r="I102" t="s">
        <v>249</v>
      </c>
      <c r="J102" t="s">
        <v>249</v>
      </c>
      <c r="K102" t="s">
        <v>332</v>
      </c>
      <c r="L102" t="s">
        <v>268</v>
      </c>
      <c r="M102" t="s">
        <v>55</v>
      </c>
      <c r="N102">
        <v>347</v>
      </c>
      <c r="O102" t="s">
        <v>119</v>
      </c>
      <c r="P102" t="s">
        <v>56</v>
      </c>
      <c r="Q102" s="4">
        <v>44734</v>
      </c>
      <c r="R102">
        <v>0</v>
      </c>
      <c r="S102" t="s">
        <v>74</v>
      </c>
      <c r="T102" t="s">
        <v>229</v>
      </c>
      <c r="U102" t="s">
        <v>229</v>
      </c>
      <c r="V102">
        <v>0</v>
      </c>
      <c r="AD102">
        <v>1</v>
      </c>
      <c r="AF102">
        <v>17</v>
      </c>
      <c r="AI102">
        <v>52</v>
      </c>
    </row>
    <row r="103" spans="1:35" x14ac:dyDescent="0.35">
      <c r="A103" t="s">
        <v>91</v>
      </c>
      <c r="B103" t="s">
        <v>24</v>
      </c>
      <c r="C103" t="s">
        <v>33</v>
      </c>
      <c r="D103" t="s">
        <v>52</v>
      </c>
      <c r="E103" t="s">
        <v>53</v>
      </c>
      <c r="G103" t="s">
        <v>54</v>
      </c>
      <c r="H103" t="s">
        <v>7</v>
      </c>
      <c r="I103" t="s">
        <v>249</v>
      </c>
      <c r="J103" t="s">
        <v>249</v>
      </c>
      <c r="K103" t="s">
        <v>332</v>
      </c>
      <c r="L103" t="s">
        <v>268</v>
      </c>
      <c r="M103" t="s">
        <v>55</v>
      </c>
      <c r="N103">
        <v>348</v>
      </c>
      <c r="O103" t="s">
        <v>119</v>
      </c>
      <c r="P103" t="s">
        <v>56</v>
      </c>
      <c r="Q103" s="4">
        <v>44734</v>
      </c>
      <c r="R103">
        <v>1</v>
      </c>
      <c r="S103" t="s">
        <v>74</v>
      </c>
      <c r="T103" t="s">
        <v>229</v>
      </c>
      <c r="U103" t="s">
        <v>229</v>
      </c>
      <c r="V103">
        <v>0</v>
      </c>
      <c r="AD103">
        <v>1</v>
      </c>
      <c r="AF103">
        <v>15</v>
      </c>
      <c r="AI103">
        <v>53</v>
      </c>
    </row>
    <row r="104" spans="1:35" x14ac:dyDescent="0.35">
      <c r="A104" t="s">
        <v>91</v>
      </c>
      <c r="B104" t="s">
        <v>24</v>
      </c>
      <c r="C104" t="s">
        <v>33</v>
      </c>
      <c r="D104" t="s">
        <v>65</v>
      </c>
      <c r="E104" t="s">
        <v>62</v>
      </c>
      <c r="F104" t="s">
        <v>316</v>
      </c>
      <c r="G104" s="20" t="s">
        <v>314</v>
      </c>
      <c r="H104" s="20" t="s">
        <v>63</v>
      </c>
      <c r="I104" t="s">
        <v>317</v>
      </c>
      <c r="J104" t="s">
        <v>65</v>
      </c>
      <c r="K104" t="s">
        <v>333</v>
      </c>
      <c r="L104" t="s">
        <v>196</v>
      </c>
      <c r="M104" t="s">
        <v>64</v>
      </c>
      <c r="N104">
        <v>365</v>
      </c>
      <c r="O104" t="s">
        <v>119</v>
      </c>
      <c r="P104" t="s">
        <v>41</v>
      </c>
      <c r="Q104" s="4">
        <v>44707</v>
      </c>
      <c r="S104" t="s">
        <v>171</v>
      </c>
      <c r="T104" t="s">
        <v>72</v>
      </c>
      <c r="U104" t="s">
        <v>271</v>
      </c>
      <c r="V104">
        <v>0</v>
      </c>
      <c r="AD104">
        <v>1</v>
      </c>
      <c r="AF104">
        <v>36</v>
      </c>
      <c r="AI104">
        <v>54</v>
      </c>
    </row>
    <row r="105" spans="1:35" x14ac:dyDescent="0.35">
      <c r="A105" t="s">
        <v>91</v>
      </c>
      <c r="B105" t="s">
        <v>24</v>
      </c>
      <c r="C105" t="s">
        <v>33</v>
      </c>
      <c r="D105" t="s">
        <v>65</v>
      </c>
      <c r="E105" t="s">
        <v>62</v>
      </c>
      <c r="F105" t="s">
        <v>316</v>
      </c>
      <c r="G105" s="20" t="s">
        <v>314</v>
      </c>
      <c r="H105" s="20" t="s">
        <v>63</v>
      </c>
      <c r="I105" t="s">
        <v>317</v>
      </c>
      <c r="J105" t="s">
        <v>65</v>
      </c>
      <c r="K105" t="s">
        <v>333</v>
      </c>
      <c r="L105" t="s">
        <v>196</v>
      </c>
      <c r="M105" t="s">
        <v>64</v>
      </c>
      <c r="N105">
        <v>370</v>
      </c>
      <c r="O105" t="s">
        <v>119</v>
      </c>
      <c r="P105" t="s">
        <v>30</v>
      </c>
      <c r="Q105" s="4">
        <v>44714</v>
      </c>
      <c r="R105">
        <v>0</v>
      </c>
      <c r="S105" t="s">
        <v>171</v>
      </c>
      <c r="T105" t="s">
        <v>72</v>
      </c>
      <c r="U105" t="s">
        <v>271</v>
      </c>
      <c r="V105">
        <v>0</v>
      </c>
      <c r="AD105">
        <v>1</v>
      </c>
      <c r="AF105">
        <v>19</v>
      </c>
      <c r="AI105">
        <v>57</v>
      </c>
    </row>
    <row r="106" spans="1:35" x14ac:dyDescent="0.35">
      <c r="A106" t="s">
        <v>91</v>
      </c>
      <c r="B106" t="s">
        <v>24</v>
      </c>
      <c r="C106" t="s">
        <v>33</v>
      </c>
      <c r="D106" t="s">
        <v>34</v>
      </c>
      <c r="E106" t="s">
        <v>309</v>
      </c>
      <c r="F106" t="s">
        <v>42</v>
      </c>
      <c r="G106" s="20" t="s">
        <v>43</v>
      </c>
      <c r="H106" t="s">
        <v>7</v>
      </c>
      <c r="I106" t="s">
        <v>253</v>
      </c>
      <c r="J106" t="s">
        <v>42</v>
      </c>
      <c r="K106" t="s">
        <v>334</v>
      </c>
      <c r="L106" t="s">
        <v>44</v>
      </c>
      <c r="M106" t="s">
        <v>45</v>
      </c>
      <c r="N106">
        <v>184</v>
      </c>
      <c r="O106" t="s">
        <v>119</v>
      </c>
      <c r="P106" t="s">
        <v>41</v>
      </c>
      <c r="Q106" s="4">
        <v>44707</v>
      </c>
      <c r="S106" t="s">
        <v>107</v>
      </c>
      <c r="T106" t="s">
        <v>107</v>
      </c>
      <c r="U106" t="s">
        <v>271</v>
      </c>
      <c r="V106">
        <v>0</v>
      </c>
      <c r="AD106">
        <v>1</v>
      </c>
      <c r="AF106">
        <v>31</v>
      </c>
      <c r="AI106">
        <v>87</v>
      </c>
    </row>
    <row r="107" spans="1:35" x14ac:dyDescent="0.35">
      <c r="A107" t="s">
        <v>91</v>
      </c>
      <c r="B107" t="s">
        <v>24</v>
      </c>
      <c r="C107" t="s">
        <v>33</v>
      </c>
      <c r="D107" t="s">
        <v>34</v>
      </c>
      <c r="E107" t="s">
        <v>309</v>
      </c>
      <c r="F107" t="s">
        <v>42</v>
      </c>
      <c r="G107" s="20" t="s">
        <v>43</v>
      </c>
      <c r="H107" t="s">
        <v>7</v>
      </c>
      <c r="I107" t="s">
        <v>253</v>
      </c>
      <c r="J107" t="s">
        <v>42</v>
      </c>
      <c r="K107" t="s">
        <v>334</v>
      </c>
      <c r="L107" t="s">
        <v>44</v>
      </c>
      <c r="M107" t="s">
        <v>45</v>
      </c>
      <c r="N107">
        <v>189</v>
      </c>
      <c r="O107" t="s">
        <v>119</v>
      </c>
      <c r="P107" t="s">
        <v>30</v>
      </c>
      <c r="Q107" s="4">
        <v>44714</v>
      </c>
      <c r="R107">
        <v>0</v>
      </c>
      <c r="S107" t="s">
        <v>107</v>
      </c>
      <c r="T107" t="s">
        <v>107</v>
      </c>
      <c r="U107" t="s">
        <v>271</v>
      </c>
      <c r="V107">
        <v>0</v>
      </c>
      <c r="AD107">
        <v>1</v>
      </c>
      <c r="AF107">
        <v>32</v>
      </c>
      <c r="AI107">
        <v>92</v>
      </c>
    </row>
    <row r="108" spans="1:35" x14ac:dyDescent="0.35">
      <c r="A108" t="s">
        <v>91</v>
      </c>
      <c r="B108" t="s">
        <v>24</v>
      </c>
      <c r="C108" t="s">
        <v>33</v>
      </c>
      <c r="D108" t="s">
        <v>34</v>
      </c>
      <c r="E108" t="s">
        <v>309</v>
      </c>
      <c r="F108" t="s">
        <v>42</v>
      </c>
      <c r="G108" s="20" t="s">
        <v>43</v>
      </c>
      <c r="H108" t="s">
        <v>7</v>
      </c>
      <c r="I108" t="s">
        <v>253</v>
      </c>
      <c r="J108" t="s">
        <v>42</v>
      </c>
      <c r="K108" t="s">
        <v>334</v>
      </c>
      <c r="L108" t="s">
        <v>44</v>
      </c>
      <c r="M108" t="s">
        <v>45</v>
      </c>
      <c r="N108">
        <v>190</v>
      </c>
      <c r="O108" t="s">
        <v>119</v>
      </c>
      <c r="P108" t="s">
        <v>30</v>
      </c>
      <c r="Q108" s="4">
        <v>44714</v>
      </c>
      <c r="R108">
        <v>1</v>
      </c>
      <c r="S108" t="s">
        <v>107</v>
      </c>
      <c r="T108" t="s">
        <v>107</v>
      </c>
      <c r="U108" t="s">
        <v>271</v>
      </c>
      <c r="V108">
        <v>0</v>
      </c>
      <c r="AD108">
        <v>1</v>
      </c>
      <c r="AF108">
        <v>32</v>
      </c>
      <c r="AI108">
        <v>93</v>
      </c>
    </row>
    <row r="109" spans="1:35" x14ac:dyDescent="0.35">
      <c r="A109" t="s">
        <v>91</v>
      </c>
      <c r="B109" t="s">
        <v>24</v>
      </c>
      <c r="C109" t="s">
        <v>33</v>
      </c>
      <c r="D109" t="s">
        <v>34</v>
      </c>
      <c r="E109" t="s">
        <v>309</v>
      </c>
      <c r="F109" t="s">
        <v>42</v>
      </c>
      <c r="G109" s="20" t="s">
        <v>43</v>
      </c>
      <c r="H109" t="s">
        <v>7</v>
      </c>
      <c r="I109" t="s">
        <v>253</v>
      </c>
      <c r="J109" t="s">
        <v>42</v>
      </c>
      <c r="K109" t="s">
        <v>334</v>
      </c>
      <c r="L109" t="s">
        <v>44</v>
      </c>
      <c r="M109" t="s">
        <v>45</v>
      </c>
      <c r="N109">
        <v>191</v>
      </c>
      <c r="O109" t="s">
        <v>119</v>
      </c>
      <c r="P109" t="s">
        <v>30</v>
      </c>
      <c r="Q109" s="4">
        <v>44714</v>
      </c>
      <c r="R109">
        <v>0</v>
      </c>
      <c r="S109" t="s">
        <v>107</v>
      </c>
      <c r="T109" t="s">
        <v>107</v>
      </c>
      <c r="U109" t="s">
        <v>271</v>
      </c>
      <c r="V109">
        <v>0</v>
      </c>
      <c r="AD109">
        <v>1</v>
      </c>
      <c r="AF109">
        <v>32</v>
      </c>
      <c r="AI109">
        <v>94</v>
      </c>
    </row>
    <row r="110" spans="1:35" x14ac:dyDescent="0.35">
      <c r="A110" t="s">
        <v>91</v>
      </c>
      <c r="B110" t="s">
        <v>24</v>
      </c>
      <c r="C110" t="s">
        <v>33</v>
      </c>
      <c r="D110" t="s">
        <v>34</v>
      </c>
      <c r="E110" t="s">
        <v>309</v>
      </c>
      <c r="F110" t="s">
        <v>42</v>
      </c>
      <c r="G110" s="20" t="s">
        <v>43</v>
      </c>
      <c r="H110" t="s">
        <v>7</v>
      </c>
      <c r="I110" t="s">
        <v>253</v>
      </c>
      <c r="J110" t="s">
        <v>42</v>
      </c>
      <c r="K110" t="s">
        <v>334</v>
      </c>
      <c r="L110" t="s">
        <v>44</v>
      </c>
      <c r="M110" t="s">
        <v>45</v>
      </c>
      <c r="N110">
        <v>192</v>
      </c>
      <c r="O110" t="s">
        <v>119</v>
      </c>
      <c r="P110" t="s">
        <v>30</v>
      </c>
      <c r="Q110" s="4">
        <v>44714</v>
      </c>
      <c r="R110">
        <v>0</v>
      </c>
      <c r="S110" t="s">
        <v>107</v>
      </c>
      <c r="T110" t="s">
        <v>107</v>
      </c>
      <c r="U110" t="s">
        <v>271</v>
      </c>
      <c r="V110">
        <v>0</v>
      </c>
      <c r="AD110">
        <v>1</v>
      </c>
      <c r="AF110">
        <v>32</v>
      </c>
      <c r="AI110">
        <v>95</v>
      </c>
    </row>
    <row r="111" spans="1:35" x14ac:dyDescent="0.35">
      <c r="A111" t="s">
        <v>91</v>
      </c>
      <c r="B111" t="s">
        <v>24</v>
      </c>
      <c r="C111" t="s">
        <v>33</v>
      </c>
      <c r="D111" t="s">
        <v>34</v>
      </c>
      <c r="E111" t="s">
        <v>309</v>
      </c>
      <c r="F111" t="s">
        <v>42</v>
      </c>
      <c r="G111" s="20" t="s">
        <v>43</v>
      </c>
      <c r="H111" t="s">
        <v>7</v>
      </c>
      <c r="I111" t="s">
        <v>253</v>
      </c>
      <c r="J111" t="s">
        <v>42</v>
      </c>
      <c r="K111" t="s">
        <v>334</v>
      </c>
      <c r="L111" t="s">
        <v>44</v>
      </c>
      <c r="M111" t="s">
        <v>45</v>
      </c>
      <c r="N111">
        <v>193</v>
      </c>
      <c r="O111" t="s">
        <v>119</v>
      </c>
      <c r="P111" t="s">
        <v>30</v>
      </c>
      <c r="Q111" s="4">
        <v>44714</v>
      </c>
      <c r="R111">
        <v>0</v>
      </c>
      <c r="S111" t="s">
        <v>107</v>
      </c>
      <c r="T111" t="s">
        <v>107</v>
      </c>
      <c r="U111" t="s">
        <v>271</v>
      </c>
      <c r="V111">
        <v>0</v>
      </c>
      <c r="AD111">
        <v>1</v>
      </c>
      <c r="AF111">
        <v>32</v>
      </c>
      <c r="AI111">
        <v>96</v>
      </c>
    </row>
    <row r="112" spans="1:35" x14ac:dyDescent="0.35">
      <c r="A112" t="s">
        <v>91</v>
      </c>
      <c r="B112" t="s">
        <v>24</v>
      </c>
      <c r="C112" t="s">
        <v>33</v>
      </c>
      <c r="D112" t="s">
        <v>34</v>
      </c>
      <c r="E112" t="s">
        <v>309</v>
      </c>
      <c r="F112" t="s">
        <v>42</v>
      </c>
      <c r="G112" s="20" t="s">
        <v>43</v>
      </c>
      <c r="H112" t="s">
        <v>7</v>
      </c>
      <c r="I112" t="s">
        <v>253</v>
      </c>
      <c r="J112" t="s">
        <v>42</v>
      </c>
      <c r="K112" t="s">
        <v>334</v>
      </c>
      <c r="L112" t="s">
        <v>44</v>
      </c>
      <c r="M112" t="s">
        <v>45</v>
      </c>
      <c r="N112">
        <v>194</v>
      </c>
      <c r="O112" t="s">
        <v>119</v>
      </c>
      <c r="P112" t="s">
        <v>30</v>
      </c>
      <c r="Q112" s="4">
        <v>44714</v>
      </c>
      <c r="R112">
        <v>0</v>
      </c>
      <c r="S112" t="s">
        <v>107</v>
      </c>
      <c r="T112" t="s">
        <v>107</v>
      </c>
      <c r="U112" t="s">
        <v>271</v>
      </c>
      <c r="V112">
        <v>0</v>
      </c>
      <c r="AD112">
        <v>1</v>
      </c>
      <c r="AF112">
        <v>32</v>
      </c>
      <c r="AI112">
        <v>97</v>
      </c>
    </row>
    <row r="113" spans="1:35" x14ac:dyDescent="0.35">
      <c r="A113" t="s">
        <v>91</v>
      </c>
      <c r="B113" t="s">
        <v>24</v>
      </c>
      <c r="C113" t="s">
        <v>33</v>
      </c>
      <c r="D113" t="s">
        <v>34</v>
      </c>
      <c r="E113" t="s">
        <v>309</v>
      </c>
      <c r="F113" t="s">
        <v>42</v>
      </c>
      <c r="G113" s="20" t="s">
        <v>43</v>
      </c>
      <c r="H113" t="s">
        <v>7</v>
      </c>
      <c r="I113" t="s">
        <v>253</v>
      </c>
      <c r="J113" t="s">
        <v>42</v>
      </c>
      <c r="K113" t="s">
        <v>334</v>
      </c>
      <c r="L113" t="s">
        <v>44</v>
      </c>
      <c r="M113" t="s">
        <v>45</v>
      </c>
      <c r="N113">
        <v>195</v>
      </c>
      <c r="O113" t="s">
        <v>119</v>
      </c>
      <c r="P113" t="s">
        <v>30</v>
      </c>
      <c r="Q113" s="4">
        <v>44714</v>
      </c>
      <c r="R113">
        <v>0</v>
      </c>
      <c r="S113" t="s">
        <v>107</v>
      </c>
      <c r="T113" t="s">
        <v>107</v>
      </c>
      <c r="U113" t="s">
        <v>271</v>
      </c>
      <c r="V113">
        <v>0</v>
      </c>
      <c r="AD113">
        <v>1</v>
      </c>
      <c r="AF113">
        <v>32</v>
      </c>
      <c r="AI113">
        <v>98</v>
      </c>
    </row>
    <row r="114" spans="1:35" x14ac:dyDescent="0.35">
      <c r="A114" t="s">
        <v>91</v>
      </c>
      <c r="B114" t="s">
        <v>24</v>
      </c>
      <c r="C114" t="s">
        <v>33</v>
      </c>
      <c r="D114" t="s">
        <v>34</v>
      </c>
      <c r="E114" t="s">
        <v>309</v>
      </c>
      <c r="F114" t="s">
        <v>42</v>
      </c>
      <c r="G114" s="20" t="s">
        <v>43</v>
      </c>
      <c r="H114" t="s">
        <v>7</v>
      </c>
      <c r="I114" t="s">
        <v>253</v>
      </c>
      <c r="J114" t="s">
        <v>42</v>
      </c>
      <c r="K114" t="s">
        <v>334</v>
      </c>
      <c r="L114" t="s">
        <v>44</v>
      </c>
      <c r="M114" t="s">
        <v>45</v>
      </c>
      <c r="N114">
        <v>196</v>
      </c>
      <c r="O114" t="s">
        <v>119</v>
      </c>
      <c r="P114" t="s">
        <v>30</v>
      </c>
      <c r="Q114" s="4">
        <v>44714</v>
      </c>
      <c r="R114">
        <v>1</v>
      </c>
      <c r="S114" t="s">
        <v>107</v>
      </c>
      <c r="T114" t="s">
        <v>107</v>
      </c>
      <c r="U114" t="s">
        <v>271</v>
      </c>
      <c r="V114">
        <v>0</v>
      </c>
      <c r="AD114">
        <v>1</v>
      </c>
      <c r="AF114">
        <v>32</v>
      </c>
      <c r="AI114">
        <v>99</v>
      </c>
    </row>
    <row r="115" spans="1:35" x14ac:dyDescent="0.35">
      <c r="A115" t="s">
        <v>91</v>
      </c>
      <c r="B115" t="s">
        <v>24</v>
      </c>
      <c r="C115" t="s">
        <v>33</v>
      </c>
      <c r="D115" t="s">
        <v>34</v>
      </c>
      <c r="E115" t="s">
        <v>309</v>
      </c>
      <c r="F115" t="s">
        <v>42</v>
      </c>
      <c r="G115" s="20" t="s">
        <v>43</v>
      </c>
      <c r="H115" t="s">
        <v>7</v>
      </c>
      <c r="I115" t="s">
        <v>253</v>
      </c>
      <c r="J115" t="s">
        <v>42</v>
      </c>
      <c r="K115" t="s">
        <v>334</v>
      </c>
      <c r="L115" t="s">
        <v>44</v>
      </c>
      <c r="M115" t="s">
        <v>45</v>
      </c>
      <c r="N115">
        <v>197</v>
      </c>
      <c r="O115" t="s">
        <v>119</v>
      </c>
      <c r="P115" t="s">
        <v>30</v>
      </c>
      <c r="Q115" s="4">
        <v>44714</v>
      </c>
      <c r="R115">
        <v>0</v>
      </c>
      <c r="S115" t="s">
        <v>107</v>
      </c>
      <c r="T115" t="s">
        <v>107</v>
      </c>
      <c r="U115" t="s">
        <v>271</v>
      </c>
      <c r="V115">
        <v>0</v>
      </c>
      <c r="AD115">
        <v>1</v>
      </c>
      <c r="AF115">
        <v>32</v>
      </c>
      <c r="AI115">
        <v>100</v>
      </c>
    </row>
    <row r="116" spans="1:35" x14ac:dyDescent="0.35">
      <c r="A116" t="s">
        <v>91</v>
      </c>
      <c r="B116" t="s">
        <v>24</v>
      </c>
      <c r="C116" t="s">
        <v>33</v>
      </c>
      <c r="D116" t="s">
        <v>34</v>
      </c>
      <c r="E116" t="s">
        <v>309</v>
      </c>
      <c r="F116" t="s">
        <v>42</v>
      </c>
      <c r="G116" s="20" t="s">
        <v>43</v>
      </c>
      <c r="H116" t="s">
        <v>7</v>
      </c>
      <c r="I116" t="s">
        <v>253</v>
      </c>
      <c r="J116" t="s">
        <v>42</v>
      </c>
      <c r="K116" t="s">
        <v>334</v>
      </c>
      <c r="L116" t="s">
        <v>44</v>
      </c>
      <c r="M116" t="s">
        <v>45</v>
      </c>
      <c r="N116">
        <v>198</v>
      </c>
      <c r="O116" t="s">
        <v>119</v>
      </c>
      <c r="P116" t="s">
        <v>30</v>
      </c>
      <c r="Q116" s="4">
        <v>44714</v>
      </c>
      <c r="R116">
        <v>1</v>
      </c>
      <c r="S116" t="s">
        <v>107</v>
      </c>
      <c r="T116" t="s">
        <v>107</v>
      </c>
      <c r="U116" t="s">
        <v>271</v>
      </c>
      <c r="V116">
        <v>0</v>
      </c>
      <c r="AD116">
        <v>1</v>
      </c>
      <c r="AF116">
        <v>32</v>
      </c>
      <c r="AI116">
        <v>101</v>
      </c>
    </row>
    <row r="117" spans="1:35" x14ac:dyDescent="0.35">
      <c r="A117" t="s">
        <v>91</v>
      </c>
      <c r="B117" t="s">
        <v>24</v>
      </c>
      <c r="C117" t="s">
        <v>33</v>
      </c>
      <c r="D117" t="s">
        <v>34</v>
      </c>
      <c r="E117" t="s">
        <v>309</v>
      </c>
      <c r="F117" t="s">
        <v>42</v>
      </c>
      <c r="G117" s="20" t="s">
        <v>43</v>
      </c>
      <c r="H117" t="s">
        <v>7</v>
      </c>
      <c r="I117" t="s">
        <v>253</v>
      </c>
      <c r="J117" t="s">
        <v>42</v>
      </c>
      <c r="K117" t="s">
        <v>334</v>
      </c>
      <c r="L117" t="s">
        <v>44</v>
      </c>
      <c r="M117" t="s">
        <v>45</v>
      </c>
      <c r="N117">
        <v>199</v>
      </c>
      <c r="O117" t="s">
        <v>119</v>
      </c>
      <c r="P117" t="s">
        <v>30</v>
      </c>
      <c r="Q117" s="4">
        <v>44714</v>
      </c>
      <c r="R117">
        <v>0</v>
      </c>
      <c r="S117" t="s">
        <v>107</v>
      </c>
      <c r="T117" t="s">
        <v>107</v>
      </c>
      <c r="U117" t="s">
        <v>271</v>
      </c>
      <c r="V117">
        <v>0</v>
      </c>
      <c r="AD117">
        <v>1</v>
      </c>
      <c r="AF117">
        <v>32</v>
      </c>
      <c r="AI117">
        <v>102</v>
      </c>
    </row>
    <row r="118" spans="1:35" x14ac:dyDescent="0.35">
      <c r="A118" t="s">
        <v>91</v>
      </c>
      <c r="B118" t="s">
        <v>24</v>
      </c>
      <c r="C118" t="s">
        <v>33</v>
      </c>
      <c r="D118" t="s">
        <v>34</v>
      </c>
      <c r="E118" t="s">
        <v>309</v>
      </c>
      <c r="F118" t="s">
        <v>42</v>
      </c>
      <c r="G118" s="20" t="s">
        <v>43</v>
      </c>
      <c r="H118" t="s">
        <v>7</v>
      </c>
      <c r="I118" t="s">
        <v>253</v>
      </c>
      <c r="J118" t="s">
        <v>42</v>
      </c>
      <c r="K118" t="s">
        <v>334</v>
      </c>
      <c r="L118" t="s">
        <v>44</v>
      </c>
      <c r="M118" t="s">
        <v>45</v>
      </c>
      <c r="N118">
        <v>200</v>
      </c>
      <c r="O118" t="s">
        <v>119</v>
      </c>
      <c r="P118" t="s">
        <v>30</v>
      </c>
      <c r="Q118" s="4">
        <v>44714</v>
      </c>
      <c r="R118">
        <v>0</v>
      </c>
      <c r="S118" t="s">
        <v>107</v>
      </c>
      <c r="T118" t="s">
        <v>107</v>
      </c>
      <c r="U118" t="s">
        <v>271</v>
      </c>
      <c r="V118">
        <v>0</v>
      </c>
      <c r="AD118">
        <v>1</v>
      </c>
      <c r="AF118">
        <v>32</v>
      </c>
      <c r="AI118">
        <v>103</v>
      </c>
    </row>
    <row r="119" spans="1:35" x14ac:dyDescent="0.35">
      <c r="A119" t="s">
        <v>91</v>
      </c>
      <c r="B119" t="s">
        <v>24</v>
      </c>
      <c r="C119" t="s">
        <v>33</v>
      </c>
      <c r="D119" t="s">
        <v>34</v>
      </c>
      <c r="E119" t="s">
        <v>309</v>
      </c>
      <c r="F119" t="s">
        <v>42</v>
      </c>
      <c r="G119" s="20" t="s">
        <v>43</v>
      </c>
      <c r="H119" t="s">
        <v>7</v>
      </c>
      <c r="I119" t="s">
        <v>253</v>
      </c>
      <c r="J119" t="s">
        <v>42</v>
      </c>
      <c r="K119" t="s">
        <v>334</v>
      </c>
      <c r="L119" t="s">
        <v>44</v>
      </c>
      <c r="M119" t="s">
        <v>45</v>
      </c>
      <c r="N119">
        <v>201</v>
      </c>
      <c r="O119" t="s">
        <v>119</v>
      </c>
      <c r="P119" t="s">
        <v>30</v>
      </c>
      <c r="Q119" s="4">
        <v>44714</v>
      </c>
      <c r="R119">
        <v>0</v>
      </c>
      <c r="S119" t="s">
        <v>107</v>
      </c>
      <c r="T119" t="s">
        <v>107</v>
      </c>
      <c r="U119" t="s">
        <v>271</v>
      </c>
      <c r="V119">
        <v>0</v>
      </c>
      <c r="AD119">
        <v>1</v>
      </c>
      <c r="AF119">
        <v>32</v>
      </c>
      <c r="AI119">
        <v>104</v>
      </c>
    </row>
    <row r="120" spans="1:35" x14ac:dyDescent="0.35">
      <c r="A120" t="s">
        <v>91</v>
      </c>
      <c r="B120" t="s">
        <v>24</v>
      </c>
      <c r="C120" t="s">
        <v>33</v>
      </c>
      <c r="D120" t="s">
        <v>34</v>
      </c>
      <c r="E120" t="s">
        <v>309</v>
      </c>
      <c r="F120" t="s">
        <v>42</v>
      </c>
      <c r="G120" s="20" t="s">
        <v>43</v>
      </c>
      <c r="H120" t="s">
        <v>7</v>
      </c>
      <c r="I120" t="s">
        <v>253</v>
      </c>
      <c r="J120" t="s">
        <v>42</v>
      </c>
      <c r="K120" t="s">
        <v>334</v>
      </c>
      <c r="L120" t="s">
        <v>44</v>
      </c>
      <c r="M120" t="s">
        <v>45</v>
      </c>
      <c r="N120">
        <v>202</v>
      </c>
      <c r="O120" t="s">
        <v>119</v>
      </c>
      <c r="P120" t="s">
        <v>30</v>
      </c>
      <c r="Q120" s="4">
        <v>44714</v>
      </c>
      <c r="R120">
        <v>0</v>
      </c>
      <c r="S120" t="s">
        <v>107</v>
      </c>
      <c r="T120" t="s">
        <v>107</v>
      </c>
      <c r="U120" t="s">
        <v>271</v>
      </c>
      <c r="V120">
        <v>0</v>
      </c>
      <c r="AD120">
        <v>1</v>
      </c>
      <c r="AF120">
        <v>32</v>
      </c>
      <c r="AI120">
        <v>105</v>
      </c>
    </row>
    <row r="121" spans="1:35" x14ac:dyDescent="0.35">
      <c r="A121" t="s">
        <v>91</v>
      </c>
      <c r="B121" t="s">
        <v>24</v>
      </c>
      <c r="C121" t="s">
        <v>33</v>
      </c>
      <c r="D121" t="s">
        <v>34</v>
      </c>
      <c r="E121" t="s">
        <v>309</v>
      </c>
      <c r="F121" t="s">
        <v>42</v>
      </c>
      <c r="G121" s="20" t="s">
        <v>43</v>
      </c>
      <c r="H121" t="s">
        <v>7</v>
      </c>
      <c r="I121" t="s">
        <v>253</v>
      </c>
      <c r="J121" t="s">
        <v>42</v>
      </c>
      <c r="K121" t="s">
        <v>334</v>
      </c>
      <c r="L121" t="s">
        <v>44</v>
      </c>
      <c r="M121" t="s">
        <v>45</v>
      </c>
      <c r="N121">
        <v>203</v>
      </c>
      <c r="O121" t="s">
        <v>119</v>
      </c>
      <c r="P121" t="s">
        <v>30</v>
      </c>
      <c r="Q121" s="4">
        <v>44714</v>
      </c>
      <c r="R121">
        <v>1</v>
      </c>
      <c r="S121" t="s">
        <v>107</v>
      </c>
      <c r="T121" t="s">
        <v>107</v>
      </c>
      <c r="U121" t="s">
        <v>271</v>
      </c>
      <c r="V121">
        <v>0</v>
      </c>
      <c r="AD121">
        <v>1</v>
      </c>
      <c r="AF121">
        <v>32</v>
      </c>
      <c r="AI121">
        <v>106</v>
      </c>
    </row>
    <row r="122" spans="1:35" x14ac:dyDescent="0.35">
      <c r="A122" t="s">
        <v>91</v>
      </c>
      <c r="B122" t="s">
        <v>24</v>
      </c>
      <c r="C122" t="s">
        <v>33</v>
      </c>
      <c r="D122" t="s">
        <v>34</v>
      </c>
      <c r="E122" t="s">
        <v>309</v>
      </c>
      <c r="F122" t="s">
        <v>42</v>
      </c>
      <c r="G122" s="20" t="s">
        <v>43</v>
      </c>
      <c r="H122" t="s">
        <v>7</v>
      </c>
      <c r="I122" t="s">
        <v>253</v>
      </c>
      <c r="J122" t="s">
        <v>42</v>
      </c>
      <c r="K122" t="s">
        <v>334</v>
      </c>
      <c r="L122" t="s">
        <v>44</v>
      </c>
      <c r="M122" t="s">
        <v>45</v>
      </c>
      <c r="N122">
        <v>204</v>
      </c>
      <c r="O122" t="s">
        <v>119</v>
      </c>
      <c r="P122" t="s">
        <v>30</v>
      </c>
      <c r="Q122" s="4">
        <v>44714</v>
      </c>
      <c r="R122">
        <v>0</v>
      </c>
      <c r="S122" t="s">
        <v>107</v>
      </c>
      <c r="T122" t="s">
        <v>107</v>
      </c>
      <c r="U122" t="s">
        <v>271</v>
      </c>
      <c r="V122">
        <v>0</v>
      </c>
      <c r="AD122">
        <v>1</v>
      </c>
      <c r="AF122">
        <v>32</v>
      </c>
      <c r="AI122">
        <v>107</v>
      </c>
    </row>
    <row r="123" spans="1:35" x14ac:dyDescent="0.35">
      <c r="A123" t="s">
        <v>91</v>
      </c>
      <c r="B123" t="s">
        <v>24</v>
      </c>
      <c r="C123" t="s">
        <v>33</v>
      </c>
      <c r="D123" t="s">
        <v>34</v>
      </c>
      <c r="E123" t="s">
        <v>309</v>
      </c>
      <c r="F123" t="s">
        <v>42</v>
      </c>
      <c r="G123" s="20" t="s">
        <v>43</v>
      </c>
      <c r="H123" t="s">
        <v>7</v>
      </c>
      <c r="I123" t="s">
        <v>253</v>
      </c>
      <c r="J123" t="s">
        <v>42</v>
      </c>
      <c r="K123" t="s">
        <v>334</v>
      </c>
      <c r="L123" t="s">
        <v>44</v>
      </c>
      <c r="M123" t="s">
        <v>45</v>
      </c>
      <c r="N123">
        <v>205</v>
      </c>
      <c r="O123" t="s">
        <v>119</v>
      </c>
      <c r="P123" t="s">
        <v>30</v>
      </c>
      <c r="Q123" s="4">
        <v>44714</v>
      </c>
      <c r="R123">
        <v>0</v>
      </c>
      <c r="S123" t="s">
        <v>107</v>
      </c>
      <c r="T123" t="s">
        <v>107</v>
      </c>
      <c r="U123" t="s">
        <v>271</v>
      </c>
      <c r="V123">
        <v>0</v>
      </c>
      <c r="AD123">
        <v>1</v>
      </c>
      <c r="AF123">
        <v>32</v>
      </c>
      <c r="AI123">
        <v>108</v>
      </c>
    </row>
    <row r="124" spans="1:35" x14ac:dyDescent="0.35">
      <c r="A124" t="s">
        <v>91</v>
      </c>
      <c r="B124" t="s">
        <v>24</v>
      </c>
      <c r="C124" t="s">
        <v>33</v>
      </c>
      <c r="D124" t="s">
        <v>34</v>
      </c>
      <c r="E124" t="s">
        <v>309</v>
      </c>
      <c r="F124" t="s">
        <v>42</v>
      </c>
      <c r="G124" s="20" t="s">
        <v>43</v>
      </c>
      <c r="H124" t="s">
        <v>7</v>
      </c>
      <c r="I124" t="s">
        <v>253</v>
      </c>
      <c r="J124" t="s">
        <v>42</v>
      </c>
      <c r="K124" t="s">
        <v>334</v>
      </c>
      <c r="L124" t="s">
        <v>44</v>
      </c>
      <c r="M124" t="s">
        <v>45</v>
      </c>
      <c r="N124">
        <v>206</v>
      </c>
      <c r="O124" t="s">
        <v>119</v>
      </c>
      <c r="P124" t="s">
        <v>30</v>
      </c>
      <c r="Q124" s="4">
        <v>44714</v>
      </c>
      <c r="R124">
        <v>0</v>
      </c>
      <c r="S124" t="s">
        <v>107</v>
      </c>
      <c r="T124" t="s">
        <v>107</v>
      </c>
      <c r="U124" t="s">
        <v>271</v>
      </c>
      <c r="V124">
        <v>0</v>
      </c>
      <c r="AD124">
        <v>1</v>
      </c>
      <c r="AF124">
        <v>32</v>
      </c>
      <c r="AI124">
        <v>109</v>
      </c>
    </row>
    <row r="125" spans="1:35" x14ac:dyDescent="0.35">
      <c r="A125" t="s">
        <v>91</v>
      </c>
      <c r="B125" t="s">
        <v>24</v>
      </c>
      <c r="C125" t="s">
        <v>33</v>
      </c>
      <c r="D125" t="s">
        <v>34</v>
      </c>
      <c r="E125" t="s">
        <v>309</v>
      </c>
      <c r="F125" t="s">
        <v>42</v>
      </c>
      <c r="G125" s="20" t="s">
        <v>43</v>
      </c>
      <c r="H125" t="s">
        <v>7</v>
      </c>
      <c r="I125" t="s">
        <v>253</v>
      </c>
      <c r="J125" t="s">
        <v>42</v>
      </c>
      <c r="K125" t="s">
        <v>334</v>
      </c>
      <c r="L125" t="s">
        <v>44</v>
      </c>
      <c r="M125" t="s">
        <v>45</v>
      </c>
      <c r="N125">
        <v>207</v>
      </c>
      <c r="O125" t="s">
        <v>119</v>
      </c>
      <c r="P125" t="s">
        <v>30</v>
      </c>
      <c r="Q125" s="4">
        <v>44714</v>
      </c>
      <c r="R125">
        <v>0</v>
      </c>
      <c r="S125" t="s">
        <v>107</v>
      </c>
      <c r="T125" t="s">
        <v>107</v>
      </c>
      <c r="U125" t="s">
        <v>271</v>
      </c>
      <c r="V125">
        <v>0</v>
      </c>
      <c r="AD125">
        <v>1</v>
      </c>
      <c r="AF125">
        <v>32</v>
      </c>
      <c r="AI125">
        <v>110</v>
      </c>
    </row>
    <row r="126" spans="1:35" x14ac:dyDescent="0.35">
      <c r="A126" t="s">
        <v>91</v>
      </c>
      <c r="B126" t="s">
        <v>24</v>
      </c>
      <c r="C126" t="s">
        <v>33</v>
      </c>
      <c r="D126" t="s">
        <v>34</v>
      </c>
      <c r="E126" t="s">
        <v>309</v>
      </c>
      <c r="F126" t="s">
        <v>42</v>
      </c>
      <c r="G126" s="20" t="s">
        <v>43</v>
      </c>
      <c r="H126" t="s">
        <v>7</v>
      </c>
      <c r="I126" t="s">
        <v>253</v>
      </c>
      <c r="J126" t="s">
        <v>42</v>
      </c>
      <c r="K126" t="s">
        <v>334</v>
      </c>
      <c r="L126" t="s">
        <v>44</v>
      </c>
      <c r="M126" t="s">
        <v>45</v>
      </c>
      <c r="N126">
        <v>208</v>
      </c>
      <c r="O126" t="s">
        <v>119</v>
      </c>
      <c r="P126" t="s">
        <v>30</v>
      </c>
      <c r="Q126" s="4">
        <v>44714</v>
      </c>
      <c r="R126">
        <v>0</v>
      </c>
      <c r="S126" t="s">
        <v>107</v>
      </c>
      <c r="T126" t="s">
        <v>107</v>
      </c>
      <c r="U126" t="s">
        <v>271</v>
      </c>
      <c r="V126">
        <v>0</v>
      </c>
      <c r="AD126">
        <v>1</v>
      </c>
      <c r="AF126">
        <v>32</v>
      </c>
      <c r="AI126">
        <v>111</v>
      </c>
    </row>
    <row r="127" spans="1:35" x14ac:dyDescent="0.35">
      <c r="A127" t="s">
        <v>91</v>
      </c>
      <c r="B127" t="s">
        <v>24</v>
      </c>
      <c r="C127" t="s">
        <v>33</v>
      </c>
      <c r="D127" t="s">
        <v>34</v>
      </c>
      <c r="E127" t="s">
        <v>309</v>
      </c>
      <c r="F127" t="s">
        <v>42</v>
      </c>
      <c r="G127" s="20" t="s">
        <v>43</v>
      </c>
      <c r="H127" t="s">
        <v>7</v>
      </c>
      <c r="I127" t="s">
        <v>253</v>
      </c>
      <c r="J127" t="s">
        <v>42</v>
      </c>
      <c r="K127" t="s">
        <v>334</v>
      </c>
      <c r="L127" t="s">
        <v>44</v>
      </c>
      <c r="M127" t="s">
        <v>45</v>
      </c>
      <c r="N127">
        <v>209</v>
      </c>
      <c r="O127" t="s">
        <v>119</v>
      </c>
      <c r="P127" t="s">
        <v>30</v>
      </c>
      <c r="Q127" s="4">
        <v>44714</v>
      </c>
      <c r="R127">
        <v>1</v>
      </c>
      <c r="S127" t="s">
        <v>107</v>
      </c>
      <c r="T127" t="s">
        <v>107</v>
      </c>
      <c r="U127" t="s">
        <v>271</v>
      </c>
      <c r="V127">
        <v>0</v>
      </c>
      <c r="AD127">
        <v>1</v>
      </c>
      <c r="AF127">
        <v>32</v>
      </c>
      <c r="AI127">
        <v>112</v>
      </c>
    </row>
    <row r="128" spans="1:35" x14ac:dyDescent="0.35">
      <c r="A128" t="s">
        <v>91</v>
      </c>
      <c r="B128" t="s">
        <v>24</v>
      </c>
      <c r="C128" t="s">
        <v>33</v>
      </c>
      <c r="D128" t="s">
        <v>34</v>
      </c>
      <c r="E128" t="s">
        <v>309</v>
      </c>
      <c r="F128" t="s">
        <v>42</v>
      </c>
      <c r="G128" s="20" t="s">
        <v>43</v>
      </c>
      <c r="H128" t="s">
        <v>7</v>
      </c>
      <c r="I128" t="s">
        <v>253</v>
      </c>
      <c r="J128" t="s">
        <v>42</v>
      </c>
      <c r="K128" t="s">
        <v>334</v>
      </c>
      <c r="L128" t="s">
        <v>44</v>
      </c>
      <c r="M128" t="s">
        <v>45</v>
      </c>
      <c r="N128">
        <v>210</v>
      </c>
      <c r="O128" t="s">
        <v>119</v>
      </c>
      <c r="P128" t="s">
        <v>30</v>
      </c>
      <c r="Q128" s="4">
        <v>44714</v>
      </c>
      <c r="R128">
        <v>1</v>
      </c>
      <c r="S128" t="s">
        <v>107</v>
      </c>
      <c r="T128" t="s">
        <v>107</v>
      </c>
      <c r="U128" t="s">
        <v>271</v>
      </c>
      <c r="V128">
        <v>0</v>
      </c>
      <c r="AD128">
        <v>1</v>
      </c>
      <c r="AF128">
        <v>32</v>
      </c>
      <c r="AI128">
        <v>113</v>
      </c>
    </row>
    <row r="129" spans="1:35" x14ac:dyDescent="0.35">
      <c r="A129" t="s">
        <v>91</v>
      </c>
      <c r="B129" t="s">
        <v>24</v>
      </c>
      <c r="C129" t="s">
        <v>33</v>
      </c>
      <c r="D129" t="s">
        <v>34</v>
      </c>
      <c r="E129" t="s">
        <v>309</v>
      </c>
      <c r="F129" t="s">
        <v>42</v>
      </c>
      <c r="G129" s="20" t="s">
        <v>43</v>
      </c>
      <c r="H129" t="s">
        <v>7</v>
      </c>
      <c r="I129" t="s">
        <v>253</v>
      </c>
      <c r="J129" t="s">
        <v>42</v>
      </c>
      <c r="K129" t="s">
        <v>334</v>
      </c>
      <c r="L129" t="s">
        <v>44</v>
      </c>
      <c r="M129" t="s">
        <v>45</v>
      </c>
      <c r="N129">
        <v>211</v>
      </c>
      <c r="O129" t="s">
        <v>119</v>
      </c>
      <c r="P129" t="s">
        <v>30</v>
      </c>
      <c r="Q129" s="4">
        <v>44714</v>
      </c>
      <c r="R129">
        <v>1</v>
      </c>
      <c r="S129" t="s">
        <v>107</v>
      </c>
      <c r="T129" t="s">
        <v>107</v>
      </c>
      <c r="U129" t="s">
        <v>271</v>
      </c>
      <c r="V129">
        <v>0</v>
      </c>
      <c r="AD129">
        <v>1</v>
      </c>
      <c r="AF129">
        <v>32</v>
      </c>
      <c r="AI129">
        <v>114</v>
      </c>
    </row>
    <row r="130" spans="1:35" x14ac:dyDescent="0.35">
      <c r="A130" t="s">
        <v>91</v>
      </c>
      <c r="B130" t="s">
        <v>24</v>
      </c>
      <c r="C130" t="s">
        <v>33</v>
      </c>
      <c r="D130" t="s">
        <v>34</v>
      </c>
      <c r="E130" t="s">
        <v>309</v>
      </c>
      <c r="F130" t="s">
        <v>42</v>
      </c>
      <c r="G130" s="20" t="s">
        <v>43</v>
      </c>
      <c r="H130" t="s">
        <v>7</v>
      </c>
      <c r="I130" t="s">
        <v>253</v>
      </c>
      <c r="J130" t="s">
        <v>42</v>
      </c>
      <c r="K130" t="s">
        <v>334</v>
      </c>
      <c r="L130" t="s">
        <v>44</v>
      </c>
      <c r="M130" t="s">
        <v>45</v>
      </c>
      <c r="N130">
        <v>212</v>
      </c>
      <c r="O130" t="s">
        <v>119</v>
      </c>
      <c r="P130" t="s">
        <v>30</v>
      </c>
      <c r="Q130" s="4">
        <v>44714</v>
      </c>
      <c r="R130">
        <v>1</v>
      </c>
      <c r="S130" t="s">
        <v>107</v>
      </c>
      <c r="T130" t="s">
        <v>107</v>
      </c>
      <c r="U130" t="s">
        <v>271</v>
      </c>
      <c r="V130">
        <v>0</v>
      </c>
      <c r="AD130">
        <v>1</v>
      </c>
      <c r="AF130">
        <v>32</v>
      </c>
      <c r="AI130">
        <v>115</v>
      </c>
    </row>
    <row r="131" spans="1:35" x14ac:dyDescent="0.35">
      <c r="A131" t="s">
        <v>91</v>
      </c>
      <c r="B131" t="s">
        <v>24</v>
      </c>
      <c r="C131" t="s">
        <v>33</v>
      </c>
      <c r="D131" t="s">
        <v>34</v>
      </c>
      <c r="E131" t="s">
        <v>309</v>
      </c>
      <c r="F131" t="s">
        <v>42</v>
      </c>
      <c r="G131" s="20" t="s">
        <v>43</v>
      </c>
      <c r="H131" t="s">
        <v>7</v>
      </c>
      <c r="I131" t="s">
        <v>253</v>
      </c>
      <c r="J131" t="s">
        <v>42</v>
      </c>
      <c r="K131" t="s">
        <v>334</v>
      </c>
      <c r="L131" t="s">
        <v>44</v>
      </c>
      <c r="M131" t="s">
        <v>45</v>
      </c>
      <c r="N131">
        <v>213</v>
      </c>
      <c r="O131" t="s">
        <v>119</v>
      </c>
      <c r="P131" t="s">
        <v>30</v>
      </c>
      <c r="Q131" s="4">
        <v>44714</v>
      </c>
      <c r="R131">
        <v>1</v>
      </c>
      <c r="S131" t="s">
        <v>107</v>
      </c>
      <c r="T131" t="s">
        <v>107</v>
      </c>
      <c r="U131" t="s">
        <v>271</v>
      </c>
      <c r="V131">
        <v>0</v>
      </c>
      <c r="AD131">
        <v>1</v>
      </c>
      <c r="AF131">
        <v>32</v>
      </c>
      <c r="AI131">
        <v>116</v>
      </c>
    </row>
    <row r="132" spans="1:35" x14ac:dyDescent="0.35">
      <c r="A132" t="s">
        <v>91</v>
      </c>
      <c r="B132" t="s">
        <v>24</v>
      </c>
      <c r="C132" t="s">
        <v>33</v>
      </c>
      <c r="D132" t="s">
        <v>34</v>
      </c>
      <c r="E132" t="s">
        <v>309</v>
      </c>
      <c r="F132" t="s">
        <v>42</v>
      </c>
      <c r="G132" s="20" t="s">
        <v>43</v>
      </c>
      <c r="H132" t="s">
        <v>7</v>
      </c>
      <c r="I132" t="s">
        <v>253</v>
      </c>
      <c r="J132" t="s">
        <v>42</v>
      </c>
      <c r="K132" t="s">
        <v>334</v>
      </c>
      <c r="L132" t="s">
        <v>44</v>
      </c>
      <c r="M132" t="s">
        <v>45</v>
      </c>
      <c r="N132">
        <v>214</v>
      </c>
      <c r="O132" t="s">
        <v>119</v>
      </c>
      <c r="P132" t="s">
        <v>30</v>
      </c>
      <c r="Q132" s="4">
        <v>44714</v>
      </c>
      <c r="R132">
        <v>0</v>
      </c>
      <c r="S132" t="s">
        <v>107</v>
      </c>
      <c r="T132" t="s">
        <v>107</v>
      </c>
      <c r="U132" t="s">
        <v>271</v>
      </c>
      <c r="V132">
        <v>0</v>
      </c>
      <c r="AD132">
        <v>1</v>
      </c>
      <c r="AF132">
        <v>26</v>
      </c>
      <c r="AI132">
        <v>117</v>
      </c>
    </row>
    <row r="133" spans="1:35" x14ac:dyDescent="0.35">
      <c r="A133" t="s">
        <v>91</v>
      </c>
      <c r="B133" t="s">
        <v>24</v>
      </c>
      <c r="C133" t="s">
        <v>33</v>
      </c>
      <c r="D133" t="s">
        <v>34</v>
      </c>
      <c r="E133" t="s">
        <v>309</v>
      </c>
      <c r="F133" t="s">
        <v>42</v>
      </c>
      <c r="G133" s="20" t="s">
        <v>43</v>
      </c>
      <c r="H133" t="s">
        <v>7</v>
      </c>
      <c r="I133" t="s">
        <v>253</v>
      </c>
      <c r="J133" t="s">
        <v>42</v>
      </c>
      <c r="K133" t="s">
        <v>334</v>
      </c>
      <c r="L133" t="s">
        <v>44</v>
      </c>
      <c r="M133" t="s">
        <v>45</v>
      </c>
      <c r="N133">
        <v>215</v>
      </c>
      <c r="O133" t="s">
        <v>119</v>
      </c>
      <c r="P133" t="s">
        <v>30</v>
      </c>
      <c r="Q133" s="4">
        <v>44714</v>
      </c>
      <c r="R133">
        <v>1</v>
      </c>
      <c r="S133" t="s">
        <v>107</v>
      </c>
      <c r="T133" t="s">
        <v>107</v>
      </c>
      <c r="U133" t="s">
        <v>271</v>
      </c>
      <c r="V133">
        <v>0</v>
      </c>
      <c r="AD133">
        <v>1</v>
      </c>
      <c r="AF133">
        <v>26</v>
      </c>
      <c r="AI133">
        <v>118</v>
      </c>
    </row>
    <row r="134" spans="1:35" x14ac:dyDescent="0.35">
      <c r="A134" t="s">
        <v>91</v>
      </c>
      <c r="B134" t="s">
        <v>24</v>
      </c>
      <c r="C134" t="s">
        <v>33</v>
      </c>
      <c r="D134" t="s">
        <v>34</v>
      </c>
      <c r="E134" t="s">
        <v>309</v>
      </c>
      <c r="F134" t="s">
        <v>42</v>
      </c>
      <c r="G134" s="20" t="s">
        <v>43</v>
      </c>
      <c r="H134" t="s">
        <v>7</v>
      </c>
      <c r="I134" t="s">
        <v>253</v>
      </c>
      <c r="J134" t="s">
        <v>42</v>
      </c>
      <c r="K134" t="s">
        <v>334</v>
      </c>
      <c r="L134" t="s">
        <v>44</v>
      </c>
      <c r="M134" t="s">
        <v>45</v>
      </c>
      <c r="N134">
        <v>216</v>
      </c>
      <c r="O134" t="s">
        <v>119</v>
      </c>
      <c r="P134" t="s">
        <v>30</v>
      </c>
      <c r="Q134" s="4">
        <v>44714</v>
      </c>
      <c r="R134">
        <v>0</v>
      </c>
      <c r="S134" t="s">
        <v>107</v>
      </c>
      <c r="T134" t="s">
        <v>107</v>
      </c>
      <c r="U134" t="s">
        <v>271</v>
      </c>
      <c r="V134">
        <v>0</v>
      </c>
      <c r="AD134">
        <v>1</v>
      </c>
      <c r="AF134">
        <v>26</v>
      </c>
      <c r="AI134">
        <v>119</v>
      </c>
    </row>
    <row r="135" spans="1:35" x14ac:dyDescent="0.35">
      <c r="A135" t="s">
        <v>91</v>
      </c>
      <c r="B135" t="s">
        <v>24</v>
      </c>
      <c r="C135" t="s">
        <v>33</v>
      </c>
      <c r="D135" t="s">
        <v>34</v>
      </c>
      <c r="E135" t="s">
        <v>309</v>
      </c>
      <c r="F135" t="s">
        <v>42</v>
      </c>
      <c r="G135" s="20" t="s">
        <v>43</v>
      </c>
      <c r="H135" t="s">
        <v>7</v>
      </c>
      <c r="I135" t="s">
        <v>253</v>
      </c>
      <c r="J135" t="s">
        <v>42</v>
      </c>
      <c r="K135" t="s">
        <v>334</v>
      </c>
      <c r="L135" t="s">
        <v>44</v>
      </c>
      <c r="M135" t="s">
        <v>45</v>
      </c>
      <c r="N135">
        <v>217</v>
      </c>
      <c r="O135" t="s">
        <v>119</v>
      </c>
      <c r="P135" t="s">
        <v>30</v>
      </c>
      <c r="Q135" s="4">
        <v>44714</v>
      </c>
      <c r="R135">
        <v>1</v>
      </c>
      <c r="S135" t="s">
        <v>107</v>
      </c>
      <c r="T135" t="s">
        <v>107</v>
      </c>
      <c r="U135" t="s">
        <v>271</v>
      </c>
      <c r="V135">
        <v>0</v>
      </c>
      <c r="AD135">
        <v>1</v>
      </c>
      <c r="AF135">
        <v>45</v>
      </c>
      <c r="AI135">
        <v>120</v>
      </c>
    </row>
    <row r="136" spans="1:35" x14ac:dyDescent="0.35">
      <c r="A136" t="s">
        <v>91</v>
      </c>
      <c r="B136" t="s">
        <v>24</v>
      </c>
      <c r="C136" t="s">
        <v>33</v>
      </c>
      <c r="D136" t="s">
        <v>34</v>
      </c>
      <c r="E136" t="s">
        <v>309</v>
      </c>
      <c r="F136" t="s">
        <v>42</v>
      </c>
      <c r="G136" s="20" t="s">
        <v>43</v>
      </c>
      <c r="H136" t="s">
        <v>7</v>
      </c>
      <c r="I136" t="s">
        <v>253</v>
      </c>
      <c r="J136" t="s">
        <v>42</v>
      </c>
      <c r="K136" t="s">
        <v>334</v>
      </c>
      <c r="L136" t="s">
        <v>44</v>
      </c>
      <c r="M136" t="s">
        <v>45</v>
      </c>
      <c r="N136">
        <v>218</v>
      </c>
      <c r="O136" t="s">
        <v>119</v>
      </c>
      <c r="P136" t="s">
        <v>30</v>
      </c>
      <c r="Q136" s="4">
        <v>44714</v>
      </c>
      <c r="R136">
        <v>0</v>
      </c>
      <c r="S136" t="s">
        <v>107</v>
      </c>
      <c r="T136" t="s">
        <v>107</v>
      </c>
      <c r="U136" t="s">
        <v>271</v>
      </c>
      <c r="V136">
        <v>0</v>
      </c>
      <c r="AD136">
        <v>1</v>
      </c>
      <c r="AF136">
        <v>45</v>
      </c>
      <c r="AI136">
        <v>121</v>
      </c>
    </row>
    <row r="137" spans="1:35" x14ac:dyDescent="0.35">
      <c r="A137" t="s">
        <v>91</v>
      </c>
      <c r="B137" t="s">
        <v>24</v>
      </c>
      <c r="C137" t="s">
        <v>33</v>
      </c>
      <c r="D137" t="s">
        <v>34</v>
      </c>
      <c r="E137" t="s">
        <v>309</v>
      </c>
      <c r="F137" t="s">
        <v>42</v>
      </c>
      <c r="G137" s="20" t="s">
        <v>43</v>
      </c>
      <c r="H137" t="s">
        <v>7</v>
      </c>
      <c r="I137" t="s">
        <v>253</v>
      </c>
      <c r="J137" t="s">
        <v>42</v>
      </c>
      <c r="K137" t="s">
        <v>334</v>
      </c>
      <c r="L137" t="s">
        <v>44</v>
      </c>
      <c r="M137" t="s">
        <v>45</v>
      </c>
      <c r="N137">
        <v>219</v>
      </c>
      <c r="O137" t="s">
        <v>119</v>
      </c>
      <c r="P137" t="s">
        <v>30</v>
      </c>
      <c r="Q137" s="4">
        <v>44714</v>
      </c>
      <c r="R137">
        <v>1</v>
      </c>
      <c r="S137" t="s">
        <v>107</v>
      </c>
      <c r="T137" t="s">
        <v>107</v>
      </c>
      <c r="U137" t="s">
        <v>271</v>
      </c>
      <c r="V137">
        <v>0</v>
      </c>
      <c r="AD137">
        <v>1</v>
      </c>
      <c r="AF137">
        <v>45</v>
      </c>
      <c r="AI137">
        <v>122</v>
      </c>
    </row>
    <row r="138" spans="1:35" x14ac:dyDescent="0.35">
      <c r="A138" t="s">
        <v>91</v>
      </c>
      <c r="B138" t="s">
        <v>24</v>
      </c>
      <c r="C138" t="s">
        <v>33</v>
      </c>
      <c r="D138" t="s">
        <v>34</v>
      </c>
      <c r="E138" t="s">
        <v>309</v>
      </c>
      <c r="F138" t="s">
        <v>42</v>
      </c>
      <c r="G138" s="20" t="s">
        <v>43</v>
      </c>
      <c r="H138" t="s">
        <v>7</v>
      </c>
      <c r="I138" t="s">
        <v>253</v>
      </c>
      <c r="J138" t="s">
        <v>42</v>
      </c>
      <c r="K138" t="s">
        <v>334</v>
      </c>
      <c r="L138" t="s">
        <v>44</v>
      </c>
      <c r="M138" t="s">
        <v>45</v>
      </c>
      <c r="N138">
        <v>220</v>
      </c>
      <c r="O138" t="s">
        <v>119</v>
      </c>
      <c r="P138" t="s">
        <v>30</v>
      </c>
      <c r="Q138" s="4">
        <v>44714</v>
      </c>
      <c r="R138">
        <v>1</v>
      </c>
      <c r="S138" t="s">
        <v>107</v>
      </c>
      <c r="T138" t="s">
        <v>107</v>
      </c>
      <c r="U138" t="s">
        <v>271</v>
      </c>
      <c r="V138">
        <v>0</v>
      </c>
      <c r="AD138">
        <v>1</v>
      </c>
      <c r="AF138">
        <v>45</v>
      </c>
      <c r="AI138">
        <v>123</v>
      </c>
    </row>
    <row r="139" spans="1:35" x14ac:dyDescent="0.35">
      <c r="A139" t="s">
        <v>91</v>
      </c>
      <c r="B139" t="s">
        <v>24</v>
      </c>
      <c r="C139" t="s">
        <v>33</v>
      </c>
      <c r="D139" t="s">
        <v>34</v>
      </c>
      <c r="E139" t="s">
        <v>309</v>
      </c>
      <c r="F139" t="s">
        <v>42</v>
      </c>
      <c r="G139" s="20" t="s">
        <v>43</v>
      </c>
      <c r="H139" t="s">
        <v>7</v>
      </c>
      <c r="I139" t="s">
        <v>253</v>
      </c>
      <c r="J139" t="s">
        <v>42</v>
      </c>
      <c r="K139" t="s">
        <v>334</v>
      </c>
      <c r="L139" t="s">
        <v>44</v>
      </c>
      <c r="M139" t="s">
        <v>45</v>
      </c>
      <c r="N139">
        <v>221</v>
      </c>
      <c r="O139" t="s">
        <v>119</v>
      </c>
      <c r="P139" t="s">
        <v>30</v>
      </c>
      <c r="Q139" s="4">
        <v>44714</v>
      </c>
      <c r="R139">
        <v>1</v>
      </c>
      <c r="S139" t="s">
        <v>107</v>
      </c>
      <c r="T139" t="s">
        <v>107</v>
      </c>
      <c r="U139" t="s">
        <v>271</v>
      </c>
      <c r="V139">
        <v>0</v>
      </c>
      <c r="AD139">
        <v>1</v>
      </c>
      <c r="AF139">
        <v>45</v>
      </c>
      <c r="AI139">
        <v>124</v>
      </c>
    </row>
    <row r="140" spans="1:35" x14ac:dyDescent="0.35">
      <c r="A140" t="s">
        <v>91</v>
      </c>
      <c r="B140" t="s">
        <v>24</v>
      </c>
      <c r="C140" t="s">
        <v>33</v>
      </c>
      <c r="D140" t="s">
        <v>34</v>
      </c>
      <c r="E140" t="s">
        <v>309</v>
      </c>
      <c r="F140" t="s">
        <v>42</v>
      </c>
      <c r="G140" s="20" t="s">
        <v>43</v>
      </c>
      <c r="H140" t="s">
        <v>7</v>
      </c>
      <c r="I140" t="s">
        <v>253</v>
      </c>
      <c r="J140" t="s">
        <v>42</v>
      </c>
      <c r="K140" t="s">
        <v>334</v>
      </c>
      <c r="L140" t="s">
        <v>44</v>
      </c>
      <c r="M140" t="s">
        <v>45</v>
      </c>
      <c r="N140">
        <v>222</v>
      </c>
      <c r="O140" t="s">
        <v>119</v>
      </c>
      <c r="P140" t="s">
        <v>30</v>
      </c>
      <c r="Q140" s="4">
        <v>44714</v>
      </c>
      <c r="R140">
        <v>0</v>
      </c>
      <c r="S140" t="s">
        <v>107</v>
      </c>
      <c r="T140" t="s">
        <v>107</v>
      </c>
      <c r="U140" t="s">
        <v>271</v>
      </c>
      <c r="V140">
        <v>0</v>
      </c>
      <c r="AD140">
        <v>1</v>
      </c>
      <c r="AF140">
        <v>45</v>
      </c>
      <c r="AI140">
        <v>125</v>
      </c>
    </row>
    <row r="141" spans="1:35" x14ac:dyDescent="0.35">
      <c r="A141" t="s">
        <v>91</v>
      </c>
      <c r="B141" t="s">
        <v>24</v>
      </c>
      <c r="C141" t="s">
        <v>33</v>
      </c>
      <c r="D141" t="s">
        <v>34</v>
      </c>
      <c r="E141" t="s">
        <v>309</v>
      </c>
      <c r="F141" t="s">
        <v>42</v>
      </c>
      <c r="G141" s="20" t="s">
        <v>43</v>
      </c>
      <c r="H141" t="s">
        <v>7</v>
      </c>
      <c r="I141" t="s">
        <v>253</v>
      </c>
      <c r="J141" t="s">
        <v>42</v>
      </c>
      <c r="K141" t="s">
        <v>334</v>
      </c>
      <c r="L141" t="s">
        <v>44</v>
      </c>
      <c r="M141" t="s">
        <v>45</v>
      </c>
      <c r="N141">
        <v>223</v>
      </c>
      <c r="O141" t="s">
        <v>119</v>
      </c>
      <c r="P141" t="s">
        <v>30</v>
      </c>
      <c r="Q141" s="4">
        <v>44714</v>
      </c>
      <c r="R141">
        <v>1</v>
      </c>
      <c r="S141" t="s">
        <v>107</v>
      </c>
      <c r="T141" t="s">
        <v>107</v>
      </c>
      <c r="U141" t="s">
        <v>271</v>
      </c>
      <c r="V141">
        <v>0</v>
      </c>
      <c r="AD141">
        <v>1</v>
      </c>
      <c r="AF141">
        <v>45</v>
      </c>
      <c r="AI141">
        <v>126</v>
      </c>
    </row>
    <row r="142" spans="1:35" x14ac:dyDescent="0.35">
      <c r="A142" t="s">
        <v>91</v>
      </c>
      <c r="B142" t="s">
        <v>24</v>
      </c>
      <c r="C142" t="s">
        <v>33</v>
      </c>
      <c r="D142" t="s">
        <v>34</v>
      </c>
      <c r="E142" t="s">
        <v>309</v>
      </c>
      <c r="F142" t="s">
        <v>42</v>
      </c>
      <c r="G142" s="20" t="s">
        <v>43</v>
      </c>
      <c r="H142" t="s">
        <v>7</v>
      </c>
      <c r="I142" t="s">
        <v>253</v>
      </c>
      <c r="J142" t="s">
        <v>42</v>
      </c>
      <c r="K142" t="s">
        <v>334</v>
      </c>
      <c r="L142" t="s">
        <v>44</v>
      </c>
      <c r="M142" t="s">
        <v>45</v>
      </c>
      <c r="N142">
        <v>224</v>
      </c>
      <c r="O142" t="s">
        <v>119</v>
      </c>
      <c r="P142" t="s">
        <v>30</v>
      </c>
      <c r="Q142" s="4">
        <v>44714</v>
      </c>
      <c r="R142">
        <v>1</v>
      </c>
      <c r="S142" t="s">
        <v>107</v>
      </c>
      <c r="T142" t="s">
        <v>107</v>
      </c>
      <c r="U142" t="s">
        <v>271</v>
      </c>
      <c r="V142">
        <v>0</v>
      </c>
      <c r="AD142">
        <v>1</v>
      </c>
      <c r="AF142">
        <v>45</v>
      </c>
      <c r="AI142">
        <v>127</v>
      </c>
    </row>
    <row r="143" spans="1:35" x14ac:dyDescent="0.35">
      <c r="A143" t="s">
        <v>91</v>
      </c>
      <c r="B143" t="s">
        <v>24</v>
      </c>
      <c r="C143" t="s">
        <v>33</v>
      </c>
      <c r="D143" t="s">
        <v>34</v>
      </c>
      <c r="E143" t="s">
        <v>309</v>
      </c>
      <c r="F143" t="s">
        <v>42</v>
      </c>
      <c r="G143" s="20" t="s">
        <v>43</v>
      </c>
      <c r="H143" t="s">
        <v>7</v>
      </c>
      <c r="I143" t="s">
        <v>253</v>
      </c>
      <c r="J143" t="s">
        <v>42</v>
      </c>
      <c r="K143" t="s">
        <v>334</v>
      </c>
      <c r="L143" t="s">
        <v>44</v>
      </c>
      <c r="M143" t="s">
        <v>45</v>
      </c>
      <c r="N143">
        <v>225</v>
      </c>
      <c r="O143" t="s">
        <v>119</v>
      </c>
      <c r="P143" t="s">
        <v>30</v>
      </c>
      <c r="Q143" s="4">
        <v>44714</v>
      </c>
      <c r="R143">
        <v>1</v>
      </c>
      <c r="S143" t="s">
        <v>107</v>
      </c>
      <c r="T143" t="s">
        <v>107</v>
      </c>
      <c r="U143" t="s">
        <v>271</v>
      </c>
      <c r="V143">
        <v>0</v>
      </c>
      <c r="AD143">
        <v>1</v>
      </c>
      <c r="AF143">
        <v>45</v>
      </c>
      <c r="AI143">
        <v>128</v>
      </c>
    </row>
    <row r="144" spans="1:35" x14ac:dyDescent="0.35">
      <c r="A144" t="s">
        <v>91</v>
      </c>
      <c r="B144" t="s">
        <v>24</v>
      </c>
      <c r="C144" t="s">
        <v>33</v>
      </c>
      <c r="D144" t="s">
        <v>34</v>
      </c>
      <c r="E144" t="s">
        <v>309</v>
      </c>
      <c r="F144" t="s">
        <v>42</v>
      </c>
      <c r="G144" s="20" t="s">
        <v>43</v>
      </c>
      <c r="H144" t="s">
        <v>7</v>
      </c>
      <c r="I144" t="s">
        <v>253</v>
      </c>
      <c r="J144" t="s">
        <v>42</v>
      </c>
      <c r="K144" t="s">
        <v>334</v>
      </c>
      <c r="L144" t="s">
        <v>44</v>
      </c>
      <c r="M144" t="s">
        <v>45</v>
      </c>
      <c r="N144">
        <v>226</v>
      </c>
      <c r="O144" t="s">
        <v>119</v>
      </c>
      <c r="P144" t="s">
        <v>30</v>
      </c>
      <c r="Q144" s="4">
        <v>44714</v>
      </c>
      <c r="R144">
        <v>0</v>
      </c>
      <c r="S144" t="s">
        <v>107</v>
      </c>
      <c r="T144" t="s">
        <v>107</v>
      </c>
      <c r="U144" t="s">
        <v>271</v>
      </c>
      <c r="V144">
        <v>0</v>
      </c>
      <c r="AD144">
        <v>1</v>
      </c>
      <c r="AF144">
        <v>45</v>
      </c>
      <c r="AI144">
        <v>129</v>
      </c>
    </row>
    <row r="145" spans="1:35" x14ac:dyDescent="0.35">
      <c r="A145" t="s">
        <v>91</v>
      </c>
      <c r="B145" t="s">
        <v>24</v>
      </c>
      <c r="C145" t="s">
        <v>33</v>
      </c>
      <c r="D145" t="s">
        <v>34</v>
      </c>
      <c r="E145" t="s">
        <v>309</v>
      </c>
      <c r="F145" t="s">
        <v>42</v>
      </c>
      <c r="G145" s="20" t="s">
        <v>43</v>
      </c>
      <c r="H145" t="s">
        <v>7</v>
      </c>
      <c r="I145" t="s">
        <v>253</v>
      </c>
      <c r="J145" t="s">
        <v>42</v>
      </c>
      <c r="K145" t="s">
        <v>334</v>
      </c>
      <c r="L145" t="s">
        <v>44</v>
      </c>
      <c r="M145" t="s">
        <v>45</v>
      </c>
      <c r="N145">
        <v>227</v>
      </c>
      <c r="O145" t="s">
        <v>119</v>
      </c>
      <c r="P145" t="s">
        <v>30</v>
      </c>
      <c r="Q145" s="4">
        <v>44714</v>
      </c>
      <c r="R145">
        <v>1</v>
      </c>
      <c r="S145" t="s">
        <v>107</v>
      </c>
      <c r="T145" t="s">
        <v>107</v>
      </c>
      <c r="U145" t="s">
        <v>271</v>
      </c>
      <c r="V145">
        <v>0</v>
      </c>
      <c r="AD145">
        <v>1</v>
      </c>
      <c r="AF145">
        <v>45</v>
      </c>
      <c r="AI145">
        <v>130</v>
      </c>
    </row>
    <row r="146" spans="1:35" x14ac:dyDescent="0.35">
      <c r="A146" t="s">
        <v>91</v>
      </c>
      <c r="B146" t="s">
        <v>24</v>
      </c>
      <c r="C146" t="s">
        <v>33</v>
      </c>
      <c r="D146" t="s">
        <v>34</v>
      </c>
      <c r="E146" t="s">
        <v>309</v>
      </c>
      <c r="F146" t="s">
        <v>42</v>
      </c>
      <c r="G146" s="20" t="s">
        <v>43</v>
      </c>
      <c r="H146" t="s">
        <v>7</v>
      </c>
      <c r="I146" t="s">
        <v>253</v>
      </c>
      <c r="J146" t="s">
        <v>42</v>
      </c>
      <c r="K146" t="s">
        <v>334</v>
      </c>
      <c r="L146" t="s">
        <v>44</v>
      </c>
      <c r="M146" t="s">
        <v>45</v>
      </c>
      <c r="N146">
        <v>228</v>
      </c>
      <c r="O146" t="s">
        <v>119</v>
      </c>
      <c r="P146" t="s">
        <v>30</v>
      </c>
      <c r="Q146" s="4">
        <v>44714</v>
      </c>
      <c r="R146">
        <v>0</v>
      </c>
      <c r="S146" t="s">
        <v>107</v>
      </c>
      <c r="T146" t="s">
        <v>107</v>
      </c>
      <c r="U146" t="s">
        <v>271</v>
      </c>
      <c r="V146">
        <v>0</v>
      </c>
      <c r="AD146">
        <v>1</v>
      </c>
      <c r="AF146">
        <v>45</v>
      </c>
      <c r="AI146">
        <v>131</v>
      </c>
    </row>
    <row r="147" spans="1:35" x14ac:dyDescent="0.35">
      <c r="A147" t="s">
        <v>91</v>
      </c>
      <c r="B147" t="s">
        <v>24</v>
      </c>
      <c r="C147" t="s">
        <v>33</v>
      </c>
      <c r="D147" t="s">
        <v>34</v>
      </c>
      <c r="E147" t="s">
        <v>309</v>
      </c>
      <c r="F147" t="s">
        <v>42</v>
      </c>
      <c r="G147" s="20" t="s">
        <v>43</v>
      </c>
      <c r="H147" t="s">
        <v>7</v>
      </c>
      <c r="I147" t="s">
        <v>253</v>
      </c>
      <c r="J147" t="s">
        <v>42</v>
      </c>
      <c r="K147" t="s">
        <v>334</v>
      </c>
      <c r="L147" t="s">
        <v>44</v>
      </c>
      <c r="M147" t="s">
        <v>45</v>
      </c>
      <c r="N147">
        <v>229</v>
      </c>
      <c r="O147" t="s">
        <v>119</v>
      </c>
      <c r="P147" t="s">
        <v>30</v>
      </c>
      <c r="Q147" s="4">
        <v>44714</v>
      </c>
      <c r="R147">
        <v>1</v>
      </c>
      <c r="S147" t="s">
        <v>107</v>
      </c>
      <c r="T147" t="s">
        <v>107</v>
      </c>
      <c r="U147" t="s">
        <v>271</v>
      </c>
      <c r="V147">
        <v>0</v>
      </c>
      <c r="AD147">
        <v>1</v>
      </c>
      <c r="AF147">
        <v>45</v>
      </c>
      <c r="AI147">
        <v>132</v>
      </c>
    </row>
    <row r="148" spans="1:35" x14ac:dyDescent="0.35">
      <c r="A148" t="s">
        <v>91</v>
      </c>
      <c r="B148" t="s">
        <v>24</v>
      </c>
      <c r="C148" t="s">
        <v>33</v>
      </c>
      <c r="D148" t="s">
        <v>34</v>
      </c>
      <c r="E148" t="s">
        <v>309</v>
      </c>
      <c r="F148" t="s">
        <v>42</v>
      </c>
      <c r="G148" s="20" t="s">
        <v>43</v>
      </c>
      <c r="H148" t="s">
        <v>7</v>
      </c>
      <c r="I148" t="s">
        <v>253</v>
      </c>
      <c r="J148" t="s">
        <v>42</v>
      </c>
      <c r="K148" t="s">
        <v>334</v>
      </c>
      <c r="L148" t="s">
        <v>44</v>
      </c>
      <c r="M148" t="s">
        <v>45</v>
      </c>
      <c r="N148">
        <v>230</v>
      </c>
      <c r="O148" t="s">
        <v>119</v>
      </c>
      <c r="P148" t="s">
        <v>30</v>
      </c>
      <c r="Q148" s="4">
        <v>44714</v>
      </c>
      <c r="R148">
        <v>1</v>
      </c>
      <c r="S148" t="s">
        <v>107</v>
      </c>
      <c r="T148" t="s">
        <v>107</v>
      </c>
      <c r="U148" t="s">
        <v>271</v>
      </c>
      <c r="V148">
        <v>0</v>
      </c>
      <c r="AD148">
        <v>1</v>
      </c>
      <c r="AF148">
        <v>45</v>
      </c>
      <c r="AI148">
        <v>133</v>
      </c>
    </row>
    <row r="149" spans="1:35" x14ac:dyDescent="0.35">
      <c r="A149" t="s">
        <v>91</v>
      </c>
      <c r="B149" t="s">
        <v>24</v>
      </c>
      <c r="C149" t="s">
        <v>33</v>
      </c>
      <c r="D149" t="s">
        <v>34</v>
      </c>
      <c r="E149" t="s">
        <v>309</v>
      </c>
      <c r="F149" t="s">
        <v>42</v>
      </c>
      <c r="G149" s="20" t="s">
        <v>43</v>
      </c>
      <c r="H149" t="s">
        <v>7</v>
      </c>
      <c r="I149" t="s">
        <v>253</v>
      </c>
      <c r="J149" t="s">
        <v>42</v>
      </c>
      <c r="K149" t="s">
        <v>334</v>
      </c>
      <c r="L149" t="s">
        <v>44</v>
      </c>
      <c r="M149" t="s">
        <v>45</v>
      </c>
      <c r="N149">
        <v>231</v>
      </c>
      <c r="O149" t="s">
        <v>119</v>
      </c>
      <c r="P149" t="s">
        <v>30</v>
      </c>
      <c r="Q149" s="4">
        <v>44714</v>
      </c>
      <c r="R149">
        <v>1</v>
      </c>
      <c r="S149" t="s">
        <v>107</v>
      </c>
      <c r="T149" t="s">
        <v>107</v>
      </c>
      <c r="U149" t="s">
        <v>271</v>
      </c>
      <c r="V149">
        <v>0</v>
      </c>
      <c r="AD149">
        <v>1</v>
      </c>
      <c r="AF149">
        <v>45</v>
      </c>
      <c r="AI149">
        <v>134</v>
      </c>
    </row>
    <row r="150" spans="1:35" x14ac:dyDescent="0.35">
      <c r="A150" t="s">
        <v>91</v>
      </c>
      <c r="B150" t="s">
        <v>24</v>
      </c>
      <c r="C150" t="s">
        <v>33</v>
      </c>
      <c r="D150" t="s">
        <v>34</v>
      </c>
      <c r="E150" t="s">
        <v>309</v>
      </c>
      <c r="F150" t="s">
        <v>42</v>
      </c>
      <c r="G150" s="20" t="s">
        <v>43</v>
      </c>
      <c r="H150" t="s">
        <v>7</v>
      </c>
      <c r="I150" t="s">
        <v>253</v>
      </c>
      <c r="J150" t="s">
        <v>42</v>
      </c>
      <c r="K150" t="s">
        <v>334</v>
      </c>
      <c r="L150" t="s">
        <v>44</v>
      </c>
      <c r="M150" t="s">
        <v>45</v>
      </c>
      <c r="N150">
        <v>232</v>
      </c>
      <c r="O150" t="s">
        <v>119</v>
      </c>
      <c r="P150" t="s">
        <v>30</v>
      </c>
      <c r="Q150" s="4">
        <v>44714</v>
      </c>
      <c r="R150">
        <v>0</v>
      </c>
      <c r="S150" t="s">
        <v>107</v>
      </c>
      <c r="T150" t="s">
        <v>107</v>
      </c>
      <c r="U150" t="s">
        <v>271</v>
      </c>
      <c r="V150">
        <v>0</v>
      </c>
      <c r="AD150">
        <v>1</v>
      </c>
      <c r="AF150">
        <v>45</v>
      </c>
      <c r="AI150">
        <v>135</v>
      </c>
    </row>
    <row r="151" spans="1:35" x14ac:dyDescent="0.35">
      <c r="A151" t="s">
        <v>91</v>
      </c>
      <c r="B151" t="s">
        <v>24</v>
      </c>
      <c r="C151" t="s">
        <v>33</v>
      </c>
      <c r="D151" t="s">
        <v>34</v>
      </c>
      <c r="E151" t="s">
        <v>309</v>
      </c>
      <c r="F151" t="s">
        <v>42</v>
      </c>
      <c r="G151" s="20" t="s">
        <v>43</v>
      </c>
      <c r="H151" t="s">
        <v>7</v>
      </c>
      <c r="I151" t="s">
        <v>253</v>
      </c>
      <c r="J151" t="s">
        <v>42</v>
      </c>
      <c r="K151" t="s">
        <v>334</v>
      </c>
      <c r="L151" t="s">
        <v>44</v>
      </c>
      <c r="M151" t="s">
        <v>45</v>
      </c>
      <c r="N151">
        <v>233</v>
      </c>
      <c r="O151" t="s">
        <v>119</v>
      </c>
      <c r="P151" t="s">
        <v>30</v>
      </c>
      <c r="Q151" s="4">
        <v>44714</v>
      </c>
      <c r="R151">
        <v>0</v>
      </c>
      <c r="S151" t="s">
        <v>107</v>
      </c>
      <c r="T151" t="s">
        <v>107</v>
      </c>
      <c r="U151" t="s">
        <v>271</v>
      </c>
      <c r="V151">
        <v>0</v>
      </c>
      <c r="AD151">
        <v>1</v>
      </c>
      <c r="AF151">
        <v>45</v>
      </c>
      <c r="AI151">
        <v>136</v>
      </c>
    </row>
    <row r="152" spans="1:35" x14ac:dyDescent="0.35">
      <c r="A152" t="s">
        <v>91</v>
      </c>
      <c r="B152" t="s">
        <v>24</v>
      </c>
      <c r="C152" t="s">
        <v>33</v>
      </c>
      <c r="D152" t="s">
        <v>34</v>
      </c>
      <c r="E152" t="s">
        <v>309</v>
      </c>
      <c r="F152" t="s">
        <v>42</v>
      </c>
      <c r="G152" s="20" t="s">
        <v>43</v>
      </c>
      <c r="H152" t="s">
        <v>7</v>
      </c>
      <c r="I152" t="s">
        <v>253</v>
      </c>
      <c r="J152" t="s">
        <v>42</v>
      </c>
      <c r="K152" t="s">
        <v>334</v>
      </c>
      <c r="L152" t="s">
        <v>44</v>
      </c>
      <c r="M152" t="s">
        <v>45</v>
      </c>
      <c r="N152">
        <v>234</v>
      </c>
      <c r="O152" t="s">
        <v>119</v>
      </c>
      <c r="P152" t="s">
        <v>30</v>
      </c>
      <c r="Q152" s="4">
        <v>44714</v>
      </c>
      <c r="R152">
        <v>0</v>
      </c>
      <c r="S152" t="s">
        <v>107</v>
      </c>
      <c r="T152" t="s">
        <v>107</v>
      </c>
      <c r="U152" t="s">
        <v>271</v>
      </c>
      <c r="V152">
        <v>0</v>
      </c>
      <c r="AD152">
        <v>1</v>
      </c>
      <c r="AF152">
        <v>45</v>
      </c>
      <c r="AI152">
        <v>137</v>
      </c>
    </row>
    <row r="153" spans="1:35" x14ac:dyDescent="0.35">
      <c r="A153" t="s">
        <v>91</v>
      </c>
      <c r="B153" t="s">
        <v>24</v>
      </c>
      <c r="C153" t="s">
        <v>33</v>
      </c>
      <c r="D153" t="s">
        <v>34</v>
      </c>
      <c r="E153" t="s">
        <v>309</v>
      </c>
      <c r="F153" t="s">
        <v>42</v>
      </c>
      <c r="G153" s="20" t="s">
        <v>43</v>
      </c>
      <c r="H153" t="s">
        <v>7</v>
      </c>
      <c r="I153" t="s">
        <v>253</v>
      </c>
      <c r="J153" t="s">
        <v>42</v>
      </c>
      <c r="K153" t="s">
        <v>334</v>
      </c>
      <c r="L153" t="s">
        <v>44</v>
      </c>
      <c r="M153" t="s">
        <v>45</v>
      </c>
      <c r="N153">
        <v>235</v>
      </c>
      <c r="O153" t="s">
        <v>119</v>
      </c>
      <c r="P153" t="s">
        <v>30</v>
      </c>
      <c r="Q153" s="4">
        <v>44714</v>
      </c>
      <c r="R153">
        <v>0</v>
      </c>
      <c r="S153" t="s">
        <v>107</v>
      </c>
      <c r="T153" t="s">
        <v>107</v>
      </c>
      <c r="U153" t="s">
        <v>271</v>
      </c>
      <c r="V153">
        <v>0</v>
      </c>
      <c r="AD153">
        <v>1</v>
      </c>
      <c r="AF153">
        <v>45</v>
      </c>
      <c r="AI153">
        <v>138</v>
      </c>
    </row>
    <row r="154" spans="1:35" x14ac:dyDescent="0.35">
      <c r="A154" t="s">
        <v>91</v>
      </c>
      <c r="B154" t="s">
        <v>24</v>
      </c>
      <c r="C154" t="s">
        <v>33</v>
      </c>
      <c r="D154" t="s">
        <v>34</v>
      </c>
      <c r="E154" t="s">
        <v>309</v>
      </c>
      <c r="F154" t="s">
        <v>42</v>
      </c>
      <c r="G154" s="20" t="s">
        <v>43</v>
      </c>
      <c r="H154" t="s">
        <v>7</v>
      </c>
      <c r="I154" t="s">
        <v>253</v>
      </c>
      <c r="J154" t="s">
        <v>42</v>
      </c>
      <c r="K154" t="s">
        <v>334</v>
      </c>
      <c r="L154" t="s">
        <v>44</v>
      </c>
      <c r="M154" t="s">
        <v>45</v>
      </c>
      <c r="N154">
        <v>236</v>
      </c>
      <c r="O154" t="s">
        <v>119</v>
      </c>
      <c r="P154" t="s">
        <v>30</v>
      </c>
      <c r="Q154" s="4">
        <v>44714</v>
      </c>
      <c r="R154">
        <v>0</v>
      </c>
      <c r="S154" t="s">
        <v>107</v>
      </c>
      <c r="T154" t="s">
        <v>107</v>
      </c>
      <c r="U154" t="s">
        <v>271</v>
      </c>
      <c r="V154">
        <v>0</v>
      </c>
      <c r="AD154">
        <v>1</v>
      </c>
      <c r="AF154">
        <v>45</v>
      </c>
      <c r="AI154">
        <v>139</v>
      </c>
    </row>
    <row r="155" spans="1:35" x14ac:dyDescent="0.35">
      <c r="A155" t="s">
        <v>91</v>
      </c>
      <c r="B155" t="s">
        <v>24</v>
      </c>
      <c r="C155" t="s">
        <v>33</v>
      </c>
      <c r="D155" t="s">
        <v>34</v>
      </c>
      <c r="E155" t="s">
        <v>309</v>
      </c>
      <c r="F155" t="s">
        <v>42</v>
      </c>
      <c r="G155" s="20" t="s">
        <v>43</v>
      </c>
      <c r="H155" t="s">
        <v>7</v>
      </c>
      <c r="I155" t="s">
        <v>253</v>
      </c>
      <c r="J155" t="s">
        <v>42</v>
      </c>
      <c r="K155" t="s">
        <v>334</v>
      </c>
      <c r="L155" t="s">
        <v>44</v>
      </c>
      <c r="M155" t="s">
        <v>45</v>
      </c>
      <c r="N155">
        <v>237</v>
      </c>
      <c r="O155" t="s">
        <v>119</v>
      </c>
      <c r="P155" t="s">
        <v>30</v>
      </c>
      <c r="Q155" s="4">
        <v>44714</v>
      </c>
      <c r="R155">
        <v>0</v>
      </c>
      <c r="S155" t="s">
        <v>107</v>
      </c>
      <c r="T155" t="s">
        <v>107</v>
      </c>
      <c r="U155" t="s">
        <v>271</v>
      </c>
      <c r="V155">
        <v>0</v>
      </c>
      <c r="AD155">
        <v>1</v>
      </c>
      <c r="AF155">
        <v>45</v>
      </c>
      <c r="AI155">
        <v>140</v>
      </c>
    </row>
    <row r="156" spans="1:35" x14ac:dyDescent="0.35">
      <c r="A156" t="s">
        <v>91</v>
      </c>
      <c r="B156" t="s">
        <v>24</v>
      </c>
      <c r="C156" t="s">
        <v>33</v>
      </c>
      <c r="D156" t="s">
        <v>34</v>
      </c>
      <c r="E156" t="s">
        <v>309</v>
      </c>
      <c r="F156" t="s">
        <v>42</v>
      </c>
      <c r="G156" s="20" t="s">
        <v>43</v>
      </c>
      <c r="H156" t="s">
        <v>7</v>
      </c>
      <c r="I156" t="s">
        <v>253</v>
      </c>
      <c r="J156" t="s">
        <v>42</v>
      </c>
      <c r="K156" t="s">
        <v>334</v>
      </c>
      <c r="L156" t="s">
        <v>44</v>
      </c>
      <c r="M156" t="s">
        <v>45</v>
      </c>
      <c r="N156">
        <v>238</v>
      </c>
      <c r="O156" t="s">
        <v>119</v>
      </c>
      <c r="P156" t="s">
        <v>30</v>
      </c>
      <c r="Q156" s="4">
        <v>44714</v>
      </c>
      <c r="R156">
        <v>0</v>
      </c>
      <c r="S156" t="s">
        <v>107</v>
      </c>
      <c r="T156" t="s">
        <v>107</v>
      </c>
      <c r="U156" t="s">
        <v>271</v>
      </c>
      <c r="V156">
        <v>0</v>
      </c>
      <c r="AD156">
        <v>1</v>
      </c>
      <c r="AF156">
        <v>45</v>
      </c>
      <c r="AI156">
        <v>141</v>
      </c>
    </row>
    <row r="157" spans="1:35" x14ac:dyDescent="0.35">
      <c r="A157" t="s">
        <v>91</v>
      </c>
      <c r="B157" t="s">
        <v>24</v>
      </c>
      <c r="C157" t="s">
        <v>33</v>
      </c>
      <c r="D157" t="s">
        <v>34</v>
      </c>
      <c r="E157" t="s">
        <v>309</v>
      </c>
      <c r="F157" t="s">
        <v>42</v>
      </c>
      <c r="G157" s="20" t="s">
        <v>43</v>
      </c>
      <c r="H157" t="s">
        <v>7</v>
      </c>
      <c r="I157" t="s">
        <v>253</v>
      </c>
      <c r="J157" t="s">
        <v>42</v>
      </c>
      <c r="K157" t="s">
        <v>334</v>
      </c>
      <c r="L157" t="s">
        <v>44</v>
      </c>
      <c r="M157" t="s">
        <v>45</v>
      </c>
      <c r="N157">
        <v>239</v>
      </c>
      <c r="O157" t="s">
        <v>119</v>
      </c>
      <c r="P157" t="s">
        <v>30</v>
      </c>
      <c r="Q157" s="4">
        <v>44714</v>
      </c>
      <c r="R157">
        <v>0</v>
      </c>
      <c r="S157" t="s">
        <v>107</v>
      </c>
      <c r="T157" t="s">
        <v>107</v>
      </c>
      <c r="U157" t="s">
        <v>271</v>
      </c>
      <c r="V157">
        <v>0</v>
      </c>
      <c r="AD157">
        <v>1</v>
      </c>
      <c r="AF157">
        <v>45</v>
      </c>
      <c r="AI157">
        <v>142</v>
      </c>
    </row>
    <row r="158" spans="1:35" x14ac:dyDescent="0.35">
      <c r="A158" t="s">
        <v>91</v>
      </c>
      <c r="B158" t="s">
        <v>24</v>
      </c>
      <c r="C158" t="s">
        <v>33</v>
      </c>
      <c r="D158" t="s">
        <v>34</v>
      </c>
      <c r="E158" t="s">
        <v>309</v>
      </c>
      <c r="F158" t="s">
        <v>42</v>
      </c>
      <c r="G158" s="20" t="s">
        <v>43</v>
      </c>
      <c r="H158" t="s">
        <v>7</v>
      </c>
      <c r="I158" t="s">
        <v>253</v>
      </c>
      <c r="J158" t="s">
        <v>42</v>
      </c>
      <c r="K158" t="s">
        <v>334</v>
      </c>
      <c r="L158" t="s">
        <v>44</v>
      </c>
      <c r="M158" t="s">
        <v>45</v>
      </c>
      <c r="N158">
        <v>240</v>
      </c>
      <c r="O158" t="s">
        <v>119</v>
      </c>
      <c r="P158" t="s">
        <v>30</v>
      </c>
      <c r="Q158" s="4">
        <v>44714</v>
      </c>
      <c r="R158">
        <v>0</v>
      </c>
      <c r="S158" t="s">
        <v>107</v>
      </c>
      <c r="T158" t="s">
        <v>107</v>
      </c>
      <c r="U158" t="s">
        <v>271</v>
      </c>
      <c r="V158">
        <v>0</v>
      </c>
      <c r="AD158">
        <v>1</v>
      </c>
      <c r="AF158">
        <v>45</v>
      </c>
      <c r="AI158">
        <v>143</v>
      </c>
    </row>
    <row r="159" spans="1:35" x14ac:dyDescent="0.35">
      <c r="A159" t="s">
        <v>91</v>
      </c>
      <c r="B159" t="s">
        <v>24</v>
      </c>
      <c r="C159" t="s">
        <v>33</v>
      </c>
      <c r="D159" t="s">
        <v>34</v>
      </c>
      <c r="E159" t="s">
        <v>309</v>
      </c>
      <c r="F159" t="s">
        <v>42</v>
      </c>
      <c r="G159" s="20" t="s">
        <v>43</v>
      </c>
      <c r="H159" t="s">
        <v>7</v>
      </c>
      <c r="I159" t="s">
        <v>253</v>
      </c>
      <c r="J159" t="s">
        <v>42</v>
      </c>
      <c r="K159" t="s">
        <v>334</v>
      </c>
      <c r="L159" t="s">
        <v>44</v>
      </c>
      <c r="M159" t="s">
        <v>45</v>
      </c>
      <c r="N159">
        <v>241</v>
      </c>
      <c r="O159" t="s">
        <v>119</v>
      </c>
      <c r="P159" t="s">
        <v>30</v>
      </c>
      <c r="Q159" s="4">
        <v>44714</v>
      </c>
      <c r="R159">
        <v>0</v>
      </c>
      <c r="S159" t="s">
        <v>107</v>
      </c>
      <c r="T159" t="s">
        <v>107</v>
      </c>
      <c r="U159" t="s">
        <v>271</v>
      </c>
      <c r="V159">
        <v>0</v>
      </c>
      <c r="AD159">
        <v>1</v>
      </c>
      <c r="AF159">
        <v>45</v>
      </c>
      <c r="AI159">
        <v>144</v>
      </c>
    </row>
    <row r="160" spans="1:35" x14ac:dyDescent="0.35">
      <c r="A160" t="s">
        <v>91</v>
      </c>
      <c r="B160" t="s">
        <v>24</v>
      </c>
      <c r="C160" t="s">
        <v>33</v>
      </c>
      <c r="D160" t="s">
        <v>34</v>
      </c>
      <c r="E160" t="s">
        <v>309</v>
      </c>
      <c r="F160" t="s">
        <v>42</v>
      </c>
      <c r="G160" s="20" t="s">
        <v>43</v>
      </c>
      <c r="H160" t="s">
        <v>7</v>
      </c>
      <c r="I160" t="s">
        <v>253</v>
      </c>
      <c r="J160" t="s">
        <v>42</v>
      </c>
      <c r="K160" t="s">
        <v>334</v>
      </c>
      <c r="L160" t="s">
        <v>44</v>
      </c>
      <c r="M160" t="s">
        <v>45</v>
      </c>
      <c r="N160">
        <v>242</v>
      </c>
      <c r="O160" t="s">
        <v>119</v>
      </c>
      <c r="P160" t="s">
        <v>30</v>
      </c>
      <c r="Q160" s="4">
        <v>44714</v>
      </c>
      <c r="R160">
        <v>0</v>
      </c>
      <c r="S160" t="s">
        <v>107</v>
      </c>
      <c r="T160" t="s">
        <v>107</v>
      </c>
      <c r="U160" t="s">
        <v>271</v>
      </c>
      <c r="V160">
        <v>0</v>
      </c>
      <c r="AD160">
        <v>1</v>
      </c>
      <c r="AF160">
        <v>45</v>
      </c>
      <c r="AI160">
        <v>145</v>
      </c>
    </row>
    <row r="161" spans="1:35" x14ac:dyDescent="0.35">
      <c r="A161" t="s">
        <v>91</v>
      </c>
      <c r="B161" t="s">
        <v>24</v>
      </c>
      <c r="C161" t="s">
        <v>33</v>
      </c>
      <c r="D161" t="s">
        <v>34</v>
      </c>
      <c r="E161" t="s">
        <v>309</v>
      </c>
      <c r="F161" t="s">
        <v>42</v>
      </c>
      <c r="G161" s="20" t="s">
        <v>43</v>
      </c>
      <c r="H161" t="s">
        <v>7</v>
      </c>
      <c r="I161" t="s">
        <v>253</v>
      </c>
      <c r="J161" t="s">
        <v>42</v>
      </c>
      <c r="K161" t="s">
        <v>334</v>
      </c>
      <c r="L161" t="s">
        <v>44</v>
      </c>
      <c r="M161" t="s">
        <v>45</v>
      </c>
      <c r="N161">
        <v>243</v>
      </c>
      <c r="O161" t="s">
        <v>119</v>
      </c>
      <c r="P161" t="s">
        <v>30</v>
      </c>
      <c r="Q161" s="4">
        <v>44714</v>
      </c>
      <c r="R161">
        <v>1</v>
      </c>
      <c r="S161" t="s">
        <v>107</v>
      </c>
      <c r="T161" t="s">
        <v>107</v>
      </c>
      <c r="U161" t="s">
        <v>271</v>
      </c>
      <c r="V161">
        <v>0</v>
      </c>
      <c r="AD161">
        <v>1</v>
      </c>
      <c r="AF161">
        <v>45</v>
      </c>
      <c r="AI161">
        <v>146</v>
      </c>
    </row>
    <row r="162" spans="1:35" x14ac:dyDescent="0.35">
      <c r="A162" t="s">
        <v>91</v>
      </c>
      <c r="B162" t="s">
        <v>24</v>
      </c>
      <c r="C162" t="s">
        <v>33</v>
      </c>
      <c r="D162" t="s">
        <v>34</v>
      </c>
      <c r="E162" t="s">
        <v>309</v>
      </c>
      <c r="F162" t="s">
        <v>42</v>
      </c>
      <c r="G162" s="20" t="s">
        <v>43</v>
      </c>
      <c r="H162" t="s">
        <v>7</v>
      </c>
      <c r="I162" t="s">
        <v>253</v>
      </c>
      <c r="J162" t="s">
        <v>42</v>
      </c>
      <c r="K162" t="s">
        <v>334</v>
      </c>
      <c r="L162" t="s">
        <v>44</v>
      </c>
      <c r="M162" t="s">
        <v>45</v>
      </c>
      <c r="N162">
        <v>244</v>
      </c>
      <c r="O162" t="s">
        <v>119</v>
      </c>
      <c r="P162" t="s">
        <v>30</v>
      </c>
      <c r="Q162" s="4">
        <v>44714</v>
      </c>
      <c r="R162">
        <v>1</v>
      </c>
      <c r="S162" t="s">
        <v>107</v>
      </c>
      <c r="T162" t="s">
        <v>107</v>
      </c>
      <c r="U162" t="s">
        <v>271</v>
      </c>
      <c r="V162">
        <v>0</v>
      </c>
      <c r="AD162">
        <v>1</v>
      </c>
      <c r="AF162">
        <v>30</v>
      </c>
      <c r="AI162">
        <v>147</v>
      </c>
    </row>
    <row r="163" spans="1:35" x14ac:dyDescent="0.35">
      <c r="A163" t="s">
        <v>91</v>
      </c>
      <c r="B163" t="s">
        <v>24</v>
      </c>
      <c r="C163" t="s">
        <v>33</v>
      </c>
      <c r="D163" t="s">
        <v>34</v>
      </c>
      <c r="E163" t="s">
        <v>309</v>
      </c>
      <c r="F163" t="s">
        <v>42</v>
      </c>
      <c r="G163" s="20" t="s">
        <v>43</v>
      </c>
      <c r="H163" t="s">
        <v>7</v>
      </c>
      <c r="I163" t="s">
        <v>253</v>
      </c>
      <c r="J163" t="s">
        <v>42</v>
      </c>
      <c r="K163" t="s">
        <v>334</v>
      </c>
      <c r="L163" t="s">
        <v>44</v>
      </c>
      <c r="M163" t="s">
        <v>45</v>
      </c>
      <c r="N163">
        <v>245</v>
      </c>
      <c r="O163" t="s">
        <v>119</v>
      </c>
      <c r="P163" t="s">
        <v>30</v>
      </c>
      <c r="Q163" s="4">
        <v>44714</v>
      </c>
      <c r="R163">
        <v>0</v>
      </c>
      <c r="S163" t="s">
        <v>107</v>
      </c>
      <c r="T163" t="s">
        <v>107</v>
      </c>
      <c r="U163" t="s">
        <v>271</v>
      </c>
      <c r="V163">
        <v>0</v>
      </c>
      <c r="AD163">
        <v>1</v>
      </c>
      <c r="AF163">
        <v>30</v>
      </c>
      <c r="AI163">
        <v>148</v>
      </c>
    </row>
    <row r="164" spans="1:35" x14ac:dyDescent="0.35">
      <c r="A164" t="s">
        <v>91</v>
      </c>
      <c r="B164" t="s">
        <v>24</v>
      </c>
      <c r="C164" t="s">
        <v>33</v>
      </c>
      <c r="D164" t="s">
        <v>34</v>
      </c>
      <c r="E164" t="s">
        <v>309</v>
      </c>
      <c r="F164" t="s">
        <v>42</v>
      </c>
      <c r="G164" s="20" t="s">
        <v>43</v>
      </c>
      <c r="H164" t="s">
        <v>7</v>
      </c>
      <c r="I164" t="s">
        <v>253</v>
      </c>
      <c r="J164" t="s">
        <v>42</v>
      </c>
      <c r="K164" t="s">
        <v>334</v>
      </c>
      <c r="L164" t="s">
        <v>44</v>
      </c>
      <c r="M164" t="s">
        <v>45</v>
      </c>
      <c r="N164">
        <v>246</v>
      </c>
      <c r="O164" t="s">
        <v>119</v>
      </c>
      <c r="P164" t="s">
        <v>30</v>
      </c>
      <c r="Q164" s="4">
        <v>44714</v>
      </c>
      <c r="R164">
        <v>0</v>
      </c>
      <c r="S164" t="s">
        <v>107</v>
      </c>
      <c r="T164" t="s">
        <v>107</v>
      </c>
      <c r="U164" t="s">
        <v>271</v>
      </c>
      <c r="V164">
        <v>0</v>
      </c>
      <c r="AD164">
        <v>1</v>
      </c>
      <c r="AF164">
        <v>30</v>
      </c>
      <c r="AI164">
        <v>149</v>
      </c>
    </row>
    <row r="165" spans="1:35" x14ac:dyDescent="0.35">
      <c r="A165" t="s">
        <v>91</v>
      </c>
      <c r="B165" t="s">
        <v>24</v>
      </c>
      <c r="C165" t="s">
        <v>33</v>
      </c>
      <c r="D165" t="s">
        <v>34</v>
      </c>
      <c r="E165" t="s">
        <v>309</v>
      </c>
      <c r="F165" t="s">
        <v>42</v>
      </c>
      <c r="G165" s="20" t="s">
        <v>43</v>
      </c>
      <c r="H165" t="s">
        <v>7</v>
      </c>
      <c r="I165" t="s">
        <v>253</v>
      </c>
      <c r="J165" t="s">
        <v>42</v>
      </c>
      <c r="K165" t="s">
        <v>334</v>
      </c>
      <c r="L165" t="s">
        <v>44</v>
      </c>
      <c r="M165" t="s">
        <v>45</v>
      </c>
      <c r="N165">
        <v>247</v>
      </c>
      <c r="O165" t="s">
        <v>119</v>
      </c>
      <c r="P165" t="s">
        <v>30</v>
      </c>
      <c r="Q165" s="4">
        <v>44714</v>
      </c>
      <c r="R165">
        <v>0</v>
      </c>
      <c r="S165" t="s">
        <v>107</v>
      </c>
      <c r="T165" t="s">
        <v>107</v>
      </c>
      <c r="U165" t="s">
        <v>271</v>
      </c>
      <c r="V165">
        <v>0</v>
      </c>
      <c r="AD165">
        <v>1</v>
      </c>
      <c r="AF165">
        <v>30</v>
      </c>
      <c r="AI165">
        <v>150</v>
      </c>
    </row>
    <row r="166" spans="1:35" x14ac:dyDescent="0.35">
      <c r="A166" t="s">
        <v>91</v>
      </c>
      <c r="B166" t="s">
        <v>24</v>
      </c>
      <c r="C166" t="s">
        <v>33</v>
      </c>
      <c r="D166" t="s">
        <v>34</v>
      </c>
      <c r="E166" t="s">
        <v>309</v>
      </c>
      <c r="F166" t="s">
        <v>42</v>
      </c>
      <c r="G166" s="20" t="s">
        <v>43</v>
      </c>
      <c r="H166" t="s">
        <v>7</v>
      </c>
      <c r="I166" t="s">
        <v>253</v>
      </c>
      <c r="J166" t="s">
        <v>42</v>
      </c>
      <c r="K166" t="s">
        <v>334</v>
      </c>
      <c r="L166" t="s">
        <v>44</v>
      </c>
      <c r="M166" t="s">
        <v>45</v>
      </c>
      <c r="N166">
        <v>248</v>
      </c>
      <c r="O166" t="s">
        <v>119</v>
      </c>
      <c r="P166" t="s">
        <v>30</v>
      </c>
      <c r="Q166" s="4">
        <v>44714</v>
      </c>
      <c r="R166">
        <v>0</v>
      </c>
      <c r="S166" t="s">
        <v>107</v>
      </c>
      <c r="T166" t="s">
        <v>107</v>
      </c>
      <c r="U166" t="s">
        <v>271</v>
      </c>
      <c r="V166">
        <v>0</v>
      </c>
      <c r="AD166">
        <v>1</v>
      </c>
      <c r="AF166">
        <v>30</v>
      </c>
      <c r="AI166">
        <v>151</v>
      </c>
    </row>
    <row r="167" spans="1:35" x14ac:dyDescent="0.35">
      <c r="A167" t="s">
        <v>91</v>
      </c>
      <c r="B167" t="s">
        <v>24</v>
      </c>
      <c r="C167" t="s">
        <v>33</v>
      </c>
      <c r="D167" t="s">
        <v>34</v>
      </c>
      <c r="E167" t="s">
        <v>309</v>
      </c>
      <c r="F167" t="s">
        <v>42</v>
      </c>
      <c r="G167" s="20" t="s">
        <v>43</v>
      </c>
      <c r="H167" t="s">
        <v>7</v>
      </c>
      <c r="I167" t="s">
        <v>253</v>
      </c>
      <c r="J167" t="s">
        <v>42</v>
      </c>
      <c r="K167" t="s">
        <v>334</v>
      </c>
      <c r="L167" t="s">
        <v>44</v>
      </c>
      <c r="M167" t="s">
        <v>45</v>
      </c>
      <c r="N167">
        <v>249</v>
      </c>
      <c r="O167" t="s">
        <v>119</v>
      </c>
      <c r="P167" t="s">
        <v>30</v>
      </c>
      <c r="Q167" s="4">
        <v>44714</v>
      </c>
      <c r="R167">
        <v>0</v>
      </c>
      <c r="S167" t="s">
        <v>107</v>
      </c>
      <c r="T167" t="s">
        <v>107</v>
      </c>
      <c r="U167" t="s">
        <v>271</v>
      </c>
      <c r="V167">
        <v>0</v>
      </c>
      <c r="AD167">
        <v>1</v>
      </c>
      <c r="AF167">
        <v>30</v>
      </c>
      <c r="AI167">
        <v>152</v>
      </c>
    </row>
    <row r="168" spans="1:35" x14ac:dyDescent="0.35">
      <c r="A168" t="s">
        <v>91</v>
      </c>
      <c r="B168" t="s">
        <v>24</v>
      </c>
      <c r="C168" t="s">
        <v>33</v>
      </c>
      <c r="D168" t="s">
        <v>34</v>
      </c>
      <c r="E168" t="s">
        <v>309</v>
      </c>
      <c r="F168" t="s">
        <v>42</v>
      </c>
      <c r="G168" s="20" t="s">
        <v>43</v>
      </c>
      <c r="H168" t="s">
        <v>7</v>
      </c>
      <c r="I168" t="s">
        <v>253</v>
      </c>
      <c r="J168" t="s">
        <v>42</v>
      </c>
      <c r="K168" t="s">
        <v>334</v>
      </c>
      <c r="L168" t="s">
        <v>44</v>
      </c>
      <c r="M168" t="s">
        <v>45</v>
      </c>
      <c r="N168">
        <v>250</v>
      </c>
      <c r="O168" t="s">
        <v>119</v>
      </c>
      <c r="P168" t="s">
        <v>30</v>
      </c>
      <c r="Q168" s="4">
        <v>44714</v>
      </c>
      <c r="R168">
        <v>0</v>
      </c>
      <c r="S168" t="s">
        <v>107</v>
      </c>
      <c r="T168" t="s">
        <v>107</v>
      </c>
      <c r="U168" t="s">
        <v>271</v>
      </c>
      <c r="V168">
        <v>0</v>
      </c>
      <c r="AD168">
        <v>1</v>
      </c>
      <c r="AF168">
        <v>30</v>
      </c>
      <c r="AI168">
        <v>153</v>
      </c>
    </row>
    <row r="169" spans="1:35" x14ac:dyDescent="0.35">
      <c r="A169" t="s">
        <v>91</v>
      </c>
      <c r="B169" t="s">
        <v>24</v>
      </c>
      <c r="C169" t="s">
        <v>33</v>
      </c>
      <c r="D169" t="s">
        <v>34</v>
      </c>
      <c r="E169" t="s">
        <v>309</v>
      </c>
      <c r="F169" t="s">
        <v>42</v>
      </c>
      <c r="G169" s="20" t="s">
        <v>43</v>
      </c>
      <c r="H169" t="s">
        <v>7</v>
      </c>
      <c r="I169" t="s">
        <v>253</v>
      </c>
      <c r="J169" t="s">
        <v>42</v>
      </c>
      <c r="K169" t="s">
        <v>334</v>
      </c>
      <c r="L169" t="s">
        <v>44</v>
      </c>
      <c r="M169" t="s">
        <v>45</v>
      </c>
      <c r="N169">
        <v>251</v>
      </c>
      <c r="O169" t="s">
        <v>119</v>
      </c>
      <c r="P169" t="s">
        <v>30</v>
      </c>
      <c r="Q169" s="4">
        <v>44714</v>
      </c>
      <c r="R169">
        <v>0</v>
      </c>
      <c r="S169" t="s">
        <v>107</v>
      </c>
      <c r="T169" t="s">
        <v>107</v>
      </c>
      <c r="U169" t="s">
        <v>271</v>
      </c>
      <c r="V169">
        <v>0</v>
      </c>
      <c r="AD169">
        <v>1</v>
      </c>
      <c r="AF169">
        <v>30</v>
      </c>
      <c r="AI169">
        <v>154</v>
      </c>
    </row>
    <row r="170" spans="1:35" x14ac:dyDescent="0.35">
      <c r="A170" t="s">
        <v>91</v>
      </c>
      <c r="B170" t="s">
        <v>24</v>
      </c>
      <c r="C170" t="s">
        <v>33</v>
      </c>
      <c r="D170" t="s">
        <v>34</v>
      </c>
      <c r="E170" t="s">
        <v>309</v>
      </c>
      <c r="F170" t="s">
        <v>42</v>
      </c>
      <c r="G170" s="20" t="s">
        <v>43</v>
      </c>
      <c r="H170" t="s">
        <v>7</v>
      </c>
      <c r="I170" t="s">
        <v>253</v>
      </c>
      <c r="J170" t="s">
        <v>42</v>
      </c>
      <c r="K170" t="s">
        <v>334</v>
      </c>
      <c r="L170" t="s">
        <v>44</v>
      </c>
      <c r="M170" t="s">
        <v>45</v>
      </c>
      <c r="N170">
        <v>252</v>
      </c>
      <c r="O170" t="s">
        <v>119</v>
      </c>
      <c r="P170" t="s">
        <v>30</v>
      </c>
      <c r="Q170" s="4">
        <v>44714</v>
      </c>
      <c r="R170">
        <v>0</v>
      </c>
      <c r="S170" t="s">
        <v>107</v>
      </c>
      <c r="T170" t="s">
        <v>107</v>
      </c>
      <c r="U170" t="s">
        <v>271</v>
      </c>
      <c r="V170">
        <v>0</v>
      </c>
      <c r="AD170">
        <v>1</v>
      </c>
      <c r="AF170">
        <v>30</v>
      </c>
      <c r="AI170">
        <v>155</v>
      </c>
    </row>
    <row r="171" spans="1:35" x14ac:dyDescent="0.35">
      <c r="A171" t="s">
        <v>91</v>
      </c>
      <c r="B171" t="s">
        <v>24</v>
      </c>
      <c r="C171" t="s">
        <v>33</v>
      </c>
      <c r="D171" t="s">
        <v>34</v>
      </c>
      <c r="E171" t="s">
        <v>309</v>
      </c>
      <c r="F171" t="s">
        <v>42</v>
      </c>
      <c r="G171" s="20" t="s">
        <v>43</v>
      </c>
      <c r="H171" t="s">
        <v>7</v>
      </c>
      <c r="I171" t="s">
        <v>253</v>
      </c>
      <c r="J171" t="s">
        <v>42</v>
      </c>
      <c r="K171" t="s">
        <v>334</v>
      </c>
      <c r="L171" t="s">
        <v>44</v>
      </c>
      <c r="M171" t="s">
        <v>45</v>
      </c>
      <c r="N171">
        <v>253</v>
      </c>
      <c r="O171" t="s">
        <v>119</v>
      </c>
      <c r="P171" t="s">
        <v>30</v>
      </c>
      <c r="Q171" s="4">
        <v>44714</v>
      </c>
      <c r="R171">
        <v>0</v>
      </c>
      <c r="S171" t="s">
        <v>107</v>
      </c>
      <c r="T171" t="s">
        <v>107</v>
      </c>
      <c r="U171" t="s">
        <v>271</v>
      </c>
      <c r="V171">
        <v>0</v>
      </c>
      <c r="AD171">
        <v>1</v>
      </c>
      <c r="AF171">
        <v>30</v>
      </c>
      <c r="AI171">
        <v>156</v>
      </c>
    </row>
    <row r="172" spans="1:35" x14ac:dyDescent="0.35">
      <c r="A172" t="s">
        <v>91</v>
      </c>
      <c r="B172" t="s">
        <v>24</v>
      </c>
      <c r="C172" t="s">
        <v>33</v>
      </c>
      <c r="D172" t="s">
        <v>34</v>
      </c>
      <c r="E172" t="s">
        <v>309</v>
      </c>
      <c r="F172" t="s">
        <v>42</v>
      </c>
      <c r="G172" s="20" t="s">
        <v>43</v>
      </c>
      <c r="H172" t="s">
        <v>7</v>
      </c>
      <c r="I172" t="s">
        <v>253</v>
      </c>
      <c r="J172" t="s">
        <v>42</v>
      </c>
      <c r="K172" t="s">
        <v>334</v>
      </c>
      <c r="L172" t="s">
        <v>44</v>
      </c>
      <c r="M172" t="s">
        <v>45</v>
      </c>
      <c r="N172">
        <v>254</v>
      </c>
      <c r="O172" t="s">
        <v>119</v>
      </c>
      <c r="P172" t="s">
        <v>30</v>
      </c>
      <c r="Q172" s="4">
        <v>44714</v>
      </c>
      <c r="R172">
        <v>1</v>
      </c>
      <c r="S172" t="s">
        <v>107</v>
      </c>
      <c r="T172" t="s">
        <v>107</v>
      </c>
      <c r="U172" t="s">
        <v>271</v>
      </c>
      <c r="V172">
        <v>0</v>
      </c>
      <c r="AD172">
        <v>1</v>
      </c>
      <c r="AF172">
        <v>30</v>
      </c>
      <c r="AI172">
        <v>157</v>
      </c>
    </row>
    <row r="173" spans="1:35" x14ac:dyDescent="0.35">
      <c r="A173" t="s">
        <v>91</v>
      </c>
      <c r="B173" t="s">
        <v>24</v>
      </c>
      <c r="C173" t="s">
        <v>33</v>
      </c>
      <c r="D173" t="s">
        <v>34</v>
      </c>
      <c r="E173" t="s">
        <v>309</v>
      </c>
      <c r="F173" t="s">
        <v>42</v>
      </c>
      <c r="G173" s="20" t="s">
        <v>43</v>
      </c>
      <c r="H173" t="s">
        <v>7</v>
      </c>
      <c r="I173" t="s">
        <v>253</v>
      </c>
      <c r="J173" t="s">
        <v>42</v>
      </c>
      <c r="K173" t="s">
        <v>334</v>
      </c>
      <c r="L173" t="s">
        <v>44</v>
      </c>
      <c r="M173" t="s">
        <v>45</v>
      </c>
      <c r="N173">
        <v>255</v>
      </c>
      <c r="O173" t="s">
        <v>119</v>
      </c>
      <c r="P173" t="s">
        <v>30</v>
      </c>
      <c r="Q173" s="4">
        <v>44714</v>
      </c>
      <c r="R173">
        <v>0</v>
      </c>
      <c r="S173" t="s">
        <v>107</v>
      </c>
      <c r="T173" t="s">
        <v>107</v>
      </c>
      <c r="U173" t="s">
        <v>271</v>
      </c>
      <c r="V173">
        <v>0</v>
      </c>
      <c r="AD173">
        <v>1</v>
      </c>
      <c r="AF173">
        <v>30</v>
      </c>
      <c r="AI173">
        <v>158</v>
      </c>
    </row>
    <row r="174" spans="1:35" x14ac:dyDescent="0.35">
      <c r="A174" t="s">
        <v>91</v>
      </c>
      <c r="B174" t="s">
        <v>24</v>
      </c>
      <c r="C174" t="s">
        <v>33</v>
      </c>
      <c r="D174" t="s">
        <v>34</v>
      </c>
      <c r="E174" t="s">
        <v>309</v>
      </c>
      <c r="F174" t="s">
        <v>42</v>
      </c>
      <c r="G174" s="20" t="s">
        <v>43</v>
      </c>
      <c r="H174" t="s">
        <v>7</v>
      </c>
      <c r="I174" t="s">
        <v>253</v>
      </c>
      <c r="J174" t="s">
        <v>42</v>
      </c>
      <c r="K174" t="s">
        <v>334</v>
      </c>
      <c r="L174" t="s">
        <v>44</v>
      </c>
      <c r="M174" t="s">
        <v>45</v>
      </c>
      <c r="N174">
        <v>256</v>
      </c>
      <c r="O174" t="s">
        <v>119</v>
      </c>
      <c r="P174" t="s">
        <v>30</v>
      </c>
      <c r="Q174" s="4">
        <v>44714</v>
      </c>
      <c r="R174">
        <v>0</v>
      </c>
      <c r="S174" t="s">
        <v>107</v>
      </c>
      <c r="T174" t="s">
        <v>107</v>
      </c>
      <c r="U174" t="s">
        <v>271</v>
      </c>
      <c r="V174">
        <v>0</v>
      </c>
      <c r="AD174">
        <v>1</v>
      </c>
      <c r="AF174">
        <v>30</v>
      </c>
      <c r="AI174">
        <v>159</v>
      </c>
    </row>
    <row r="175" spans="1:35" x14ac:dyDescent="0.35">
      <c r="A175" t="s">
        <v>91</v>
      </c>
      <c r="B175" t="s">
        <v>24</v>
      </c>
      <c r="C175" t="s">
        <v>33</v>
      </c>
      <c r="D175" t="s">
        <v>34</v>
      </c>
      <c r="E175" t="s">
        <v>309</v>
      </c>
      <c r="F175" t="s">
        <v>42</v>
      </c>
      <c r="G175" s="20" t="s">
        <v>43</v>
      </c>
      <c r="H175" t="s">
        <v>7</v>
      </c>
      <c r="I175" t="s">
        <v>253</v>
      </c>
      <c r="J175" t="s">
        <v>42</v>
      </c>
      <c r="K175" t="s">
        <v>334</v>
      </c>
      <c r="L175" t="s">
        <v>44</v>
      </c>
      <c r="M175" t="s">
        <v>45</v>
      </c>
      <c r="N175">
        <v>257</v>
      </c>
      <c r="O175" t="s">
        <v>119</v>
      </c>
      <c r="P175" t="s">
        <v>30</v>
      </c>
      <c r="Q175" s="4">
        <v>44714</v>
      </c>
      <c r="R175">
        <v>0</v>
      </c>
      <c r="S175" t="s">
        <v>107</v>
      </c>
      <c r="T175" t="s">
        <v>107</v>
      </c>
      <c r="U175" t="s">
        <v>271</v>
      </c>
      <c r="V175">
        <v>0</v>
      </c>
      <c r="AD175">
        <v>1</v>
      </c>
      <c r="AF175">
        <v>30</v>
      </c>
      <c r="AI175">
        <v>160</v>
      </c>
    </row>
    <row r="176" spans="1:35" x14ac:dyDescent="0.35">
      <c r="A176" t="s">
        <v>91</v>
      </c>
      <c r="B176" t="s">
        <v>24</v>
      </c>
      <c r="C176" t="s">
        <v>33</v>
      </c>
      <c r="D176" t="s">
        <v>34</v>
      </c>
      <c r="E176" t="s">
        <v>309</v>
      </c>
      <c r="F176" t="s">
        <v>42</v>
      </c>
      <c r="G176" s="20" t="s">
        <v>43</v>
      </c>
      <c r="H176" t="s">
        <v>7</v>
      </c>
      <c r="I176" t="s">
        <v>253</v>
      </c>
      <c r="J176" t="s">
        <v>42</v>
      </c>
      <c r="K176" t="s">
        <v>334</v>
      </c>
      <c r="L176" t="s">
        <v>44</v>
      </c>
      <c r="M176" t="s">
        <v>45</v>
      </c>
      <c r="N176">
        <v>258</v>
      </c>
      <c r="O176" t="s">
        <v>119</v>
      </c>
      <c r="P176" t="s">
        <v>30</v>
      </c>
      <c r="Q176" s="4">
        <v>44714</v>
      </c>
      <c r="R176">
        <v>0</v>
      </c>
      <c r="S176" t="s">
        <v>107</v>
      </c>
      <c r="T176" t="s">
        <v>107</v>
      </c>
      <c r="U176" t="s">
        <v>271</v>
      </c>
      <c r="V176">
        <v>0</v>
      </c>
      <c r="AD176">
        <v>1</v>
      </c>
      <c r="AF176">
        <v>30</v>
      </c>
      <c r="AI176">
        <v>161</v>
      </c>
    </row>
    <row r="177" spans="1:35" x14ac:dyDescent="0.35">
      <c r="A177" t="s">
        <v>91</v>
      </c>
      <c r="B177" t="s">
        <v>24</v>
      </c>
      <c r="C177" t="s">
        <v>33</v>
      </c>
      <c r="D177" t="s">
        <v>34</v>
      </c>
      <c r="E177" t="s">
        <v>309</v>
      </c>
      <c r="F177" t="s">
        <v>42</v>
      </c>
      <c r="G177" s="20" t="s">
        <v>43</v>
      </c>
      <c r="H177" t="s">
        <v>7</v>
      </c>
      <c r="I177" t="s">
        <v>253</v>
      </c>
      <c r="J177" t="s">
        <v>42</v>
      </c>
      <c r="K177" t="s">
        <v>334</v>
      </c>
      <c r="L177" t="s">
        <v>44</v>
      </c>
      <c r="M177" t="s">
        <v>45</v>
      </c>
      <c r="N177">
        <v>259</v>
      </c>
      <c r="O177" t="s">
        <v>119</v>
      </c>
      <c r="P177" t="s">
        <v>30</v>
      </c>
      <c r="Q177" s="4">
        <v>44714</v>
      </c>
      <c r="R177">
        <v>0</v>
      </c>
      <c r="S177" t="s">
        <v>107</v>
      </c>
      <c r="T177" t="s">
        <v>107</v>
      </c>
      <c r="U177" t="s">
        <v>271</v>
      </c>
      <c r="V177">
        <v>0</v>
      </c>
      <c r="AD177">
        <v>1</v>
      </c>
      <c r="AF177">
        <v>30</v>
      </c>
      <c r="AI177">
        <v>162</v>
      </c>
    </row>
    <row r="178" spans="1:35" x14ac:dyDescent="0.35">
      <c r="A178" t="s">
        <v>91</v>
      </c>
      <c r="B178" t="s">
        <v>24</v>
      </c>
      <c r="C178" t="s">
        <v>33</v>
      </c>
      <c r="D178" t="s">
        <v>34</v>
      </c>
      <c r="E178" t="s">
        <v>309</v>
      </c>
      <c r="F178" t="s">
        <v>42</v>
      </c>
      <c r="G178" s="20" t="s">
        <v>43</v>
      </c>
      <c r="H178" t="s">
        <v>7</v>
      </c>
      <c r="I178" t="s">
        <v>253</v>
      </c>
      <c r="J178" t="s">
        <v>42</v>
      </c>
      <c r="K178" t="s">
        <v>334</v>
      </c>
      <c r="L178" t="s">
        <v>44</v>
      </c>
      <c r="M178" t="s">
        <v>45</v>
      </c>
      <c r="N178">
        <v>260</v>
      </c>
      <c r="O178" t="s">
        <v>119</v>
      </c>
      <c r="P178" t="s">
        <v>30</v>
      </c>
      <c r="Q178" s="4">
        <v>44714</v>
      </c>
      <c r="R178">
        <v>0</v>
      </c>
      <c r="S178" t="s">
        <v>107</v>
      </c>
      <c r="T178" t="s">
        <v>107</v>
      </c>
      <c r="U178" t="s">
        <v>271</v>
      </c>
      <c r="V178">
        <v>0</v>
      </c>
      <c r="AD178">
        <v>1</v>
      </c>
      <c r="AF178">
        <v>30</v>
      </c>
      <c r="AI178">
        <v>163</v>
      </c>
    </row>
    <row r="179" spans="1:35" x14ac:dyDescent="0.35">
      <c r="A179" t="s">
        <v>91</v>
      </c>
      <c r="B179" t="s">
        <v>24</v>
      </c>
      <c r="C179" t="s">
        <v>33</v>
      </c>
      <c r="D179" t="s">
        <v>34</v>
      </c>
      <c r="E179" t="s">
        <v>309</v>
      </c>
      <c r="F179" t="s">
        <v>42</v>
      </c>
      <c r="G179" s="20" t="s">
        <v>43</v>
      </c>
      <c r="H179" t="s">
        <v>7</v>
      </c>
      <c r="I179" t="s">
        <v>253</v>
      </c>
      <c r="J179" t="s">
        <v>42</v>
      </c>
      <c r="K179" t="s">
        <v>334</v>
      </c>
      <c r="L179" t="s">
        <v>44</v>
      </c>
      <c r="M179" t="s">
        <v>45</v>
      </c>
      <c r="N179">
        <v>261</v>
      </c>
      <c r="O179" t="s">
        <v>119</v>
      </c>
      <c r="P179" t="s">
        <v>30</v>
      </c>
      <c r="Q179" s="4">
        <v>44714</v>
      </c>
      <c r="R179">
        <v>1</v>
      </c>
      <c r="S179" t="s">
        <v>107</v>
      </c>
      <c r="T179" t="s">
        <v>107</v>
      </c>
      <c r="U179" t="s">
        <v>271</v>
      </c>
      <c r="V179">
        <v>0</v>
      </c>
      <c r="AD179">
        <v>1</v>
      </c>
      <c r="AF179">
        <v>19</v>
      </c>
      <c r="AI179">
        <v>164</v>
      </c>
    </row>
    <row r="180" spans="1:35" x14ac:dyDescent="0.35">
      <c r="A180" t="s">
        <v>91</v>
      </c>
      <c r="B180" t="s">
        <v>24</v>
      </c>
      <c r="C180" t="s">
        <v>33</v>
      </c>
      <c r="D180" t="s">
        <v>34</v>
      </c>
      <c r="E180" t="s">
        <v>309</v>
      </c>
      <c r="F180" t="s">
        <v>42</v>
      </c>
      <c r="G180" s="20" t="s">
        <v>43</v>
      </c>
      <c r="H180" t="s">
        <v>7</v>
      </c>
      <c r="I180" t="s">
        <v>253</v>
      </c>
      <c r="J180" t="s">
        <v>42</v>
      </c>
      <c r="K180" t="s">
        <v>334</v>
      </c>
      <c r="L180" t="s">
        <v>44</v>
      </c>
      <c r="M180" t="s">
        <v>45</v>
      </c>
      <c r="N180">
        <v>262</v>
      </c>
      <c r="O180" t="s">
        <v>119</v>
      </c>
      <c r="P180" t="s">
        <v>30</v>
      </c>
      <c r="Q180" s="4">
        <v>44714</v>
      </c>
      <c r="R180">
        <v>0</v>
      </c>
      <c r="S180" t="s">
        <v>107</v>
      </c>
      <c r="T180" t="s">
        <v>107</v>
      </c>
      <c r="U180" t="s">
        <v>271</v>
      </c>
      <c r="V180">
        <v>0</v>
      </c>
      <c r="AD180">
        <v>1</v>
      </c>
      <c r="AF180">
        <v>19</v>
      </c>
      <c r="AI180">
        <v>165</v>
      </c>
    </row>
    <row r="181" spans="1:35" x14ac:dyDescent="0.35">
      <c r="A181" t="s">
        <v>91</v>
      </c>
      <c r="B181" t="s">
        <v>24</v>
      </c>
      <c r="C181" t="s">
        <v>33</v>
      </c>
      <c r="D181" t="s">
        <v>34</v>
      </c>
      <c r="E181" t="s">
        <v>309</v>
      </c>
      <c r="F181" t="s">
        <v>42</v>
      </c>
      <c r="G181" s="20" t="s">
        <v>43</v>
      </c>
      <c r="H181" t="s">
        <v>7</v>
      </c>
      <c r="I181" t="s">
        <v>253</v>
      </c>
      <c r="J181" t="s">
        <v>42</v>
      </c>
      <c r="K181" t="s">
        <v>334</v>
      </c>
      <c r="L181" t="s">
        <v>44</v>
      </c>
      <c r="M181" t="s">
        <v>45</v>
      </c>
      <c r="N181">
        <v>263</v>
      </c>
      <c r="O181" t="s">
        <v>119</v>
      </c>
      <c r="P181" t="s">
        <v>30</v>
      </c>
      <c r="Q181" s="4">
        <v>44714</v>
      </c>
      <c r="R181">
        <v>0</v>
      </c>
      <c r="S181" t="s">
        <v>107</v>
      </c>
      <c r="T181" t="s">
        <v>107</v>
      </c>
      <c r="U181" t="s">
        <v>271</v>
      </c>
      <c r="V181">
        <v>0</v>
      </c>
      <c r="AD181">
        <v>1</v>
      </c>
      <c r="AF181">
        <v>19</v>
      </c>
      <c r="AI181">
        <v>166</v>
      </c>
    </row>
    <row r="182" spans="1:35" x14ac:dyDescent="0.35">
      <c r="A182" t="s">
        <v>91</v>
      </c>
      <c r="B182" t="s">
        <v>24</v>
      </c>
      <c r="C182" t="s">
        <v>33</v>
      </c>
      <c r="D182" t="s">
        <v>34</v>
      </c>
      <c r="E182" t="s">
        <v>309</v>
      </c>
      <c r="F182" t="s">
        <v>42</v>
      </c>
      <c r="G182" s="20" t="s">
        <v>43</v>
      </c>
      <c r="H182" t="s">
        <v>7</v>
      </c>
      <c r="I182" t="s">
        <v>253</v>
      </c>
      <c r="J182" t="s">
        <v>42</v>
      </c>
      <c r="K182" t="s">
        <v>334</v>
      </c>
      <c r="L182" t="s">
        <v>44</v>
      </c>
      <c r="M182" t="s">
        <v>45</v>
      </c>
      <c r="N182">
        <v>264</v>
      </c>
      <c r="O182" t="s">
        <v>119</v>
      </c>
      <c r="P182" t="s">
        <v>30</v>
      </c>
      <c r="Q182" s="4">
        <v>44714</v>
      </c>
      <c r="R182">
        <v>0</v>
      </c>
      <c r="S182" t="s">
        <v>107</v>
      </c>
      <c r="T182" t="s">
        <v>107</v>
      </c>
      <c r="U182" t="s">
        <v>271</v>
      </c>
      <c r="V182">
        <v>0</v>
      </c>
      <c r="AD182">
        <v>1</v>
      </c>
      <c r="AF182">
        <v>19</v>
      </c>
      <c r="AI182">
        <v>167</v>
      </c>
    </row>
    <row r="183" spans="1:35" x14ac:dyDescent="0.35">
      <c r="A183" t="s">
        <v>91</v>
      </c>
      <c r="B183" t="s">
        <v>24</v>
      </c>
      <c r="C183" t="s">
        <v>33</v>
      </c>
      <c r="D183" t="s">
        <v>34</v>
      </c>
      <c r="E183" t="s">
        <v>309</v>
      </c>
      <c r="F183" t="s">
        <v>42</v>
      </c>
      <c r="G183" s="20" t="s">
        <v>43</v>
      </c>
      <c r="H183" t="s">
        <v>7</v>
      </c>
      <c r="I183" t="s">
        <v>253</v>
      </c>
      <c r="J183" t="s">
        <v>42</v>
      </c>
      <c r="K183" t="s">
        <v>334</v>
      </c>
      <c r="L183" t="s">
        <v>44</v>
      </c>
      <c r="M183" t="s">
        <v>45</v>
      </c>
      <c r="N183">
        <v>265</v>
      </c>
      <c r="O183" t="s">
        <v>119</v>
      </c>
      <c r="P183" t="s">
        <v>30</v>
      </c>
      <c r="Q183" s="4">
        <v>44714</v>
      </c>
      <c r="R183">
        <v>0</v>
      </c>
      <c r="S183" t="s">
        <v>107</v>
      </c>
      <c r="T183" t="s">
        <v>107</v>
      </c>
      <c r="U183" t="s">
        <v>271</v>
      </c>
      <c r="V183">
        <v>0</v>
      </c>
      <c r="AD183">
        <v>1</v>
      </c>
      <c r="AF183">
        <v>19</v>
      </c>
      <c r="AI183">
        <v>168</v>
      </c>
    </row>
    <row r="184" spans="1:35" x14ac:dyDescent="0.35">
      <c r="A184" t="s">
        <v>91</v>
      </c>
      <c r="B184" t="s">
        <v>24</v>
      </c>
      <c r="C184" t="s">
        <v>33</v>
      </c>
      <c r="D184" t="s">
        <v>34</v>
      </c>
      <c r="E184" t="s">
        <v>309</v>
      </c>
      <c r="F184" t="s">
        <v>42</v>
      </c>
      <c r="G184" s="20" t="s">
        <v>43</v>
      </c>
      <c r="H184" t="s">
        <v>7</v>
      </c>
      <c r="I184" t="s">
        <v>253</v>
      </c>
      <c r="J184" t="s">
        <v>42</v>
      </c>
      <c r="K184" t="s">
        <v>334</v>
      </c>
      <c r="L184" t="s">
        <v>44</v>
      </c>
      <c r="M184" t="s">
        <v>45</v>
      </c>
      <c r="N184">
        <v>266</v>
      </c>
      <c r="O184" t="s">
        <v>119</v>
      </c>
      <c r="P184" t="s">
        <v>30</v>
      </c>
      <c r="Q184" s="4">
        <v>44714</v>
      </c>
      <c r="R184">
        <v>0</v>
      </c>
      <c r="S184" t="s">
        <v>107</v>
      </c>
      <c r="T184" t="s">
        <v>107</v>
      </c>
      <c r="U184" t="s">
        <v>271</v>
      </c>
      <c r="V184">
        <v>0</v>
      </c>
      <c r="AD184">
        <v>1</v>
      </c>
      <c r="AF184">
        <v>19</v>
      </c>
      <c r="AI184">
        <v>169</v>
      </c>
    </row>
    <row r="185" spans="1:35" x14ac:dyDescent="0.35">
      <c r="A185" t="s">
        <v>91</v>
      </c>
      <c r="B185" t="s">
        <v>24</v>
      </c>
      <c r="C185" t="s">
        <v>33</v>
      </c>
      <c r="D185" t="s">
        <v>34</v>
      </c>
      <c r="E185" t="s">
        <v>309</v>
      </c>
      <c r="F185" t="s">
        <v>42</v>
      </c>
      <c r="G185" s="20" t="s">
        <v>43</v>
      </c>
      <c r="H185" t="s">
        <v>7</v>
      </c>
      <c r="I185" t="s">
        <v>253</v>
      </c>
      <c r="J185" t="s">
        <v>42</v>
      </c>
      <c r="K185" t="s">
        <v>334</v>
      </c>
      <c r="L185" t="s">
        <v>44</v>
      </c>
      <c r="M185" t="s">
        <v>45</v>
      </c>
      <c r="N185">
        <v>267</v>
      </c>
      <c r="O185" t="s">
        <v>119</v>
      </c>
      <c r="P185" t="s">
        <v>30</v>
      </c>
      <c r="Q185" s="4">
        <v>44714</v>
      </c>
      <c r="R185">
        <v>0</v>
      </c>
      <c r="S185" t="s">
        <v>107</v>
      </c>
      <c r="T185" t="s">
        <v>107</v>
      </c>
      <c r="U185" t="s">
        <v>271</v>
      </c>
      <c r="V185">
        <v>0</v>
      </c>
      <c r="AD185">
        <v>1</v>
      </c>
      <c r="AF185">
        <v>19</v>
      </c>
      <c r="AI185">
        <v>170</v>
      </c>
    </row>
    <row r="186" spans="1:35" x14ac:dyDescent="0.35">
      <c r="A186" t="s">
        <v>91</v>
      </c>
      <c r="B186" t="s">
        <v>24</v>
      </c>
      <c r="C186" t="s">
        <v>33</v>
      </c>
      <c r="D186" t="s">
        <v>34</v>
      </c>
      <c r="E186" t="s">
        <v>309</v>
      </c>
      <c r="F186" t="s">
        <v>42</v>
      </c>
      <c r="G186" s="20" t="s">
        <v>43</v>
      </c>
      <c r="H186" t="s">
        <v>7</v>
      </c>
      <c r="I186" t="s">
        <v>253</v>
      </c>
      <c r="J186" t="s">
        <v>42</v>
      </c>
      <c r="K186" t="s">
        <v>334</v>
      </c>
      <c r="L186" t="s">
        <v>44</v>
      </c>
      <c r="M186" t="s">
        <v>45</v>
      </c>
      <c r="N186">
        <v>268</v>
      </c>
      <c r="O186" t="s">
        <v>119</v>
      </c>
      <c r="P186" t="s">
        <v>30</v>
      </c>
      <c r="Q186" s="4">
        <v>44714</v>
      </c>
      <c r="R186">
        <v>1</v>
      </c>
      <c r="S186" t="s">
        <v>107</v>
      </c>
      <c r="T186" t="s">
        <v>107</v>
      </c>
      <c r="U186" t="s">
        <v>271</v>
      </c>
      <c r="V186">
        <v>0</v>
      </c>
      <c r="AD186">
        <v>1</v>
      </c>
      <c r="AF186">
        <v>19</v>
      </c>
      <c r="AI186">
        <v>171</v>
      </c>
    </row>
    <row r="187" spans="1:35" x14ac:dyDescent="0.35">
      <c r="A187" t="s">
        <v>91</v>
      </c>
      <c r="B187" t="s">
        <v>24</v>
      </c>
      <c r="C187" t="s">
        <v>33</v>
      </c>
      <c r="D187" t="s">
        <v>34</v>
      </c>
      <c r="E187" t="s">
        <v>309</v>
      </c>
      <c r="F187" t="s">
        <v>42</v>
      </c>
      <c r="G187" s="20" t="s">
        <v>43</v>
      </c>
      <c r="H187" t="s">
        <v>7</v>
      </c>
      <c r="I187" t="s">
        <v>253</v>
      </c>
      <c r="J187" t="s">
        <v>42</v>
      </c>
      <c r="K187" t="s">
        <v>334</v>
      </c>
      <c r="L187" t="s">
        <v>44</v>
      </c>
      <c r="M187" t="s">
        <v>45</v>
      </c>
      <c r="N187">
        <v>269</v>
      </c>
      <c r="O187" t="s">
        <v>119</v>
      </c>
      <c r="P187" t="s">
        <v>30</v>
      </c>
      <c r="Q187" s="4">
        <v>44714</v>
      </c>
      <c r="R187">
        <v>0</v>
      </c>
      <c r="S187" t="s">
        <v>107</v>
      </c>
      <c r="T187" t="s">
        <v>107</v>
      </c>
      <c r="U187" t="s">
        <v>271</v>
      </c>
      <c r="V187">
        <v>0</v>
      </c>
      <c r="AD187">
        <v>1</v>
      </c>
      <c r="AF187">
        <v>19</v>
      </c>
      <c r="AI187">
        <v>172</v>
      </c>
    </row>
    <row r="188" spans="1:35" x14ac:dyDescent="0.35">
      <c r="A188" t="s">
        <v>91</v>
      </c>
      <c r="B188" t="s">
        <v>24</v>
      </c>
      <c r="C188" t="s">
        <v>33</v>
      </c>
      <c r="D188" t="s">
        <v>34</v>
      </c>
      <c r="E188" t="s">
        <v>309</v>
      </c>
      <c r="F188" t="s">
        <v>42</v>
      </c>
      <c r="G188" s="20" t="s">
        <v>43</v>
      </c>
      <c r="H188" t="s">
        <v>7</v>
      </c>
      <c r="I188" t="s">
        <v>253</v>
      </c>
      <c r="J188" t="s">
        <v>42</v>
      </c>
      <c r="K188" t="s">
        <v>334</v>
      </c>
      <c r="L188" t="s">
        <v>44</v>
      </c>
      <c r="M188" t="s">
        <v>45</v>
      </c>
      <c r="N188">
        <v>270</v>
      </c>
      <c r="O188" t="s">
        <v>119</v>
      </c>
      <c r="P188" t="s">
        <v>30</v>
      </c>
      <c r="Q188" s="4">
        <v>44714</v>
      </c>
      <c r="R188">
        <v>1</v>
      </c>
      <c r="S188" t="s">
        <v>107</v>
      </c>
      <c r="T188" t="s">
        <v>107</v>
      </c>
      <c r="U188" t="s">
        <v>271</v>
      </c>
      <c r="V188">
        <v>0</v>
      </c>
      <c r="AD188">
        <v>1</v>
      </c>
      <c r="AF188">
        <v>19</v>
      </c>
      <c r="AI188">
        <v>173</v>
      </c>
    </row>
    <row r="189" spans="1:35" x14ac:dyDescent="0.35">
      <c r="A189" t="s">
        <v>91</v>
      </c>
      <c r="B189" t="s">
        <v>24</v>
      </c>
      <c r="C189" t="s">
        <v>33</v>
      </c>
      <c r="D189" t="s">
        <v>34</v>
      </c>
      <c r="E189" t="s">
        <v>309</v>
      </c>
      <c r="F189" t="s">
        <v>42</v>
      </c>
      <c r="G189" s="20" t="s">
        <v>43</v>
      </c>
      <c r="H189" t="s">
        <v>7</v>
      </c>
      <c r="I189" t="s">
        <v>253</v>
      </c>
      <c r="J189" t="s">
        <v>42</v>
      </c>
      <c r="K189" t="s">
        <v>334</v>
      </c>
      <c r="L189" t="s">
        <v>44</v>
      </c>
      <c r="M189" t="s">
        <v>45</v>
      </c>
      <c r="N189">
        <v>271</v>
      </c>
      <c r="O189" t="s">
        <v>119</v>
      </c>
      <c r="P189" t="s">
        <v>30</v>
      </c>
      <c r="Q189" s="4">
        <v>44714</v>
      </c>
      <c r="R189">
        <v>0</v>
      </c>
      <c r="S189" t="s">
        <v>107</v>
      </c>
      <c r="T189" t="s">
        <v>107</v>
      </c>
      <c r="U189" t="s">
        <v>271</v>
      </c>
      <c r="V189">
        <v>0</v>
      </c>
      <c r="AD189">
        <v>1</v>
      </c>
      <c r="AF189">
        <v>42</v>
      </c>
      <c r="AI189">
        <v>174</v>
      </c>
    </row>
    <row r="190" spans="1:35" x14ac:dyDescent="0.35">
      <c r="A190" t="s">
        <v>91</v>
      </c>
      <c r="B190" t="s">
        <v>24</v>
      </c>
      <c r="C190" t="s">
        <v>33</v>
      </c>
      <c r="D190" t="s">
        <v>34</v>
      </c>
      <c r="E190" t="s">
        <v>309</v>
      </c>
      <c r="F190" t="s">
        <v>42</v>
      </c>
      <c r="G190" s="20" t="s">
        <v>43</v>
      </c>
      <c r="H190" t="s">
        <v>7</v>
      </c>
      <c r="I190" t="s">
        <v>253</v>
      </c>
      <c r="J190" t="s">
        <v>42</v>
      </c>
      <c r="K190" t="s">
        <v>334</v>
      </c>
      <c r="L190" t="s">
        <v>44</v>
      </c>
      <c r="M190" t="s">
        <v>45</v>
      </c>
      <c r="N190">
        <v>272</v>
      </c>
      <c r="O190" t="s">
        <v>119</v>
      </c>
      <c r="P190" t="s">
        <v>30</v>
      </c>
      <c r="Q190" s="4">
        <v>44714</v>
      </c>
      <c r="R190">
        <v>1</v>
      </c>
      <c r="S190" t="s">
        <v>107</v>
      </c>
      <c r="T190" t="s">
        <v>107</v>
      </c>
      <c r="U190" t="s">
        <v>271</v>
      </c>
      <c r="V190">
        <v>0</v>
      </c>
      <c r="AD190">
        <v>1</v>
      </c>
      <c r="AF190">
        <v>42</v>
      </c>
      <c r="AI190">
        <v>175</v>
      </c>
    </row>
    <row r="191" spans="1:35" x14ac:dyDescent="0.35">
      <c r="A191" t="s">
        <v>91</v>
      </c>
      <c r="B191" t="s">
        <v>24</v>
      </c>
      <c r="C191" t="s">
        <v>33</v>
      </c>
      <c r="D191" t="s">
        <v>34</v>
      </c>
      <c r="E191" t="s">
        <v>309</v>
      </c>
      <c r="F191" t="s">
        <v>42</v>
      </c>
      <c r="G191" s="20" t="s">
        <v>43</v>
      </c>
      <c r="H191" t="s">
        <v>7</v>
      </c>
      <c r="I191" t="s">
        <v>253</v>
      </c>
      <c r="J191" t="s">
        <v>42</v>
      </c>
      <c r="K191" t="s">
        <v>334</v>
      </c>
      <c r="L191" t="s">
        <v>44</v>
      </c>
      <c r="M191" t="s">
        <v>45</v>
      </c>
      <c r="N191">
        <v>273</v>
      </c>
      <c r="O191" t="s">
        <v>119</v>
      </c>
      <c r="P191" t="s">
        <v>30</v>
      </c>
      <c r="Q191" s="4">
        <v>44714</v>
      </c>
      <c r="R191">
        <v>0</v>
      </c>
      <c r="S191" t="s">
        <v>107</v>
      </c>
      <c r="T191" t="s">
        <v>107</v>
      </c>
      <c r="U191" t="s">
        <v>271</v>
      </c>
      <c r="V191">
        <v>0</v>
      </c>
      <c r="AD191">
        <v>1</v>
      </c>
      <c r="AF191">
        <v>42</v>
      </c>
      <c r="AI191">
        <v>176</v>
      </c>
    </row>
    <row r="192" spans="1:35" x14ac:dyDescent="0.35">
      <c r="A192" t="s">
        <v>91</v>
      </c>
      <c r="B192" t="s">
        <v>24</v>
      </c>
      <c r="C192" t="s">
        <v>33</v>
      </c>
      <c r="D192" t="s">
        <v>34</v>
      </c>
      <c r="E192" t="s">
        <v>309</v>
      </c>
      <c r="F192" t="s">
        <v>42</v>
      </c>
      <c r="G192" s="20" t="s">
        <v>43</v>
      </c>
      <c r="H192" t="s">
        <v>7</v>
      </c>
      <c r="I192" t="s">
        <v>253</v>
      </c>
      <c r="J192" t="s">
        <v>42</v>
      </c>
      <c r="K192" t="s">
        <v>334</v>
      </c>
      <c r="L192" t="s">
        <v>44</v>
      </c>
      <c r="M192" t="s">
        <v>45</v>
      </c>
      <c r="N192">
        <v>274</v>
      </c>
      <c r="O192" t="s">
        <v>119</v>
      </c>
      <c r="P192" t="s">
        <v>30</v>
      </c>
      <c r="Q192" s="4">
        <v>44714</v>
      </c>
      <c r="R192">
        <v>0</v>
      </c>
      <c r="S192" t="s">
        <v>107</v>
      </c>
      <c r="T192" t="s">
        <v>107</v>
      </c>
      <c r="U192" t="s">
        <v>271</v>
      </c>
      <c r="V192">
        <v>0</v>
      </c>
      <c r="AD192">
        <v>1</v>
      </c>
      <c r="AF192">
        <v>42</v>
      </c>
      <c r="AI192">
        <v>177</v>
      </c>
    </row>
    <row r="193" spans="1:35" x14ac:dyDescent="0.35">
      <c r="A193" t="s">
        <v>91</v>
      </c>
      <c r="B193" t="s">
        <v>24</v>
      </c>
      <c r="C193" t="s">
        <v>33</v>
      </c>
      <c r="D193" t="s">
        <v>34</v>
      </c>
      <c r="E193" t="s">
        <v>309</v>
      </c>
      <c r="F193" t="s">
        <v>42</v>
      </c>
      <c r="G193" s="20" t="s">
        <v>43</v>
      </c>
      <c r="H193" t="s">
        <v>7</v>
      </c>
      <c r="I193" t="s">
        <v>253</v>
      </c>
      <c r="J193" t="s">
        <v>42</v>
      </c>
      <c r="K193" t="s">
        <v>334</v>
      </c>
      <c r="L193" t="s">
        <v>44</v>
      </c>
      <c r="M193" t="s">
        <v>45</v>
      </c>
      <c r="N193">
        <v>275</v>
      </c>
      <c r="O193" t="s">
        <v>119</v>
      </c>
      <c r="P193" t="s">
        <v>30</v>
      </c>
      <c r="Q193" s="4">
        <v>44714</v>
      </c>
      <c r="R193">
        <v>0</v>
      </c>
      <c r="S193" t="s">
        <v>107</v>
      </c>
      <c r="T193" t="s">
        <v>107</v>
      </c>
      <c r="U193" t="s">
        <v>271</v>
      </c>
      <c r="V193">
        <v>0</v>
      </c>
      <c r="AD193">
        <v>1</v>
      </c>
      <c r="AF193">
        <v>42</v>
      </c>
      <c r="AI193">
        <v>178</v>
      </c>
    </row>
    <row r="194" spans="1:35" x14ac:dyDescent="0.35">
      <c r="A194" t="s">
        <v>91</v>
      </c>
      <c r="B194" t="s">
        <v>24</v>
      </c>
      <c r="C194" t="s">
        <v>33</v>
      </c>
      <c r="D194" t="s">
        <v>34</v>
      </c>
      <c r="E194" t="s">
        <v>309</v>
      </c>
      <c r="F194" t="s">
        <v>42</v>
      </c>
      <c r="G194" s="20" t="s">
        <v>43</v>
      </c>
      <c r="H194" t="s">
        <v>7</v>
      </c>
      <c r="I194" t="s">
        <v>253</v>
      </c>
      <c r="J194" t="s">
        <v>42</v>
      </c>
      <c r="K194" t="s">
        <v>334</v>
      </c>
      <c r="L194" t="s">
        <v>44</v>
      </c>
      <c r="M194" t="s">
        <v>45</v>
      </c>
      <c r="N194">
        <v>276</v>
      </c>
      <c r="O194" t="s">
        <v>119</v>
      </c>
      <c r="P194" t="s">
        <v>30</v>
      </c>
      <c r="Q194" s="4">
        <v>44714</v>
      </c>
      <c r="R194">
        <v>0</v>
      </c>
      <c r="S194" t="s">
        <v>107</v>
      </c>
      <c r="T194" t="s">
        <v>107</v>
      </c>
      <c r="U194" t="s">
        <v>271</v>
      </c>
      <c r="V194">
        <v>0</v>
      </c>
      <c r="AD194">
        <v>1</v>
      </c>
      <c r="AF194">
        <v>42</v>
      </c>
      <c r="AI194">
        <v>179</v>
      </c>
    </row>
    <row r="195" spans="1:35" x14ac:dyDescent="0.35">
      <c r="A195" t="s">
        <v>91</v>
      </c>
      <c r="B195" t="s">
        <v>24</v>
      </c>
      <c r="C195" t="s">
        <v>33</v>
      </c>
      <c r="D195" t="s">
        <v>34</v>
      </c>
      <c r="E195" t="s">
        <v>309</v>
      </c>
      <c r="F195" t="s">
        <v>42</v>
      </c>
      <c r="G195" s="20" t="s">
        <v>43</v>
      </c>
      <c r="H195" t="s">
        <v>7</v>
      </c>
      <c r="I195" t="s">
        <v>253</v>
      </c>
      <c r="J195" t="s">
        <v>42</v>
      </c>
      <c r="K195" t="s">
        <v>334</v>
      </c>
      <c r="L195" t="s">
        <v>44</v>
      </c>
      <c r="M195" t="s">
        <v>45</v>
      </c>
      <c r="N195">
        <v>278</v>
      </c>
      <c r="O195" t="s">
        <v>119</v>
      </c>
      <c r="P195" t="s">
        <v>30</v>
      </c>
      <c r="Q195" s="4">
        <v>44714</v>
      </c>
      <c r="R195">
        <v>1</v>
      </c>
      <c r="S195" t="s">
        <v>107</v>
      </c>
      <c r="T195" t="s">
        <v>107</v>
      </c>
      <c r="U195" t="s">
        <v>271</v>
      </c>
      <c r="V195">
        <v>0</v>
      </c>
      <c r="AD195">
        <v>1</v>
      </c>
      <c r="AF195">
        <v>19</v>
      </c>
      <c r="AI195">
        <v>181</v>
      </c>
    </row>
    <row r="196" spans="1:35" x14ac:dyDescent="0.35">
      <c r="A196" t="s">
        <v>91</v>
      </c>
      <c r="B196" t="s">
        <v>24</v>
      </c>
      <c r="C196" t="s">
        <v>33</v>
      </c>
      <c r="D196" t="s">
        <v>34</v>
      </c>
      <c r="E196" t="s">
        <v>309</v>
      </c>
      <c r="F196" t="s">
        <v>42</v>
      </c>
      <c r="G196" s="20" t="s">
        <v>43</v>
      </c>
      <c r="H196" t="s">
        <v>7</v>
      </c>
      <c r="I196" t="s">
        <v>253</v>
      </c>
      <c r="J196" t="s">
        <v>42</v>
      </c>
      <c r="K196" t="s">
        <v>334</v>
      </c>
      <c r="L196" t="s">
        <v>44</v>
      </c>
      <c r="M196" t="s">
        <v>45</v>
      </c>
      <c r="N196">
        <v>279</v>
      </c>
      <c r="O196" t="s">
        <v>119</v>
      </c>
      <c r="P196" t="s">
        <v>30</v>
      </c>
      <c r="Q196" s="4">
        <v>44714</v>
      </c>
      <c r="R196">
        <v>0</v>
      </c>
      <c r="S196" t="s">
        <v>107</v>
      </c>
      <c r="T196" t="s">
        <v>107</v>
      </c>
      <c r="U196" t="s">
        <v>271</v>
      </c>
      <c r="V196">
        <v>0</v>
      </c>
      <c r="AD196">
        <v>1</v>
      </c>
      <c r="AF196">
        <v>19</v>
      </c>
      <c r="AI196">
        <v>182</v>
      </c>
    </row>
    <row r="197" spans="1:35" x14ac:dyDescent="0.35">
      <c r="A197" t="s">
        <v>91</v>
      </c>
      <c r="B197" t="s">
        <v>24</v>
      </c>
      <c r="C197" t="s">
        <v>33</v>
      </c>
      <c r="D197" t="s">
        <v>34</v>
      </c>
      <c r="E197" t="s">
        <v>309</v>
      </c>
      <c r="F197" t="s">
        <v>42</v>
      </c>
      <c r="G197" s="20" t="s">
        <v>43</v>
      </c>
      <c r="H197" t="s">
        <v>7</v>
      </c>
      <c r="I197" t="s">
        <v>253</v>
      </c>
      <c r="J197" t="s">
        <v>42</v>
      </c>
      <c r="K197" t="s">
        <v>334</v>
      </c>
      <c r="L197" t="s">
        <v>44</v>
      </c>
      <c r="M197" t="s">
        <v>45</v>
      </c>
      <c r="N197">
        <v>280</v>
      </c>
      <c r="O197" t="s">
        <v>119</v>
      </c>
      <c r="P197" t="s">
        <v>30</v>
      </c>
      <c r="Q197" s="4">
        <v>44714</v>
      </c>
      <c r="R197">
        <v>0</v>
      </c>
      <c r="S197" t="s">
        <v>107</v>
      </c>
      <c r="T197" t="s">
        <v>107</v>
      </c>
      <c r="U197" t="s">
        <v>271</v>
      </c>
      <c r="V197">
        <v>0</v>
      </c>
      <c r="AD197">
        <v>1</v>
      </c>
      <c r="AF197">
        <v>19</v>
      </c>
      <c r="AI197">
        <v>183</v>
      </c>
    </row>
    <row r="198" spans="1:35" x14ac:dyDescent="0.35">
      <c r="A198" t="s">
        <v>91</v>
      </c>
      <c r="B198" t="s">
        <v>24</v>
      </c>
      <c r="C198" t="s">
        <v>33</v>
      </c>
      <c r="D198" t="s">
        <v>34</v>
      </c>
      <c r="E198" t="s">
        <v>309</v>
      </c>
      <c r="F198" t="s">
        <v>42</v>
      </c>
      <c r="G198" s="20" t="s">
        <v>43</v>
      </c>
      <c r="H198" t="s">
        <v>7</v>
      </c>
      <c r="I198" t="s">
        <v>253</v>
      </c>
      <c r="J198" t="s">
        <v>42</v>
      </c>
      <c r="K198" t="s">
        <v>334</v>
      </c>
      <c r="L198" t="s">
        <v>44</v>
      </c>
      <c r="M198" t="s">
        <v>45</v>
      </c>
      <c r="N198">
        <v>281</v>
      </c>
      <c r="O198" t="s">
        <v>119</v>
      </c>
      <c r="P198" t="s">
        <v>30</v>
      </c>
      <c r="Q198" s="4">
        <v>44714</v>
      </c>
      <c r="R198">
        <v>1</v>
      </c>
      <c r="S198" t="s">
        <v>107</v>
      </c>
      <c r="T198" t="s">
        <v>107</v>
      </c>
      <c r="U198" t="s">
        <v>271</v>
      </c>
      <c r="V198">
        <v>0</v>
      </c>
      <c r="AD198">
        <v>1</v>
      </c>
      <c r="AF198">
        <v>19</v>
      </c>
      <c r="AI198">
        <v>184</v>
      </c>
    </row>
    <row r="199" spans="1:35" x14ac:dyDescent="0.35">
      <c r="A199" t="s">
        <v>91</v>
      </c>
      <c r="B199" t="s">
        <v>24</v>
      </c>
      <c r="C199" t="s">
        <v>33</v>
      </c>
      <c r="D199" t="s">
        <v>34</v>
      </c>
      <c r="E199" t="s">
        <v>309</v>
      </c>
      <c r="F199" t="s">
        <v>42</v>
      </c>
      <c r="G199" s="20" t="s">
        <v>43</v>
      </c>
      <c r="H199" t="s">
        <v>7</v>
      </c>
      <c r="I199" t="s">
        <v>253</v>
      </c>
      <c r="J199" t="s">
        <v>42</v>
      </c>
      <c r="K199" t="s">
        <v>334</v>
      </c>
      <c r="L199" t="s">
        <v>44</v>
      </c>
      <c r="M199" t="s">
        <v>45</v>
      </c>
      <c r="N199">
        <v>282</v>
      </c>
      <c r="O199" t="s">
        <v>119</v>
      </c>
      <c r="P199" t="s">
        <v>30</v>
      </c>
      <c r="Q199" s="4">
        <v>44714</v>
      </c>
      <c r="R199">
        <v>0</v>
      </c>
      <c r="S199" t="s">
        <v>107</v>
      </c>
      <c r="T199" t="s">
        <v>107</v>
      </c>
      <c r="U199" t="s">
        <v>271</v>
      </c>
      <c r="V199">
        <v>0</v>
      </c>
      <c r="AD199">
        <v>1</v>
      </c>
      <c r="AF199">
        <v>19</v>
      </c>
      <c r="AI199">
        <v>185</v>
      </c>
    </row>
    <row r="200" spans="1:35" x14ac:dyDescent="0.35">
      <c r="A200" t="s">
        <v>91</v>
      </c>
      <c r="B200" t="s">
        <v>24</v>
      </c>
      <c r="C200" t="s">
        <v>33</v>
      </c>
      <c r="D200" t="s">
        <v>34</v>
      </c>
      <c r="E200" t="s">
        <v>309</v>
      </c>
      <c r="F200" t="s">
        <v>42</v>
      </c>
      <c r="G200" s="20" t="s">
        <v>43</v>
      </c>
      <c r="H200" t="s">
        <v>7</v>
      </c>
      <c r="I200" t="s">
        <v>253</v>
      </c>
      <c r="J200" t="s">
        <v>42</v>
      </c>
      <c r="K200" t="s">
        <v>334</v>
      </c>
      <c r="L200" t="s">
        <v>44</v>
      </c>
      <c r="M200" t="s">
        <v>45</v>
      </c>
      <c r="N200">
        <v>283</v>
      </c>
      <c r="O200" t="s">
        <v>119</v>
      </c>
      <c r="P200" t="s">
        <v>30</v>
      </c>
      <c r="Q200" s="4">
        <v>44714</v>
      </c>
      <c r="R200">
        <v>1</v>
      </c>
      <c r="S200" t="s">
        <v>107</v>
      </c>
      <c r="T200" t="s">
        <v>107</v>
      </c>
      <c r="U200" t="s">
        <v>271</v>
      </c>
      <c r="V200">
        <v>0</v>
      </c>
      <c r="AD200">
        <v>1</v>
      </c>
      <c r="AF200">
        <v>19</v>
      </c>
      <c r="AI200">
        <v>186</v>
      </c>
    </row>
    <row r="201" spans="1:35" x14ac:dyDescent="0.35">
      <c r="A201" t="s">
        <v>91</v>
      </c>
      <c r="B201" t="s">
        <v>24</v>
      </c>
      <c r="C201" t="s">
        <v>33</v>
      </c>
      <c r="D201" t="s">
        <v>34</v>
      </c>
      <c r="E201" t="s">
        <v>309</v>
      </c>
      <c r="F201" t="s">
        <v>42</v>
      </c>
      <c r="G201" s="20" t="s">
        <v>43</v>
      </c>
      <c r="H201" t="s">
        <v>7</v>
      </c>
      <c r="I201" t="s">
        <v>253</v>
      </c>
      <c r="J201" t="s">
        <v>42</v>
      </c>
      <c r="K201" t="s">
        <v>334</v>
      </c>
      <c r="L201" t="s">
        <v>44</v>
      </c>
      <c r="M201" t="s">
        <v>45</v>
      </c>
      <c r="N201">
        <v>284</v>
      </c>
      <c r="O201" t="s">
        <v>119</v>
      </c>
      <c r="P201" t="s">
        <v>30</v>
      </c>
      <c r="Q201" s="4">
        <v>44714</v>
      </c>
      <c r="R201">
        <v>0</v>
      </c>
      <c r="S201" t="s">
        <v>107</v>
      </c>
      <c r="T201" t="s">
        <v>107</v>
      </c>
      <c r="U201" t="s">
        <v>271</v>
      </c>
      <c r="V201">
        <v>0</v>
      </c>
      <c r="AD201">
        <v>1</v>
      </c>
      <c r="AF201">
        <v>19</v>
      </c>
      <c r="AI201">
        <v>187</v>
      </c>
    </row>
    <row r="202" spans="1:35" x14ac:dyDescent="0.35">
      <c r="A202" t="s">
        <v>91</v>
      </c>
      <c r="B202" t="s">
        <v>24</v>
      </c>
      <c r="C202" t="s">
        <v>33</v>
      </c>
      <c r="D202" t="s">
        <v>34</v>
      </c>
      <c r="E202" t="s">
        <v>309</v>
      </c>
      <c r="F202" t="s">
        <v>42</v>
      </c>
      <c r="G202" s="20" t="s">
        <v>43</v>
      </c>
      <c r="H202" t="s">
        <v>7</v>
      </c>
      <c r="I202" t="s">
        <v>253</v>
      </c>
      <c r="J202" t="s">
        <v>42</v>
      </c>
      <c r="K202" t="s">
        <v>334</v>
      </c>
      <c r="L202" t="s">
        <v>44</v>
      </c>
      <c r="M202" t="s">
        <v>45</v>
      </c>
      <c r="N202">
        <v>285</v>
      </c>
      <c r="O202" t="s">
        <v>119</v>
      </c>
      <c r="P202" t="s">
        <v>30</v>
      </c>
      <c r="Q202" s="4">
        <v>44714</v>
      </c>
      <c r="R202">
        <v>1</v>
      </c>
      <c r="S202" t="s">
        <v>107</v>
      </c>
      <c r="T202" t="s">
        <v>107</v>
      </c>
      <c r="U202" t="s">
        <v>271</v>
      </c>
      <c r="V202">
        <v>0</v>
      </c>
      <c r="AD202">
        <v>1</v>
      </c>
      <c r="AF202">
        <v>19</v>
      </c>
      <c r="AI202">
        <v>188</v>
      </c>
    </row>
    <row r="203" spans="1:35" x14ac:dyDescent="0.35">
      <c r="A203" t="s">
        <v>91</v>
      </c>
      <c r="B203" t="s">
        <v>24</v>
      </c>
      <c r="C203" t="s">
        <v>33</v>
      </c>
      <c r="D203" t="s">
        <v>34</v>
      </c>
      <c r="E203" t="s">
        <v>309</v>
      </c>
      <c r="F203" t="s">
        <v>42</v>
      </c>
      <c r="G203" s="20" t="s">
        <v>43</v>
      </c>
      <c r="H203" t="s">
        <v>7</v>
      </c>
      <c r="I203" t="s">
        <v>253</v>
      </c>
      <c r="J203" t="s">
        <v>42</v>
      </c>
      <c r="K203" t="s">
        <v>334</v>
      </c>
      <c r="L203" t="s">
        <v>44</v>
      </c>
      <c r="M203" t="s">
        <v>45</v>
      </c>
      <c r="N203">
        <v>286</v>
      </c>
      <c r="O203" t="s">
        <v>119</v>
      </c>
      <c r="P203" t="s">
        <v>30</v>
      </c>
      <c r="Q203" s="4">
        <v>44714</v>
      </c>
      <c r="R203">
        <v>0</v>
      </c>
      <c r="S203" t="s">
        <v>107</v>
      </c>
      <c r="T203" t="s">
        <v>107</v>
      </c>
      <c r="U203" t="s">
        <v>271</v>
      </c>
      <c r="V203">
        <v>0</v>
      </c>
      <c r="AD203">
        <v>1</v>
      </c>
      <c r="AF203">
        <v>19</v>
      </c>
      <c r="AI203">
        <v>189</v>
      </c>
    </row>
    <row r="204" spans="1:35" x14ac:dyDescent="0.35">
      <c r="A204" t="s">
        <v>91</v>
      </c>
      <c r="B204" t="s">
        <v>24</v>
      </c>
      <c r="C204" t="s">
        <v>33</v>
      </c>
      <c r="D204" t="s">
        <v>34</v>
      </c>
      <c r="E204" t="s">
        <v>309</v>
      </c>
      <c r="F204" t="s">
        <v>42</v>
      </c>
      <c r="G204" s="20" t="s">
        <v>43</v>
      </c>
      <c r="H204" t="s">
        <v>7</v>
      </c>
      <c r="I204" t="s">
        <v>253</v>
      </c>
      <c r="J204" t="s">
        <v>42</v>
      </c>
      <c r="K204" t="s">
        <v>334</v>
      </c>
      <c r="L204" t="s">
        <v>44</v>
      </c>
      <c r="M204" t="s">
        <v>45</v>
      </c>
      <c r="N204">
        <v>287</v>
      </c>
      <c r="O204" t="s">
        <v>119</v>
      </c>
      <c r="P204" t="s">
        <v>30</v>
      </c>
      <c r="Q204" s="4">
        <v>44714</v>
      </c>
      <c r="R204">
        <v>0</v>
      </c>
      <c r="S204" t="s">
        <v>107</v>
      </c>
      <c r="T204" t="s">
        <v>107</v>
      </c>
      <c r="U204" t="s">
        <v>271</v>
      </c>
      <c r="V204">
        <v>0</v>
      </c>
      <c r="AD204">
        <v>1</v>
      </c>
      <c r="AF204">
        <v>19</v>
      </c>
      <c r="AI204">
        <v>190</v>
      </c>
    </row>
    <row r="205" spans="1:35" x14ac:dyDescent="0.35">
      <c r="A205" t="s">
        <v>91</v>
      </c>
      <c r="B205" t="s">
        <v>24</v>
      </c>
      <c r="C205" t="s">
        <v>33</v>
      </c>
      <c r="D205" t="s">
        <v>34</v>
      </c>
      <c r="E205" t="s">
        <v>309</v>
      </c>
      <c r="F205" t="s">
        <v>42</v>
      </c>
      <c r="G205" s="20" t="s">
        <v>43</v>
      </c>
      <c r="H205" t="s">
        <v>7</v>
      </c>
      <c r="I205" t="s">
        <v>253</v>
      </c>
      <c r="J205" t="s">
        <v>42</v>
      </c>
      <c r="K205" t="s">
        <v>334</v>
      </c>
      <c r="L205" t="s">
        <v>44</v>
      </c>
      <c r="M205" t="s">
        <v>45</v>
      </c>
      <c r="N205">
        <v>288</v>
      </c>
      <c r="O205" t="s">
        <v>119</v>
      </c>
      <c r="P205" t="s">
        <v>30</v>
      </c>
      <c r="Q205" s="4">
        <v>44714</v>
      </c>
      <c r="R205">
        <v>0</v>
      </c>
      <c r="S205" t="s">
        <v>107</v>
      </c>
      <c r="T205" t="s">
        <v>107</v>
      </c>
      <c r="U205" t="s">
        <v>271</v>
      </c>
      <c r="V205">
        <v>0</v>
      </c>
      <c r="AD205">
        <v>1</v>
      </c>
      <c r="AF205">
        <v>19</v>
      </c>
      <c r="AI205">
        <v>191</v>
      </c>
    </row>
    <row r="206" spans="1:35" x14ac:dyDescent="0.35">
      <c r="A206" t="s">
        <v>91</v>
      </c>
      <c r="B206" t="s">
        <v>24</v>
      </c>
      <c r="C206" t="s">
        <v>33</v>
      </c>
      <c r="D206" t="s">
        <v>34</v>
      </c>
      <c r="E206" t="s">
        <v>309</v>
      </c>
      <c r="F206" t="s">
        <v>42</v>
      </c>
      <c r="G206" s="20" t="s">
        <v>43</v>
      </c>
      <c r="H206" t="s">
        <v>7</v>
      </c>
      <c r="I206" t="s">
        <v>253</v>
      </c>
      <c r="J206" t="s">
        <v>42</v>
      </c>
      <c r="K206" t="s">
        <v>334</v>
      </c>
      <c r="L206" t="s">
        <v>44</v>
      </c>
      <c r="M206" t="s">
        <v>45</v>
      </c>
      <c r="N206">
        <v>289</v>
      </c>
      <c r="O206" t="s">
        <v>119</v>
      </c>
      <c r="P206" t="s">
        <v>30</v>
      </c>
      <c r="Q206" s="4">
        <v>44714</v>
      </c>
      <c r="R206">
        <v>0</v>
      </c>
      <c r="S206" t="s">
        <v>107</v>
      </c>
      <c r="T206" t="s">
        <v>107</v>
      </c>
      <c r="U206" t="s">
        <v>271</v>
      </c>
      <c r="V206">
        <v>0</v>
      </c>
      <c r="AD206">
        <v>1</v>
      </c>
      <c r="AF206">
        <v>19</v>
      </c>
      <c r="AI206">
        <v>192</v>
      </c>
    </row>
    <row r="207" spans="1:35" x14ac:dyDescent="0.35">
      <c r="A207" t="s">
        <v>91</v>
      </c>
      <c r="B207" t="s">
        <v>24</v>
      </c>
      <c r="C207" t="s">
        <v>33</v>
      </c>
      <c r="D207" t="s">
        <v>34</v>
      </c>
      <c r="E207" t="s">
        <v>309</v>
      </c>
      <c r="F207" t="s">
        <v>42</v>
      </c>
      <c r="G207" s="20" t="s">
        <v>43</v>
      </c>
      <c r="H207" t="s">
        <v>7</v>
      </c>
      <c r="I207" t="s">
        <v>253</v>
      </c>
      <c r="J207" t="s">
        <v>42</v>
      </c>
      <c r="K207" t="s">
        <v>334</v>
      </c>
      <c r="L207" t="s">
        <v>44</v>
      </c>
      <c r="M207" t="s">
        <v>45</v>
      </c>
      <c r="N207">
        <v>290</v>
      </c>
      <c r="O207" t="s">
        <v>119</v>
      </c>
      <c r="P207" t="s">
        <v>30</v>
      </c>
      <c r="Q207" s="4">
        <v>44714</v>
      </c>
      <c r="R207">
        <v>0</v>
      </c>
      <c r="S207" t="s">
        <v>107</v>
      </c>
      <c r="T207" t="s">
        <v>107</v>
      </c>
      <c r="U207" t="s">
        <v>271</v>
      </c>
      <c r="V207">
        <v>0</v>
      </c>
      <c r="AD207">
        <v>1</v>
      </c>
      <c r="AF207">
        <v>19</v>
      </c>
      <c r="AI207">
        <v>193</v>
      </c>
    </row>
    <row r="208" spans="1:35" x14ac:dyDescent="0.35">
      <c r="A208" t="s">
        <v>91</v>
      </c>
      <c r="B208" t="s">
        <v>24</v>
      </c>
      <c r="C208" t="s">
        <v>33</v>
      </c>
      <c r="D208" t="s">
        <v>34</v>
      </c>
      <c r="E208" t="s">
        <v>309</v>
      </c>
      <c r="F208" t="s">
        <v>42</v>
      </c>
      <c r="G208" s="20" t="s">
        <v>43</v>
      </c>
      <c r="H208" t="s">
        <v>7</v>
      </c>
      <c r="I208" t="s">
        <v>253</v>
      </c>
      <c r="J208" t="s">
        <v>42</v>
      </c>
      <c r="K208" t="s">
        <v>334</v>
      </c>
      <c r="L208" t="s">
        <v>44</v>
      </c>
      <c r="M208" t="s">
        <v>45</v>
      </c>
      <c r="N208">
        <v>291</v>
      </c>
      <c r="O208" t="s">
        <v>119</v>
      </c>
      <c r="P208" t="s">
        <v>30</v>
      </c>
      <c r="Q208" s="4">
        <v>44714</v>
      </c>
      <c r="R208">
        <v>0</v>
      </c>
      <c r="S208" t="s">
        <v>107</v>
      </c>
      <c r="T208" t="s">
        <v>107</v>
      </c>
      <c r="U208" t="s">
        <v>271</v>
      </c>
      <c r="V208">
        <v>0</v>
      </c>
      <c r="AD208">
        <v>1</v>
      </c>
      <c r="AF208">
        <v>19</v>
      </c>
      <c r="AI208">
        <v>194</v>
      </c>
    </row>
    <row r="209" spans="1:35" x14ac:dyDescent="0.35">
      <c r="A209" t="s">
        <v>91</v>
      </c>
      <c r="B209" t="s">
        <v>24</v>
      </c>
      <c r="C209" t="s">
        <v>33</v>
      </c>
      <c r="D209" t="s">
        <v>34</v>
      </c>
      <c r="E209" t="s">
        <v>309</v>
      </c>
      <c r="F209" t="s">
        <v>42</v>
      </c>
      <c r="G209" s="20" t="s">
        <v>43</v>
      </c>
      <c r="H209" t="s">
        <v>7</v>
      </c>
      <c r="I209" t="s">
        <v>253</v>
      </c>
      <c r="J209" t="s">
        <v>42</v>
      </c>
      <c r="K209" t="s">
        <v>334</v>
      </c>
      <c r="L209" t="s">
        <v>44</v>
      </c>
      <c r="M209" t="s">
        <v>45</v>
      </c>
      <c r="N209">
        <v>292</v>
      </c>
      <c r="O209" t="s">
        <v>119</v>
      </c>
      <c r="P209" t="s">
        <v>30</v>
      </c>
      <c r="Q209" s="4">
        <v>44714</v>
      </c>
      <c r="R209">
        <v>0</v>
      </c>
      <c r="S209" t="s">
        <v>107</v>
      </c>
      <c r="T209" t="s">
        <v>107</v>
      </c>
      <c r="U209" t="s">
        <v>271</v>
      </c>
      <c r="V209">
        <v>0</v>
      </c>
      <c r="AD209">
        <v>1</v>
      </c>
      <c r="AF209">
        <v>19</v>
      </c>
      <c r="AI209">
        <v>195</v>
      </c>
    </row>
    <row r="210" spans="1:35" x14ac:dyDescent="0.35">
      <c r="A210" t="s">
        <v>91</v>
      </c>
      <c r="B210" t="s">
        <v>24</v>
      </c>
      <c r="C210" t="s">
        <v>33</v>
      </c>
      <c r="D210" t="s">
        <v>34</v>
      </c>
      <c r="E210" t="s">
        <v>309</v>
      </c>
      <c r="F210" t="s">
        <v>42</v>
      </c>
      <c r="G210" s="20" t="s">
        <v>43</v>
      </c>
      <c r="H210" t="s">
        <v>7</v>
      </c>
      <c r="I210" t="s">
        <v>253</v>
      </c>
      <c r="J210" t="s">
        <v>42</v>
      </c>
      <c r="K210" t="s">
        <v>334</v>
      </c>
      <c r="L210" t="s">
        <v>44</v>
      </c>
      <c r="M210" t="s">
        <v>45</v>
      </c>
      <c r="N210">
        <v>293</v>
      </c>
      <c r="O210" t="s">
        <v>119</v>
      </c>
      <c r="P210" t="s">
        <v>30</v>
      </c>
      <c r="Q210" s="4">
        <v>44714</v>
      </c>
      <c r="R210">
        <v>0</v>
      </c>
      <c r="S210" t="s">
        <v>107</v>
      </c>
      <c r="T210" t="s">
        <v>107</v>
      </c>
      <c r="U210" t="s">
        <v>271</v>
      </c>
      <c r="V210">
        <v>0</v>
      </c>
      <c r="AD210">
        <v>1</v>
      </c>
      <c r="AF210">
        <v>19</v>
      </c>
      <c r="AI210">
        <v>196</v>
      </c>
    </row>
    <row r="211" spans="1:35" x14ac:dyDescent="0.35">
      <c r="A211" t="s">
        <v>91</v>
      </c>
      <c r="B211" t="s">
        <v>24</v>
      </c>
      <c r="C211" t="s">
        <v>33</v>
      </c>
      <c r="D211" t="s">
        <v>34</v>
      </c>
      <c r="E211" t="s">
        <v>309</v>
      </c>
      <c r="F211" t="s">
        <v>42</v>
      </c>
      <c r="G211" s="20" t="s">
        <v>43</v>
      </c>
      <c r="H211" t="s">
        <v>7</v>
      </c>
      <c r="I211" t="s">
        <v>253</v>
      </c>
      <c r="J211" t="s">
        <v>42</v>
      </c>
      <c r="K211" t="s">
        <v>334</v>
      </c>
      <c r="L211" t="s">
        <v>44</v>
      </c>
      <c r="M211" t="s">
        <v>45</v>
      </c>
      <c r="N211">
        <v>294</v>
      </c>
      <c r="O211" t="s">
        <v>119</v>
      </c>
      <c r="P211" t="s">
        <v>30</v>
      </c>
      <c r="Q211" s="4">
        <v>44714</v>
      </c>
      <c r="R211">
        <v>0</v>
      </c>
      <c r="S211" t="s">
        <v>107</v>
      </c>
      <c r="T211" t="s">
        <v>107</v>
      </c>
      <c r="U211" t="s">
        <v>271</v>
      </c>
      <c r="V211">
        <v>0</v>
      </c>
      <c r="AD211">
        <v>1</v>
      </c>
      <c r="AF211">
        <v>19</v>
      </c>
      <c r="AI211">
        <v>197</v>
      </c>
    </row>
    <row r="212" spans="1:35" x14ac:dyDescent="0.35">
      <c r="A212" t="s">
        <v>91</v>
      </c>
      <c r="B212" t="s">
        <v>24</v>
      </c>
      <c r="C212" t="s">
        <v>33</v>
      </c>
      <c r="D212" t="s">
        <v>34</v>
      </c>
      <c r="E212" t="s">
        <v>309</v>
      </c>
      <c r="F212" t="s">
        <v>42</v>
      </c>
      <c r="G212" s="20" t="s">
        <v>43</v>
      </c>
      <c r="H212" t="s">
        <v>7</v>
      </c>
      <c r="I212" t="s">
        <v>253</v>
      </c>
      <c r="J212" t="s">
        <v>42</v>
      </c>
      <c r="K212" t="s">
        <v>334</v>
      </c>
      <c r="L212" t="s">
        <v>44</v>
      </c>
      <c r="M212" t="s">
        <v>45</v>
      </c>
      <c r="N212">
        <v>295</v>
      </c>
      <c r="O212" t="s">
        <v>119</v>
      </c>
      <c r="P212" t="s">
        <v>30</v>
      </c>
      <c r="Q212" s="4">
        <v>44714</v>
      </c>
      <c r="R212">
        <v>0</v>
      </c>
      <c r="S212" t="s">
        <v>107</v>
      </c>
      <c r="T212" t="s">
        <v>107</v>
      </c>
      <c r="U212" t="s">
        <v>271</v>
      </c>
      <c r="V212">
        <v>0</v>
      </c>
      <c r="AD212">
        <v>1</v>
      </c>
      <c r="AF212">
        <v>19</v>
      </c>
      <c r="AI212">
        <v>198</v>
      </c>
    </row>
    <row r="213" spans="1:35" x14ac:dyDescent="0.35">
      <c r="A213" t="s">
        <v>91</v>
      </c>
      <c r="B213" t="s">
        <v>24</v>
      </c>
      <c r="C213" t="s">
        <v>33</v>
      </c>
      <c r="D213" t="s">
        <v>34</v>
      </c>
      <c r="E213" t="s">
        <v>309</v>
      </c>
      <c r="F213" t="s">
        <v>42</v>
      </c>
      <c r="G213" s="20" t="s">
        <v>43</v>
      </c>
      <c r="H213" t="s">
        <v>7</v>
      </c>
      <c r="I213" t="s">
        <v>253</v>
      </c>
      <c r="J213" t="s">
        <v>42</v>
      </c>
      <c r="K213" t="s">
        <v>334</v>
      </c>
      <c r="L213" t="s">
        <v>44</v>
      </c>
      <c r="M213" t="s">
        <v>45</v>
      </c>
      <c r="N213">
        <v>296</v>
      </c>
      <c r="O213" t="s">
        <v>119</v>
      </c>
      <c r="P213" t="s">
        <v>30</v>
      </c>
      <c r="Q213" s="4">
        <v>44714</v>
      </c>
      <c r="R213">
        <v>1</v>
      </c>
      <c r="S213" t="s">
        <v>164</v>
      </c>
      <c r="T213" t="s">
        <v>107</v>
      </c>
      <c r="U213" t="s">
        <v>271</v>
      </c>
      <c r="V213">
        <v>0</v>
      </c>
      <c r="AD213">
        <v>1</v>
      </c>
      <c r="AF213">
        <v>19</v>
      </c>
      <c r="AI213">
        <v>199</v>
      </c>
    </row>
    <row r="214" spans="1:35" x14ac:dyDescent="0.35">
      <c r="A214" t="s">
        <v>91</v>
      </c>
      <c r="B214" t="s">
        <v>24</v>
      </c>
      <c r="C214" t="s">
        <v>33</v>
      </c>
      <c r="D214" t="s">
        <v>34</v>
      </c>
      <c r="E214" t="s">
        <v>309</v>
      </c>
      <c r="F214" t="s">
        <v>42</v>
      </c>
      <c r="G214" s="20" t="s">
        <v>43</v>
      </c>
      <c r="H214" t="s">
        <v>7</v>
      </c>
      <c r="I214" t="s">
        <v>253</v>
      </c>
      <c r="J214" t="s">
        <v>42</v>
      </c>
      <c r="K214" t="s">
        <v>334</v>
      </c>
      <c r="L214" t="s">
        <v>44</v>
      </c>
      <c r="M214" t="s">
        <v>45</v>
      </c>
      <c r="N214">
        <v>297</v>
      </c>
      <c r="O214" t="s">
        <v>119</v>
      </c>
      <c r="P214" t="s">
        <v>30</v>
      </c>
      <c r="Q214" s="4">
        <v>44714</v>
      </c>
      <c r="R214">
        <v>0</v>
      </c>
      <c r="S214" t="s">
        <v>164</v>
      </c>
      <c r="T214" t="s">
        <v>107</v>
      </c>
      <c r="U214" t="s">
        <v>271</v>
      </c>
      <c r="V214">
        <v>0</v>
      </c>
      <c r="AD214">
        <v>1</v>
      </c>
      <c r="AF214">
        <v>19</v>
      </c>
      <c r="AI214">
        <v>200</v>
      </c>
    </row>
    <row r="215" spans="1:35" x14ac:dyDescent="0.35">
      <c r="A215" t="s">
        <v>91</v>
      </c>
      <c r="B215" t="s">
        <v>24</v>
      </c>
      <c r="C215" t="s">
        <v>33</v>
      </c>
      <c r="D215" t="s">
        <v>34</v>
      </c>
      <c r="E215" t="s">
        <v>309</v>
      </c>
      <c r="F215" t="s">
        <v>42</v>
      </c>
      <c r="G215" s="20" t="s">
        <v>43</v>
      </c>
      <c r="H215" t="s">
        <v>7</v>
      </c>
      <c r="I215" t="s">
        <v>253</v>
      </c>
      <c r="J215" t="s">
        <v>42</v>
      </c>
      <c r="K215" t="s">
        <v>334</v>
      </c>
      <c r="L215" t="s">
        <v>44</v>
      </c>
      <c r="M215" t="s">
        <v>45</v>
      </c>
      <c r="N215">
        <v>298</v>
      </c>
      <c r="O215" t="s">
        <v>119</v>
      </c>
      <c r="P215" t="s">
        <v>30</v>
      </c>
      <c r="Q215" s="4">
        <v>44714</v>
      </c>
      <c r="R215">
        <v>1</v>
      </c>
      <c r="S215" t="s">
        <v>164</v>
      </c>
      <c r="T215" t="s">
        <v>107</v>
      </c>
      <c r="U215" t="s">
        <v>271</v>
      </c>
      <c r="V215">
        <v>0</v>
      </c>
      <c r="AD215">
        <v>1</v>
      </c>
      <c r="AF215">
        <v>19</v>
      </c>
      <c r="AI215">
        <v>201</v>
      </c>
    </row>
    <row r="216" spans="1:35" x14ac:dyDescent="0.35">
      <c r="A216" t="s">
        <v>91</v>
      </c>
      <c r="B216" t="s">
        <v>24</v>
      </c>
      <c r="C216" t="s">
        <v>33</v>
      </c>
      <c r="D216" t="s">
        <v>34</v>
      </c>
      <c r="E216" t="s">
        <v>309</v>
      </c>
      <c r="F216" t="s">
        <v>42</v>
      </c>
      <c r="G216" s="20" t="s">
        <v>43</v>
      </c>
      <c r="H216" t="s">
        <v>7</v>
      </c>
      <c r="I216" t="s">
        <v>253</v>
      </c>
      <c r="J216" t="s">
        <v>42</v>
      </c>
      <c r="K216" t="s">
        <v>334</v>
      </c>
      <c r="L216" t="s">
        <v>44</v>
      </c>
      <c r="M216" t="s">
        <v>45</v>
      </c>
      <c r="N216">
        <v>299</v>
      </c>
      <c r="O216" t="s">
        <v>119</v>
      </c>
      <c r="P216" t="s">
        <v>30</v>
      </c>
      <c r="Q216" s="4">
        <v>44714</v>
      </c>
      <c r="R216">
        <v>0</v>
      </c>
      <c r="S216" t="s">
        <v>164</v>
      </c>
      <c r="T216" t="s">
        <v>107</v>
      </c>
      <c r="U216" t="s">
        <v>271</v>
      </c>
      <c r="V216">
        <v>0</v>
      </c>
      <c r="AD216">
        <v>1</v>
      </c>
      <c r="AF216">
        <v>19</v>
      </c>
      <c r="AI216">
        <v>202</v>
      </c>
    </row>
    <row r="217" spans="1:35" x14ac:dyDescent="0.35">
      <c r="A217" t="s">
        <v>91</v>
      </c>
      <c r="B217" t="s">
        <v>24</v>
      </c>
      <c r="C217" t="s">
        <v>33</v>
      </c>
      <c r="D217" t="s">
        <v>34</v>
      </c>
      <c r="E217" t="s">
        <v>309</v>
      </c>
      <c r="F217" t="s">
        <v>42</v>
      </c>
      <c r="G217" s="20" t="s">
        <v>43</v>
      </c>
      <c r="H217" t="s">
        <v>7</v>
      </c>
      <c r="I217" t="s">
        <v>253</v>
      </c>
      <c r="J217" t="s">
        <v>42</v>
      </c>
      <c r="K217" t="s">
        <v>334</v>
      </c>
      <c r="L217" t="s">
        <v>44</v>
      </c>
      <c r="M217" t="s">
        <v>45</v>
      </c>
      <c r="N217">
        <v>300</v>
      </c>
      <c r="O217" t="s">
        <v>119</v>
      </c>
      <c r="P217" t="s">
        <v>30</v>
      </c>
      <c r="Q217" s="4">
        <v>44714</v>
      </c>
      <c r="R217">
        <v>1</v>
      </c>
      <c r="S217" t="s">
        <v>164</v>
      </c>
      <c r="T217" t="s">
        <v>107</v>
      </c>
      <c r="U217" t="s">
        <v>271</v>
      </c>
      <c r="V217">
        <v>0</v>
      </c>
      <c r="AD217">
        <v>1</v>
      </c>
      <c r="AF217">
        <v>19</v>
      </c>
      <c r="AI217">
        <v>203</v>
      </c>
    </row>
    <row r="218" spans="1:35" x14ac:dyDescent="0.35">
      <c r="A218" t="s">
        <v>91</v>
      </c>
      <c r="B218" t="s">
        <v>24</v>
      </c>
      <c r="C218" t="s">
        <v>33</v>
      </c>
      <c r="D218" t="s">
        <v>34</v>
      </c>
      <c r="E218" t="s">
        <v>309</v>
      </c>
      <c r="F218" t="s">
        <v>42</v>
      </c>
      <c r="G218" s="20" t="s">
        <v>43</v>
      </c>
      <c r="H218" t="s">
        <v>7</v>
      </c>
      <c r="I218" t="s">
        <v>253</v>
      </c>
      <c r="J218" t="s">
        <v>42</v>
      </c>
      <c r="K218" t="s">
        <v>334</v>
      </c>
      <c r="L218" t="s">
        <v>44</v>
      </c>
      <c r="M218" t="s">
        <v>45</v>
      </c>
      <c r="N218">
        <v>301</v>
      </c>
      <c r="O218" t="s">
        <v>119</v>
      </c>
      <c r="P218" t="s">
        <v>30</v>
      </c>
      <c r="Q218" s="4">
        <v>44714</v>
      </c>
      <c r="R218">
        <v>0</v>
      </c>
      <c r="S218" t="s">
        <v>164</v>
      </c>
      <c r="T218" t="s">
        <v>107</v>
      </c>
      <c r="U218" t="s">
        <v>271</v>
      </c>
      <c r="V218">
        <v>0</v>
      </c>
      <c r="AD218">
        <v>1</v>
      </c>
      <c r="AF218">
        <v>13</v>
      </c>
      <c r="AI218">
        <v>204</v>
      </c>
    </row>
    <row r="219" spans="1:35" x14ac:dyDescent="0.35">
      <c r="A219" t="s">
        <v>91</v>
      </c>
      <c r="B219" t="s">
        <v>24</v>
      </c>
      <c r="C219" t="s">
        <v>33</v>
      </c>
      <c r="D219" t="s">
        <v>34</v>
      </c>
      <c r="E219" t="s">
        <v>309</v>
      </c>
      <c r="F219" t="s">
        <v>42</v>
      </c>
      <c r="G219" s="20" t="s">
        <v>43</v>
      </c>
      <c r="H219" t="s">
        <v>7</v>
      </c>
      <c r="I219" t="s">
        <v>253</v>
      </c>
      <c r="J219" t="s">
        <v>42</v>
      </c>
      <c r="K219" t="s">
        <v>334</v>
      </c>
      <c r="L219" t="s">
        <v>44</v>
      </c>
      <c r="M219" t="s">
        <v>45</v>
      </c>
      <c r="N219">
        <v>302</v>
      </c>
      <c r="O219" t="s">
        <v>119</v>
      </c>
      <c r="P219" t="s">
        <v>30</v>
      </c>
      <c r="Q219" s="4">
        <v>44714</v>
      </c>
      <c r="R219">
        <v>1</v>
      </c>
      <c r="S219" t="s">
        <v>164</v>
      </c>
      <c r="T219" t="s">
        <v>107</v>
      </c>
      <c r="U219" t="s">
        <v>271</v>
      </c>
      <c r="V219">
        <v>0</v>
      </c>
      <c r="AD219">
        <v>1</v>
      </c>
      <c r="AF219">
        <v>13</v>
      </c>
      <c r="AI219">
        <v>205</v>
      </c>
    </row>
    <row r="220" spans="1:35" x14ac:dyDescent="0.35">
      <c r="A220" t="s">
        <v>91</v>
      </c>
      <c r="B220" t="s">
        <v>24</v>
      </c>
      <c r="C220" t="s">
        <v>33</v>
      </c>
      <c r="D220" t="s">
        <v>34</v>
      </c>
      <c r="E220" t="s">
        <v>309</v>
      </c>
      <c r="F220" t="s">
        <v>42</v>
      </c>
      <c r="G220" s="20" t="s">
        <v>43</v>
      </c>
      <c r="H220" t="s">
        <v>7</v>
      </c>
      <c r="I220" t="s">
        <v>253</v>
      </c>
      <c r="J220" t="s">
        <v>42</v>
      </c>
      <c r="K220" t="s">
        <v>334</v>
      </c>
      <c r="L220" t="s">
        <v>44</v>
      </c>
      <c r="M220" t="s">
        <v>45</v>
      </c>
      <c r="N220">
        <v>303</v>
      </c>
      <c r="O220" t="s">
        <v>119</v>
      </c>
      <c r="P220" t="s">
        <v>30</v>
      </c>
      <c r="Q220" s="4">
        <v>44714</v>
      </c>
      <c r="R220">
        <v>0</v>
      </c>
      <c r="S220" t="s">
        <v>164</v>
      </c>
      <c r="T220" t="s">
        <v>107</v>
      </c>
      <c r="U220" t="s">
        <v>271</v>
      </c>
      <c r="V220">
        <v>0</v>
      </c>
      <c r="AD220">
        <v>1</v>
      </c>
      <c r="AF220">
        <v>13</v>
      </c>
      <c r="AI220">
        <v>206</v>
      </c>
    </row>
    <row r="221" spans="1:35" x14ac:dyDescent="0.35">
      <c r="A221" t="s">
        <v>91</v>
      </c>
      <c r="B221" t="s">
        <v>24</v>
      </c>
      <c r="C221" t="s">
        <v>33</v>
      </c>
      <c r="D221" t="s">
        <v>34</v>
      </c>
      <c r="E221" t="s">
        <v>309</v>
      </c>
      <c r="F221" t="s">
        <v>42</v>
      </c>
      <c r="G221" s="20" t="s">
        <v>43</v>
      </c>
      <c r="H221" t="s">
        <v>7</v>
      </c>
      <c r="I221" t="s">
        <v>253</v>
      </c>
      <c r="J221" t="s">
        <v>42</v>
      </c>
      <c r="K221" t="s">
        <v>334</v>
      </c>
      <c r="L221" t="s">
        <v>44</v>
      </c>
      <c r="M221" t="s">
        <v>45</v>
      </c>
      <c r="N221">
        <v>304</v>
      </c>
      <c r="O221" t="s">
        <v>119</v>
      </c>
      <c r="P221" t="s">
        <v>30</v>
      </c>
      <c r="Q221" s="4">
        <v>44714</v>
      </c>
      <c r="R221">
        <v>1</v>
      </c>
      <c r="S221" t="s">
        <v>164</v>
      </c>
      <c r="T221" t="s">
        <v>107</v>
      </c>
      <c r="U221" t="s">
        <v>271</v>
      </c>
      <c r="V221">
        <v>0</v>
      </c>
      <c r="AD221">
        <v>1</v>
      </c>
      <c r="AF221">
        <v>13</v>
      </c>
      <c r="AI221">
        <v>207</v>
      </c>
    </row>
    <row r="222" spans="1:35" x14ac:dyDescent="0.35">
      <c r="A222" t="s">
        <v>91</v>
      </c>
      <c r="B222" t="s">
        <v>24</v>
      </c>
      <c r="C222" t="s">
        <v>33</v>
      </c>
      <c r="D222" t="s">
        <v>34</v>
      </c>
      <c r="E222" t="s">
        <v>309</v>
      </c>
      <c r="F222" t="s">
        <v>42</v>
      </c>
      <c r="G222" s="20" t="s">
        <v>43</v>
      </c>
      <c r="H222" t="s">
        <v>7</v>
      </c>
      <c r="I222" t="s">
        <v>253</v>
      </c>
      <c r="J222" t="s">
        <v>42</v>
      </c>
      <c r="K222" t="s">
        <v>334</v>
      </c>
      <c r="L222" t="s">
        <v>44</v>
      </c>
      <c r="M222" t="s">
        <v>45</v>
      </c>
      <c r="N222">
        <v>305</v>
      </c>
      <c r="O222" t="s">
        <v>119</v>
      </c>
      <c r="P222" t="s">
        <v>30</v>
      </c>
      <c r="Q222" s="4">
        <v>44714</v>
      </c>
      <c r="R222">
        <v>0</v>
      </c>
      <c r="S222" t="s">
        <v>164</v>
      </c>
      <c r="T222" t="s">
        <v>107</v>
      </c>
      <c r="U222" t="s">
        <v>271</v>
      </c>
      <c r="V222">
        <v>0</v>
      </c>
      <c r="AD222">
        <v>1</v>
      </c>
      <c r="AF222">
        <v>13</v>
      </c>
      <c r="AI222">
        <v>208</v>
      </c>
    </row>
    <row r="223" spans="1:35" x14ac:dyDescent="0.35">
      <c r="A223" t="s">
        <v>91</v>
      </c>
      <c r="B223" t="s">
        <v>24</v>
      </c>
      <c r="C223" t="s">
        <v>33</v>
      </c>
      <c r="D223" t="s">
        <v>34</v>
      </c>
      <c r="E223" t="s">
        <v>309</v>
      </c>
      <c r="F223" t="s">
        <v>42</v>
      </c>
      <c r="G223" s="20" t="s">
        <v>43</v>
      </c>
      <c r="H223" t="s">
        <v>7</v>
      </c>
      <c r="I223" t="s">
        <v>253</v>
      </c>
      <c r="J223" t="s">
        <v>42</v>
      </c>
      <c r="K223" t="s">
        <v>334</v>
      </c>
      <c r="L223" t="s">
        <v>44</v>
      </c>
      <c r="M223" t="s">
        <v>45</v>
      </c>
      <c r="N223">
        <v>306</v>
      </c>
      <c r="O223" t="s">
        <v>119</v>
      </c>
      <c r="P223" t="s">
        <v>30</v>
      </c>
      <c r="Q223" s="4">
        <v>44714</v>
      </c>
      <c r="R223">
        <v>0</v>
      </c>
      <c r="S223" t="s">
        <v>164</v>
      </c>
      <c r="T223" t="s">
        <v>107</v>
      </c>
      <c r="U223" t="s">
        <v>271</v>
      </c>
      <c r="V223">
        <v>0</v>
      </c>
      <c r="AD223">
        <v>1</v>
      </c>
      <c r="AF223">
        <v>13</v>
      </c>
      <c r="AI223">
        <v>209</v>
      </c>
    </row>
    <row r="224" spans="1:35" x14ac:dyDescent="0.35">
      <c r="A224" t="s">
        <v>91</v>
      </c>
      <c r="B224" t="s">
        <v>24</v>
      </c>
      <c r="C224" t="s">
        <v>33</v>
      </c>
      <c r="D224" t="s">
        <v>34</v>
      </c>
      <c r="E224" t="s">
        <v>309</v>
      </c>
      <c r="F224" t="s">
        <v>42</v>
      </c>
      <c r="G224" s="20" t="s">
        <v>43</v>
      </c>
      <c r="H224" t="s">
        <v>7</v>
      </c>
      <c r="I224" t="s">
        <v>253</v>
      </c>
      <c r="J224" t="s">
        <v>42</v>
      </c>
      <c r="K224" t="s">
        <v>334</v>
      </c>
      <c r="L224" t="s">
        <v>44</v>
      </c>
      <c r="M224" t="s">
        <v>45</v>
      </c>
      <c r="N224">
        <v>307</v>
      </c>
      <c r="O224" t="s">
        <v>119</v>
      </c>
      <c r="P224" t="s">
        <v>30</v>
      </c>
      <c r="Q224" s="4">
        <v>44714</v>
      </c>
      <c r="R224">
        <v>1</v>
      </c>
      <c r="S224" t="s">
        <v>164</v>
      </c>
      <c r="T224" t="s">
        <v>107</v>
      </c>
      <c r="U224" t="s">
        <v>271</v>
      </c>
      <c r="V224">
        <v>0</v>
      </c>
      <c r="AD224">
        <v>1</v>
      </c>
      <c r="AF224">
        <v>13</v>
      </c>
      <c r="AI224">
        <v>210</v>
      </c>
    </row>
    <row r="225" spans="1:35" x14ac:dyDescent="0.35">
      <c r="A225" t="s">
        <v>91</v>
      </c>
      <c r="B225" t="s">
        <v>24</v>
      </c>
      <c r="C225" t="s">
        <v>33</v>
      </c>
      <c r="D225" t="s">
        <v>34</v>
      </c>
      <c r="E225" t="s">
        <v>309</v>
      </c>
      <c r="F225" t="s">
        <v>42</v>
      </c>
      <c r="G225" s="20" t="s">
        <v>43</v>
      </c>
      <c r="H225" t="s">
        <v>7</v>
      </c>
      <c r="I225" t="s">
        <v>253</v>
      </c>
      <c r="J225" t="s">
        <v>42</v>
      </c>
      <c r="K225" t="s">
        <v>334</v>
      </c>
      <c r="L225" t="s">
        <v>44</v>
      </c>
      <c r="M225" t="s">
        <v>45</v>
      </c>
      <c r="N225">
        <v>308</v>
      </c>
      <c r="O225" t="s">
        <v>119</v>
      </c>
      <c r="P225" t="s">
        <v>30</v>
      </c>
      <c r="Q225" s="4">
        <v>44714</v>
      </c>
      <c r="R225">
        <v>0</v>
      </c>
      <c r="S225" t="s">
        <v>164</v>
      </c>
      <c r="T225" t="s">
        <v>107</v>
      </c>
      <c r="U225" t="s">
        <v>271</v>
      </c>
      <c r="V225">
        <v>0</v>
      </c>
      <c r="AD225">
        <v>1</v>
      </c>
      <c r="AF225">
        <v>13</v>
      </c>
      <c r="AI225">
        <v>211</v>
      </c>
    </row>
    <row r="226" spans="1:35" x14ac:dyDescent="0.35">
      <c r="A226" t="s">
        <v>91</v>
      </c>
      <c r="B226" t="s">
        <v>24</v>
      </c>
      <c r="C226" t="s">
        <v>33</v>
      </c>
      <c r="D226" t="s">
        <v>34</v>
      </c>
      <c r="E226" t="s">
        <v>309</v>
      </c>
      <c r="F226" t="s">
        <v>42</v>
      </c>
      <c r="G226" s="20" t="s">
        <v>43</v>
      </c>
      <c r="H226" t="s">
        <v>7</v>
      </c>
      <c r="I226" t="s">
        <v>253</v>
      </c>
      <c r="J226" t="s">
        <v>42</v>
      </c>
      <c r="K226" t="s">
        <v>334</v>
      </c>
      <c r="L226" t="s">
        <v>44</v>
      </c>
      <c r="M226" t="s">
        <v>45</v>
      </c>
      <c r="N226">
        <v>309</v>
      </c>
      <c r="O226" t="s">
        <v>119</v>
      </c>
      <c r="P226" t="s">
        <v>30</v>
      </c>
      <c r="Q226" s="4">
        <v>44714</v>
      </c>
      <c r="R226">
        <v>0</v>
      </c>
      <c r="S226" t="s">
        <v>164</v>
      </c>
      <c r="T226" t="s">
        <v>107</v>
      </c>
      <c r="U226" t="s">
        <v>271</v>
      </c>
      <c r="V226">
        <v>0</v>
      </c>
      <c r="AD226">
        <v>1</v>
      </c>
      <c r="AF226">
        <v>23</v>
      </c>
      <c r="AI226">
        <v>212</v>
      </c>
    </row>
    <row r="227" spans="1:35" x14ac:dyDescent="0.35">
      <c r="A227" t="s">
        <v>91</v>
      </c>
      <c r="B227" t="s">
        <v>24</v>
      </c>
      <c r="C227" t="s">
        <v>33</v>
      </c>
      <c r="D227" t="s">
        <v>34</v>
      </c>
      <c r="E227" t="s">
        <v>309</v>
      </c>
      <c r="F227" t="s">
        <v>42</v>
      </c>
      <c r="G227" s="20" t="s">
        <v>43</v>
      </c>
      <c r="H227" t="s">
        <v>7</v>
      </c>
      <c r="I227" t="s">
        <v>253</v>
      </c>
      <c r="J227" t="s">
        <v>42</v>
      </c>
      <c r="K227" t="s">
        <v>334</v>
      </c>
      <c r="L227" t="s">
        <v>44</v>
      </c>
      <c r="M227" t="s">
        <v>45</v>
      </c>
      <c r="N227">
        <v>310</v>
      </c>
      <c r="O227" t="s">
        <v>119</v>
      </c>
      <c r="P227" t="s">
        <v>30</v>
      </c>
      <c r="Q227" s="4">
        <v>44714</v>
      </c>
      <c r="R227">
        <v>0</v>
      </c>
      <c r="S227" t="s">
        <v>164</v>
      </c>
      <c r="T227" t="s">
        <v>107</v>
      </c>
      <c r="U227" t="s">
        <v>271</v>
      </c>
      <c r="V227">
        <v>0</v>
      </c>
      <c r="AD227">
        <v>1</v>
      </c>
      <c r="AF227">
        <v>23</v>
      </c>
      <c r="AI227">
        <v>213</v>
      </c>
    </row>
    <row r="228" spans="1:35" x14ac:dyDescent="0.35">
      <c r="A228" t="s">
        <v>91</v>
      </c>
      <c r="B228" t="s">
        <v>24</v>
      </c>
      <c r="C228" t="s">
        <v>33</v>
      </c>
      <c r="D228" t="s">
        <v>34</v>
      </c>
      <c r="E228" t="s">
        <v>309</v>
      </c>
      <c r="F228" t="s">
        <v>42</v>
      </c>
      <c r="G228" s="20" t="s">
        <v>43</v>
      </c>
      <c r="H228" t="s">
        <v>7</v>
      </c>
      <c r="I228" t="s">
        <v>253</v>
      </c>
      <c r="J228" t="s">
        <v>42</v>
      </c>
      <c r="K228" t="s">
        <v>334</v>
      </c>
      <c r="L228" t="s">
        <v>44</v>
      </c>
      <c r="M228" t="s">
        <v>45</v>
      </c>
      <c r="N228">
        <v>311</v>
      </c>
      <c r="O228" t="s">
        <v>119</v>
      </c>
      <c r="P228" t="s">
        <v>30</v>
      </c>
      <c r="Q228" s="4">
        <v>44714</v>
      </c>
      <c r="R228">
        <v>1</v>
      </c>
      <c r="S228" t="s">
        <v>164</v>
      </c>
      <c r="T228" t="s">
        <v>107</v>
      </c>
      <c r="U228" t="s">
        <v>271</v>
      </c>
      <c r="V228">
        <v>0</v>
      </c>
      <c r="AD228">
        <v>1</v>
      </c>
      <c r="AF228">
        <v>23</v>
      </c>
      <c r="AI228">
        <v>214</v>
      </c>
    </row>
    <row r="229" spans="1:35" x14ac:dyDescent="0.35">
      <c r="A229" t="s">
        <v>91</v>
      </c>
      <c r="B229" t="s">
        <v>24</v>
      </c>
      <c r="C229" t="s">
        <v>33</v>
      </c>
      <c r="D229" t="s">
        <v>34</v>
      </c>
      <c r="E229" t="s">
        <v>320</v>
      </c>
      <c r="F229" t="s">
        <v>321</v>
      </c>
      <c r="G229" s="20" t="s">
        <v>46</v>
      </c>
      <c r="H229" t="s">
        <v>7</v>
      </c>
      <c r="I229" t="s">
        <v>255</v>
      </c>
      <c r="J229" t="s">
        <v>255</v>
      </c>
      <c r="K229" t="s">
        <v>331</v>
      </c>
      <c r="L229" t="s">
        <v>47</v>
      </c>
      <c r="M229" t="s">
        <v>47</v>
      </c>
      <c r="N229">
        <v>339</v>
      </c>
      <c r="O229" t="s">
        <v>119</v>
      </c>
      <c r="P229" t="s">
        <v>37</v>
      </c>
      <c r="Q229" s="4">
        <v>44727</v>
      </c>
      <c r="R229">
        <v>1</v>
      </c>
      <c r="S229" t="s">
        <v>74</v>
      </c>
      <c r="T229" t="s">
        <v>229</v>
      </c>
      <c r="U229" t="s">
        <v>229</v>
      </c>
      <c r="V229">
        <v>0</v>
      </c>
      <c r="AD229">
        <v>1</v>
      </c>
      <c r="AF229">
        <v>6</v>
      </c>
      <c r="AI229">
        <v>243</v>
      </c>
    </row>
    <row r="230" spans="1:35" x14ac:dyDescent="0.35">
      <c r="A230" t="s">
        <v>91</v>
      </c>
      <c r="B230" t="s">
        <v>24</v>
      </c>
      <c r="C230" t="s">
        <v>33</v>
      </c>
      <c r="D230" t="s">
        <v>34</v>
      </c>
      <c r="E230" t="s">
        <v>320</v>
      </c>
      <c r="F230" t="s">
        <v>321</v>
      </c>
      <c r="G230" s="20" t="s">
        <v>46</v>
      </c>
      <c r="H230" t="s">
        <v>7</v>
      </c>
      <c r="I230" t="s">
        <v>255</v>
      </c>
      <c r="J230" t="s">
        <v>255</v>
      </c>
      <c r="K230" t="s">
        <v>331</v>
      </c>
      <c r="L230" t="s">
        <v>47</v>
      </c>
      <c r="M230" t="s">
        <v>47</v>
      </c>
      <c r="N230">
        <v>340</v>
      </c>
      <c r="O230" t="s">
        <v>119</v>
      </c>
      <c r="P230" t="s">
        <v>37</v>
      </c>
      <c r="Q230" s="4">
        <v>44727</v>
      </c>
      <c r="R230">
        <v>1</v>
      </c>
      <c r="S230" t="s">
        <v>74</v>
      </c>
      <c r="T230" t="s">
        <v>229</v>
      </c>
      <c r="U230" t="s">
        <v>229</v>
      </c>
      <c r="V230">
        <v>0</v>
      </c>
      <c r="AD230">
        <v>1</v>
      </c>
      <c r="AF230">
        <v>6</v>
      </c>
      <c r="AI230">
        <v>244</v>
      </c>
    </row>
    <row r="231" spans="1:35" x14ac:dyDescent="0.35">
      <c r="A231" t="s">
        <v>91</v>
      </c>
      <c r="B231" t="s">
        <v>24</v>
      </c>
      <c r="C231" t="s">
        <v>33</v>
      </c>
      <c r="D231" t="s">
        <v>34</v>
      </c>
      <c r="E231" t="s">
        <v>320</v>
      </c>
      <c r="F231" t="s">
        <v>321</v>
      </c>
      <c r="G231" s="20" t="s">
        <v>46</v>
      </c>
      <c r="H231" t="s">
        <v>7</v>
      </c>
      <c r="I231" t="s">
        <v>255</v>
      </c>
      <c r="J231" t="s">
        <v>255</v>
      </c>
      <c r="K231" t="s">
        <v>331</v>
      </c>
      <c r="L231" t="s">
        <v>47</v>
      </c>
      <c r="M231" t="s">
        <v>47</v>
      </c>
      <c r="N231">
        <v>341</v>
      </c>
      <c r="O231" t="s">
        <v>119</v>
      </c>
      <c r="P231" t="s">
        <v>37</v>
      </c>
      <c r="Q231" s="4">
        <v>44728</v>
      </c>
      <c r="R231">
        <v>1</v>
      </c>
      <c r="S231" t="s">
        <v>74</v>
      </c>
      <c r="T231" t="s">
        <v>229</v>
      </c>
      <c r="U231" t="s">
        <v>229</v>
      </c>
      <c r="V231">
        <v>0</v>
      </c>
      <c r="AD231">
        <v>1</v>
      </c>
      <c r="AF231">
        <v>7</v>
      </c>
      <c r="AI231">
        <v>245</v>
      </c>
    </row>
    <row r="232" spans="1:35" x14ac:dyDescent="0.35">
      <c r="A232" t="s">
        <v>91</v>
      </c>
      <c r="B232" t="s">
        <v>24</v>
      </c>
      <c r="C232" t="s">
        <v>33</v>
      </c>
      <c r="D232" t="s">
        <v>34</v>
      </c>
      <c r="E232" t="s">
        <v>320</v>
      </c>
      <c r="F232" t="s">
        <v>321</v>
      </c>
      <c r="G232" s="20" t="s">
        <v>46</v>
      </c>
      <c r="H232" t="s">
        <v>7</v>
      </c>
      <c r="I232" t="s">
        <v>255</v>
      </c>
      <c r="J232" t="s">
        <v>255</v>
      </c>
      <c r="K232" t="s">
        <v>331</v>
      </c>
      <c r="L232" t="s">
        <v>47</v>
      </c>
      <c r="M232" t="s">
        <v>47</v>
      </c>
      <c r="N232">
        <v>342</v>
      </c>
      <c r="O232" t="s">
        <v>119</v>
      </c>
      <c r="P232" t="s">
        <v>37</v>
      </c>
      <c r="Q232" s="4">
        <v>44728</v>
      </c>
      <c r="R232">
        <v>0</v>
      </c>
      <c r="S232" t="s">
        <v>74</v>
      </c>
      <c r="T232" t="s">
        <v>229</v>
      </c>
      <c r="U232" t="s">
        <v>229</v>
      </c>
      <c r="V232">
        <v>0</v>
      </c>
      <c r="AD232">
        <v>1</v>
      </c>
      <c r="AF232">
        <v>7</v>
      </c>
      <c r="AI232">
        <v>246</v>
      </c>
    </row>
    <row r="233" spans="1:35" x14ac:dyDescent="0.35">
      <c r="A233" t="s">
        <v>91</v>
      </c>
      <c r="B233" t="s">
        <v>24</v>
      </c>
      <c r="C233" t="s">
        <v>33</v>
      </c>
      <c r="D233" t="s">
        <v>34</v>
      </c>
      <c r="E233" t="s">
        <v>320</v>
      </c>
      <c r="F233" t="s">
        <v>321</v>
      </c>
      <c r="G233" s="20" t="s">
        <v>46</v>
      </c>
      <c r="H233" t="s">
        <v>7</v>
      </c>
      <c r="I233" t="s">
        <v>255</v>
      </c>
      <c r="J233" t="s">
        <v>255</v>
      </c>
      <c r="K233" t="s">
        <v>331</v>
      </c>
      <c r="L233" t="s">
        <v>47</v>
      </c>
      <c r="M233" t="s">
        <v>47</v>
      </c>
      <c r="N233">
        <v>343</v>
      </c>
      <c r="O233" t="s">
        <v>119</v>
      </c>
      <c r="P233" t="s">
        <v>37</v>
      </c>
      <c r="Q233" s="4">
        <v>44728</v>
      </c>
      <c r="S233" t="s">
        <v>74</v>
      </c>
      <c r="T233" t="s">
        <v>229</v>
      </c>
      <c r="U233" t="s">
        <v>229</v>
      </c>
      <c r="V233">
        <v>0</v>
      </c>
      <c r="AD233">
        <v>1</v>
      </c>
      <c r="AF233">
        <v>7</v>
      </c>
      <c r="AI233">
        <v>247</v>
      </c>
    </row>
    <row r="234" spans="1:35" x14ac:dyDescent="0.35">
      <c r="A234" t="s">
        <v>91</v>
      </c>
      <c r="B234" t="s">
        <v>24</v>
      </c>
      <c r="C234" t="s">
        <v>33</v>
      </c>
      <c r="D234" t="s">
        <v>34</v>
      </c>
      <c r="E234" t="s">
        <v>320</v>
      </c>
      <c r="F234" t="s">
        <v>321</v>
      </c>
      <c r="G234" s="20" t="s">
        <v>46</v>
      </c>
      <c r="H234" t="s">
        <v>7</v>
      </c>
      <c r="I234" t="s">
        <v>255</v>
      </c>
      <c r="J234" t="s">
        <v>255</v>
      </c>
      <c r="K234" t="s">
        <v>331</v>
      </c>
      <c r="L234" t="s">
        <v>47</v>
      </c>
      <c r="M234" t="s">
        <v>47</v>
      </c>
      <c r="N234">
        <v>344</v>
      </c>
      <c r="O234" t="s">
        <v>119</v>
      </c>
      <c r="P234" t="s">
        <v>37</v>
      </c>
      <c r="Q234" s="4">
        <v>44728</v>
      </c>
      <c r="S234" t="s">
        <v>74</v>
      </c>
      <c r="T234" t="s">
        <v>229</v>
      </c>
      <c r="U234" t="s">
        <v>229</v>
      </c>
      <c r="V234">
        <v>0</v>
      </c>
      <c r="AD234">
        <v>1</v>
      </c>
      <c r="AF234">
        <v>7</v>
      </c>
      <c r="AI234">
        <v>248</v>
      </c>
    </row>
    <row r="235" spans="1:35" x14ac:dyDescent="0.35">
      <c r="A235" t="s">
        <v>91</v>
      </c>
      <c r="B235" t="s">
        <v>24</v>
      </c>
      <c r="C235" t="s">
        <v>33</v>
      </c>
      <c r="D235" t="s">
        <v>34</v>
      </c>
      <c r="E235" t="s">
        <v>320</v>
      </c>
      <c r="F235" t="s">
        <v>321</v>
      </c>
      <c r="G235" s="20" t="s">
        <v>46</v>
      </c>
      <c r="H235" t="s">
        <v>7</v>
      </c>
      <c r="I235" t="s">
        <v>255</v>
      </c>
      <c r="J235" t="s">
        <v>255</v>
      </c>
      <c r="K235" t="s">
        <v>331</v>
      </c>
      <c r="L235" t="s">
        <v>47</v>
      </c>
      <c r="M235" t="s">
        <v>47</v>
      </c>
      <c r="N235">
        <v>345</v>
      </c>
      <c r="O235" t="s">
        <v>119</v>
      </c>
      <c r="P235" t="s">
        <v>30</v>
      </c>
      <c r="Q235" s="4">
        <v>44714</v>
      </c>
      <c r="S235" t="s">
        <v>74</v>
      </c>
      <c r="T235" t="s">
        <v>229</v>
      </c>
      <c r="U235" t="s">
        <v>229</v>
      </c>
      <c r="V235">
        <v>0</v>
      </c>
      <c r="AD235">
        <v>1</v>
      </c>
      <c r="AF235">
        <v>30</v>
      </c>
      <c r="AI235">
        <v>242</v>
      </c>
    </row>
    <row r="236" spans="1:35" x14ac:dyDescent="0.35">
      <c r="A236" t="s">
        <v>192</v>
      </c>
      <c r="B236" t="s">
        <v>24</v>
      </c>
      <c r="C236" t="s">
        <v>33</v>
      </c>
      <c r="D236" t="s">
        <v>34</v>
      </c>
      <c r="E236" t="s">
        <v>309</v>
      </c>
      <c r="F236" t="s">
        <v>310</v>
      </c>
      <c r="G236" s="20" t="s">
        <v>38</v>
      </c>
      <c r="H236" s="20" t="s">
        <v>39</v>
      </c>
      <c r="I236" t="s">
        <v>70</v>
      </c>
      <c r="J236" t="s">
        <v>70</v>
      </c>
      <c r="K236" t="s">
        <v>332</v>
      </c>
      <c r="L236" t="s">
        <v>275</v>
      </c>
      <c r="M236" t="s">
        <v>157</v>
      </c>
      <c r="N236">
        <v>527</v>
      </c>
      <c r="O236" t="s">
        <v>155</v>
      </c>
      <c r="P236" t="s">
        <v>223</v>
      </c>
      <c r="Q236" s="6">
        <v>45201</v>
      </c>
      <c r="R236">
        <v>1</v>
      </c>
      <c r="S236" t="s">
        <v>171</v>
      </c>
      <c r="T236" t="s">
        <v>72</v>
      </c>
      <c r="U236" t="s">
        <v>271</v>
      </c>
      <c r="AD236">
        <v>2</v>
      </c>
      <c r="AE236" s="7" t="s">
        <v>178</v>
      </c>
      <c r="AF236">
        <v>12</v>
      </c>
      <c r="AG236">
        <v>24</v>
      </c>
      <c r="AH236">
        <v>10</v>
      </c>
      <c r="AI236">
        <v>19</v>
      </c>
    </row>
    <row r="237" spans="1:35" x14ac:dyDescent="0.35">
      <c r="A237" t="s">
        <v>192</v>
      </c>
      <c r="B237" t="s">
        <v>24</v>
      </c>
      <c r="C237" t="s">
        <v>33</v>
      </c>
      <c r="D237" t="s">
        <v>34</v>
      </c>
      <c r="E237" t="s">
        <v>309</v>
      </c>
      <c r="F237" t="s">
        <v>310</v>
      </c>
      <c r="G237" s="20" t="s">
        <v>38</v>
      </c>
      <c r="H237" s="20" t="s">
        <v>39</v>
      </c>
      <c r="I237" t="s">
        <v>70</v>
      </c>
      <c r="J237" t="s">
        <v>70</v>
      </c>
      <c r="K237" t="s">
        <v>332</v>
      </c>
      <c r="L237" t="s">
        <v>275</v>
      </c>
      <c r="M237" t="s">
        <v>157</v>
      </c>
      <c r="N237">
        <v>528</v>
      </c>
      <c r="O237" t="s">
        <v>155</v>
      </c>
      <c r="P237" t="s">
        <v>223</v>
      </c>
      <c r="Q237" s="6">
        <v>45201</v>
      </c>
      <c r="R237">
        <v>1</v>
      </c>
      <c r="S237" t="s">
        <v>171</v>
      </c>
      <c r="T237" t="s">
        <v>72</v>
      </c>
      <c r="U237" t="s">
        <v>271</v>
      </c>
      <c r="AD237">
        <v>2</v>
      </c>
      <c r="AE237" s="7" t="s">
        <v>179</v>
      </c>
      <c r="AF237">
        <v>12</v>
      </c>
      <c r="AG237">
        <v>24</v>
      </c>
      <c r="AH237">
        <v>10</v>
      </c>
      <c r="AI237">
        <v>20</v>
      </c>
    </row>
    <row r="238" spans="1:35" x14ac:dyDescent="0.35">
      <c r="A238" t="s">
        <v>192</v>
      </c>
      <c r="B238" t="s">
        <v>24</v>
      </c>
      <c r="C238" t="s">
        <v>33</v>
      </c>
      <c r="D238" t="s">
        <v>34</v>
      </c>
      <c r="E238" t="s">
        <v>309</v>
      </c>
      <c r="F238" t="s">
        <v>310</v>
      </c>
      <c r="G238" s="20" t="s">
        <v>38</v>
      </c>
      <c r="H238" s="20" t="s">
        <v>39</v>
      </c>
      <c r="I238" t="s">
        <v>70</v>
      </c>
      <c r="J238" t="s">
        <v>70</v>
      </c>
      <c r="K238" t="s">
        <v>332</v>
      </c>
      <c r="L238" t="s">
        <v>275</v>
      </c>
      <c r="M238" t="s">
        <v>157</v>
      </c>
      <c r="N238">
        <v>529</v>
      </c>
      <c r="O238" t="s">
        <v>155</v>
      </c>
      <c r="P238" t="s">
        <v>223</v>
      </c>
      <c r="Q238" s="6">
        <v>45201</v>
      </c>
      <c r="R238">
        <v>1</v>
      </c>
      <c r="S238" t="s">
        <v>171</v>
      </c>
      <c r="T238" t="s">
        <v>72</v>
      </c>
      <c r="U238" t="s">
        <v>271</v>
      </c>
      <c r="AD238">
        <v>4</v>
      </c>
      <c r="AE238" s="7" t="s">
        <v>178</v>
      </c>
      <c r="AF238">
        <v>12</v>
      </c>
      <c r="AG238">
        <v>24</v>
      </c>
      <c r="AH238">
        <v>10</v>
      </c>
      <c r="AI238">
        <v>21</v>
      </c>
    </row>
    <row r="239" spans="1:35" x14ac:dyDescent="0.35">
      <c r="A239" t="s">
        <v>192</v>
      </c>
      <c r="B239" t="s">
        <v>24</v>
      </c>
      <c r="C239" t="s">
        <v>33</v>
      </c>
      <c r="D239" t="s">
        <v>34</v>
      </c>
      <c r="E239" t="s">
        <v>309</v>
      </c>
      <c r="F239" t="s">
        <v>310</v>
      </c>
      <c r="G239" s="20" t="s">
        <v>38</v>
      </c>
      <c r="H239" s="20" t="s">
        <v>39</v>
      </c>
      <c r="I239" t="s">
        <v>70</v>
      </c>
      <c r="J239" t="s">
        <v>70</v>
      </c>
      <c r="K239" t="s">
        <v>332</v>
      </c>
      <c r="L239" t="s">
        <v>275</v>
      </c>
      <c r="M239" t="s">
        <v>157</v>
      </c>
      <c r="N239">
        <v>531</v>
      </c>
      <c r="O239" t="s">
        <v>155</v>
      </c>
      <c r="P239" t="s">
        <v>223</v>
      </c>
      <c r="Q239" s="6">
        <v>45201</v>
      </c>
      <c r="R239">
        <v>1</v>
      </c>
      <c r="S239" t="s">
        <v>109</v>
      </c>
      <c r="T239" t="s">
        <v>72</v>
      </c>
      <c r="U239" t="s">
        <v>271</v>
      </c>
      <c r="AD239">
        <v>2</v>
      </c>
      <c r="AE239" s="7" t="s">
        <v>178</v>
      </c>
      <c r="AF239">
        <v>12</v>
      </c>
      <c r="AG239">
        <v>24</v>
      </c>
      <c r="AH239">
        <v>10</v>
      </c>
      <c r="AI239">
        <v>23</v>
      </c>
    </row>
    <row r="240" spans="1:35" x14ac:dyDescent="0.35">
      <c r="A240" t="s">
        <v>192</v>
      </c>
      <c r="B240" t="s">
        <v>24</v>
      </c>
      <c r="C240" t="s">
        <v>33</v>
      </c>
      <c r="D240" t="s">
        <v>34</v>
      </c>
      <c r="E240" t="s">
        <v>309</v>
      </c>
      <c r="F240" t="s">
        <v>310</v>
      </c>
      <c r="G240" s="20" t="s">
        <v>38</v>
      </c>
      <c r="H240" s="20" t="s">
        <v>39</v>
      </c>
      <c r="I240" t="s">
        <v>70</v>
      </c>
      <c r="J240" t="s">
        <v>70</v>
      </c>
      <c r="K240" t="s">
        <v>332</v>
      </c>
      <c r="L240" t="s">
        <v>275</v>
      </c>
      <c r="M240" t="s">
        <v>157</v>
      </c>
      <c r="N240">
        <v>532</v>
      </c>
      <c r="O240" t="s">
        <v>155</v>
      </c>
      <c r="P240" t="s">
        <v>223</v>
      </c>
      <c r="Q240" s="6">
        <v>45201</v>
      </c>
      <c r="R240">
        <v>1</v>
      </c>
      <c r="S240" t="s">
        <v>109</v>
      </c>
      <c r="T240" t="s">
        <v>72</v>
      </c>
      <c r="U240" t="s">
        <v>271</v>
      </c>
      <c r="AD240">
        <v>2</v>
      </c>
      <c r="AE240" s="7" t="s">
        <v>179</v>
      </c>
      <c r="AF240">
        <v>12</v>
      </c>
      <c r="AG240">
        <v>24</v>
      </c>
      <c r="AH240">
        <v>10</v>
      </c>
      <c r="AI240">
        <v>24</v>
      </c>
    </row>
    <row r="241" spans="1:35" x14ac:dyDescent="0.35">
      <c r="A241" t="s">
        <v>192</v>
      </c>
      <c r="B241" t="s">
        <v>24</v>
      </c>
      <c r="C241" t="s">
        <v>33</v>
      </c>
      <c r="D241" t="s">
        <v>34</v>
      </c>
      <c r="E241" t="s">
        <v>309</v>
      </c>
      <c r="F241" t="s">
        <v>310</v>
      </c>
      <c r="G241" s="20" t="s">
        <v>38</v>
      </c>
      <c r="H241" s="20" t="s">
        <v>39</v>
      </c>
      <c r="I241" t="s">
        <v>70</v>
      </c>
      <c r="J241" t="s">
        <v>70</v>
      </c>
      <c r="K241" t="s">
        <v>332</v>
      </c>
      <c r="L241" t="s">
        <v>275</v>
      </c>
      <c r="M241" t="s">
        <v>157</v>
      </c>
      <c r="N241">
        <v>533</v>
      </c>
      <c r="O241" t="s">
        <v>155</v>
      </c>
      <c r="P241" t="s">
        <v>223</v>
      </c>
      <c r="Q241" s="6">
        <v>45201</v>
      </c>
      <c r="R241">
        <v>1</v>
      </c>
      <c r="S241" t="s">
        <v>109</v>
      </c>
      <c r="T241" t="s">
        <v>72</v>
      </c>
      <c r="U241" t="s">
        <v>271</v>
      </c>
      <c r="AD241">
        <v>5</v>
      </c>
      <c r="AE241" s="7" t="s">
        <v>178</v>
      </c>
      <c r="AF241">
        <v>12</v>
      </c>
      <c r="AG241">
        <v>24</v>
      </c>
      <c r="AH241">
        <v>10</v>
      </c>
      <c r="AI241">
        <v>25</v>
      </c>
    </row>
    <row r="242" spans="1:35" x14ac:dyDescent="0.35">
      <c r="A242" t="s">
        <v>192</v>
      </c>
      <c r="B242" t="s">
        <v>24</v>
      </c>
      <c r="C242" t="s">
        <v>33</v>
      </c>
      <c r="D242" t="s">
        <v>34</v>
      </c>
      <c r="E242" t="s">
        <v>309</v>
      </c>
      <c r="F242" t="s">
        <v>310</v>
      </c>
      <c r="G242" s="20" t="s">
        <v>38</v>
      </c>
      <c r="H242" s="20" t="s">
        <v>39</v>
      </c>
      <c r="I242" t="s">
        <v>70</v>
      </c>
      <c r="J242" t="s">
        <v>70</v>
      </c>
      <c r="K242" t="s">
        <v>332</v>
      </c>
      <c r="L242" t="s">
        <v>275</v>
      </c>
      <c r="M242" t="s">
        <v>157</v>
      </c>
      <c r="N242">
        <v>534</v>
      </c>
      <c r="O242" t="s">
        <v>155</v>
      </c>
      <c r="P242" t="s">
        <v>223</v>
      </c>
      <c r="Q242" s="6">
        <v>45201</v>
      </c>
      <c r="R242">
        <v>1</v>
      </c>
      <c r="S242" t="s">
        <v>109</v>
      </c>
      <c r="T242" t="s">
        <v>72</v>
      </c>
      <c r="U242" t="s">
        <v>271</v>
      </c>
      <c r="AD242">
        <v>4</v>
      </c>
      <c r="AE242" s="7" t="s">
        <v>180</v>
      </c>
      <c r="AF242">
        <v>12</v>
      </c>
      <c r="AG242">
        <v>24</v>
      </c>
      <c r="AH242">
        <v>10</v>
      </c>
      <c r="AI242">
        <v>26</v>
      </c>
    </row>
    <row r="243" spans="1:35" x14ac:dyDescent="0.35">
      <c r="A243" t="s">
        <v>192</v>
      </c>
      <c r="B243" t="s">
        <v>24</v>
      </c>
      <c r="C243" t="s">
        <v>33</v>
      </c>
      <c r="D243" t="s">
        <v>34</v>
      </c>
      <c r="E243" t="s">
        <v>309</v>
      </c>
      <c r="F243" t="s">
        <v>310</v>
      </c>
      <c r="G243" s="20" t="s">
        <v>38</v>
      </c>
      <c r="H243" s="20" t="s">
        <v>39</v>
      </c>
      <c r="I243" t="s">
        <v>70</v>
      </c>
      <c r="J243" t="s">
        <v>70</v>
      </c>
      <c r="K243" t="s">
        <v>332</v>
      </c>
      <c r="L243" t="s">
        <v>275</v>
      </c>
      <c r="M243" t="s">
        <v>157</v>
      </c>
      <c r="N243">
        <v>535</v>
      </c>
      <c r="O243" t="s">
        <v>155</v>
      </c>
      <c r="P243" t="s">
        <v>223</v>
      </c>
      <c r="Q243" s="6">
        <v>45201</v>
      </c>
      <c r="R243">
        <v>1</v>
      </c>
      <c r="S243" t="s">
        <v>109</v>
      </c>
      <c r="T243" t="s">
        <v>72</v>
      </c>
      <c r="U243" t="s">
        <v>271</v>
      </c>
      <c r="AD243">
        <v>3</v>
      </c>
      <c r="AE243" s="7"/>
      <c r="AF243">
        <v>12</v>
      </c>
      <c r="AG243">
        <v>24</v>
      </c>
      <c r="AH243">
        <v>10</v>
      </c>
      <c r="AI243">
        <v>27</v>
      </c>
    </row>
    <row r="244" spans="1:35" x14ac:dyDescent="0.35">
      <c r="A244" t="s">
        <v>192</v>
      </c>
      <c r="B244" t="s">
        <v>24</v>
      </c>
      <c r="C244" t="s">
        <v>33</v>
      </c>
      <c r="D244" t="s">
        <v>34</v>
      </c>
      <c r="E244" t="s">
        <v>309</v>
      </c>
      <c r="F244" t="s">
        <v>310</v>
      </c>
      <c r="G244" s="20" t="s">
        <v>38</v>
      </c>
      <c r="H244" s="20" t="s">
        <v>39</v>
      </c>
      <c r="I244" t="s">
        <v>70</v>
      </c>
      <c r="J244" t="s">
        <v>70</v>
      </c>
      <c r="K244" t="s">
        <v>332</v>
      </c>
      <c r="L244" t="s">
        <v>275</v>
      </c>
      <c r="M244" t="s">
        <v>157</v>
      </c>
      <c r="N244">
        <v>536</v>
      </c>
      <c r="O244" t="s">
        <v>155</v>
      </c>
      <c r="P244" t="s">
        <v>223</v>
      </c>
      <c r="Q244" s="6">
        <v>45201</v>
      </c>
      <c r="R244">
        <v>1</v>
      </c>
      <c r="S244" t="s">
        <v>72</v>
      </c>
      <c r="T244" t="s">
        <v>72</v>
      </c>
      <c r="U244" t="s">
        <v>271</v>
      </c>
      <c r="AD244">
        <v>2</v>
      </c>
      <c r="AE244" s="7" t="s">
        <v>180</v>
      </c>
      <c r="AF244">
        <v>12</v>
      </c>
      <c r="AG244">
        <v>24</v>
      </c>
      <c r="AH244">
        <v>10</v>
      </c>
      <c r="AI244">
        <v>28</v>
      </c>
    </row>
    <row r="245" spans="1:35" x14ac:dyDescent="0.35">
      <c r="A245" t="s">
        <v>192</v>
      </c>
      <c r="B245" t="s">
        <v>24</v>
      </c>
      <c r="C245" t="s">
        <v>33</v>
      </c>
      <c r="D245" t="s">
        <v>34</v>
      </c>
      <c r="E245" t="s">
        <v>309</v>
      </c>
      <c r="F245" t="s">
        <v>310</v>
      </c>
      <c r="G245" s="20" t="s">
        <v>38</v>
      </c>
      <c r="H245" s="20" t="s">
        <v>39</v>
      </c>
      <c r="I245" t="s">
        <v>70</v>
      </c>
      <c r="J245" t="s">
        <v>70</v>
      </c>
      <c r="K245" t="s">
        <v>332</v>
      </c>
      <c r="L245" t="s">
        <v>275</v>
      </c>
      <c r="M245" t="s">
        <v>157</v>
      </c>
      <c r="N245">
        <v>538</v>
      </c>
      <c r="O245" t="s">
        <v>155</v>
      </c>
      <c r="P245" t="s">
        <v>223</v>
      </c>
      <c r="Q245" s="6">
        <v>45201</v>
      </c>
      <c r="R245">
        <v>1</v>
      </c>
      <c r="S245" t="s">
        <v>72</v>
      </c>
      <c r="T245" t="s">
        <v>72</v>
      </c>
      <c r="U245" t="s">
        <v>271</v>
      </c>
      <c r="AD245">
        <v>2</v>
      </c>
      <c r="AE245" s="7" t="s">
        <v>179</v>
      </c>
      <c r="AF245">
        <v>12</v>
      </c>
      <c r="AG245">
        <v>24</v>
      </c>
      <c r="AH245">
        <v>10</v>
      </c>
      <c r="AI245">
        <v>29</v>
      </c>
    </row>
    <row r="246" spans="1:35" x14ac:dyDescent="0.35">
      <c r="A246" t="s">
        <v>192</v>
      </c>
      <c r="B246" t="s">
        <v>24</v>
      </c>
      <c r="C246" t="s">
        <v>33</v>
      </c>
      <c r="D246" t="s">
        <v>34</v>
      </c>
      <c r="E246" t="s">
        <v>309</v>
      </c>
      <c r="F246" t="s">
        <v>310</v>
      </c>
      <c r="G246" s="20" t="s">
        <v>38</v>
      </c>
      <c r="H246" s="20" t="s">
        <v>39</v>
      </c>
      <c r="I246" t="s">
        <v>70</v>
      </c>
      <c r="J246" t="s">
        <v>70</v>
      </c>
      <c r="K246" t="s">
        <v>332</v>
      </c>
      <c r="L246" t="s">
        <v>275</v>
      </c>
      <c r="M246" t="s">
        <v>157</v>
      </c>
      <c r="N246">
        <v>539</v>
      </c>
      <c r="O246" t="s">
        <v>155</v>
      </c>
      <c r="P246" t="s">
        <v>223</v>
      </c>
      <c r="Q246" s="6">
        <v>45201</v>
      </c>
      <c r="R246">
        <v>1</v>
      </c>
      <c r="S246" t="s">
        <v>72</v>
      </c>
      <c r="T246" t="s">
        <v>72</v>
      </c>
      <c r="U246" t="s">
        <v>271</v>
      </c>
      <c r="AD246">
        <v>1</v>
      </c>
      <c r="AE246" s="7" t="s">
        <v>178</v>
      </c>
      <c r="AF246">
        <v>12</v>
      </c>
      <c r="AG246">
        <v>24</v>
      </c>
      <c r="AH246">
        <v>10</v>
      </c>
      <c r="AI246">
        <v>30</v>
      </c>
    </row>
    <row r="247" spans="1:35" x14ac:dyDescent="0.35">
      <c r="A247" t="s">
        <v>192</v>
      </c>
      <c r="B247" t="s">
        <v>24</v>
      </c>
      <c r="C247" t="s">
        <v>33</v>
      </c>
      <c r="D247" t="s">
        <v>34</v>
      </c>
      <c r="E247" t="s">
        <v>309</v>
      </c>
      <c r="F247" t="s">
        <v>310</v>
      </c>
      <c r="G247" s="20" t="s">
        <v>38</v>
      </c>
      <c r="H247" s="20" t="s">
        <v>39</v>
      </c>
      <c r="I247" t="s">
        <v>70</v>
      </c>
      <c r="J247" t="s">
        <v>70</v>
      </c>
      <c r="K247" t="s">
        <v>332</v>
      </c>
      <c r="L247" t="s">
        <v>275</v>
      </c>
      <c r="M247" t="s">
        <v>157</v>
      </c>
      <c r="N247">
        <v>540</v>
      </c>
      <c r="O247" t="s">
        <v>155</v>
      </c>
      <c r="P247" t="s">
        <v>223</v>
      </c>
      <c r="Q247" s="6">
        <v>45201</v>
      </c>
      <c r="R247">
        <v>1</v>
      </c>
      <c r="S247" t="s">
        <v>72</v>
      </c>
      <c r="T247" t="s">
        <v>72</v>
      </c>
      <c r="U247" t="s">
        <v>271</v>
      </c>
      <c r="AD247">
        <v>2</v>
      </c>
      <c r="AE247" s="7" t="s">
        <v>180</v>
      </c>
      <c r="AF247">
        <v>12</v>
      </c>
      <c r="AG247">
        <v>24</v>
      </c>
      <c r="AH247">
        <v>10</v>
      </c>
      <c r="AI247">
        <v>31</v>
      </c>
    </row>
    <row r="248" spans="1:35" x14ac:dyDescent="0.35">
      <c r="A248" t="s">
        <v>192</v>
      </c>
      <c r="B248" t="s">
        <v>24</v>
      </c>
      <c r="C248" t="s">
        <v>33</v>
      </c>
      <c r="D248" t="s">
        <v>34</v>
      </c>
      <c r="E248" t="s">
        <v>309</v>
      </c>
      <c r="F248" t="s">
        <v>310</v>
      </c>
      <c r="G248" s="20" t="s">
        <v>38</v>
      </c>
      <c r="H248" s="20" t="s">
        <v>39</v>
      </c>
      <c r="I248" t="s">
        <v>70</v>
      </c>
      <c r="J248" t="s">
        <v>70</v>
      </c>
      <c r="K248" t="s">
        <v>332</v>
      </c>
      <c r="L248" t="s">
        <v>275</v>
      </c>
      <c r="M248" t="s">
        <v>157</v>
      </c>
      <c r="N248">
        <v>541</v>
      </c>
      <c r="O248" t="s">
        <v>155</v>
      </c>
      <c r="P248" t="s">
        <v>223</v>
      </c>
      <c r="Q248" s="6">
        <v>45201</v>
      </c>
      <c r="R248">
        <v>1</v>
      </c>
      <c r="S248" t="s">
        <v>72</v>
      </c>
      <c r="T248" t="s">
        <v>72</v>
      </c>
      <c r="U248" t="s">
        <v>271</v>
      </c>
      <c r="AD248">
        <v>6</v>
      </c>
      <c r="AE248" s="7" t="s">
        <v>179</v>
      </c>
      <c r="AF248">
        <v>12</v>
      </c>
      <c r="AG248">
        <v>24</v>
      </c>
      <c r="AH248">
        <v>10</v>
      </c>
      <c r="AI248">
        <v>32</v>
      </c>
    </row>
    <row r="249" spans="1:35" x14ac:dyDescent="0.35">
      <c r="A249" t="s">
        <v>192</v>
      </c>
      <c r="B249" t="s">
        <v>24</v>
      </c>
      <c r="C249" t="s">
        <v>33</v>
      </c>
      <c r="D249" t="s">
        <v>34</v>
      </c>
      <c r="E249" t="s">
        <v>309</v>
      </c>
      <c r="F249" t="s">
        <v>310</v>
      </c>
      <c r="G249" s="20" t="s">
        <v>38</v>
      </c>
      <c r="H249" s="20" t="s">
        <v>39</v>
      </c>
      <c r="I249" t="s">
        <v>70</v>
      </c>
      <c r="J249" t="s">
        <v>70</v>
      </c>
      <c r="K249" t="s">
        <v>332</v>
      </c>
      <c r="L249" t="s">
        <v>275</v>
      </c>
      <c r="M249" t="s">
        <v>157</v>
      </c>
      <c r="N249">
        <v>542</v>
      </c>
      <c r="O249" t="s">
        <v>155</v>
      </c>
      <c r="P249" t="s">
        <v>223</v>
      </c>
      <c r="Q249" s="6">
        <v>45201</v>
      </c>
      <c r="R249">
        <v>1</v>
      </c>
      <c r="S249" t="s">
        <v>72</v>
      </c>
      <c r="T249" t="s">
        <v>72</v>
      </c>
      <c r="U249" t="s">
        <v>271</v>
      </c>
      <c r="AD249">
        <v>3</v>
      </c>
      <c r="AE249" s="7" t="s">
        <v>178</v>
      </c>
      <c r="AF249">
        <v>12</v>
      </c>
      <c r="AG249">
        <v>24</v>
      </c>
      <c r="AH249">
        <v>10</v>
      </c>
      <c r="AI249">
        <v>33</v>
      </c>
    </row>
    <row r="250" spans="1:35" x14ac:dyDescent="0.35">
      <c r="A250" t="s">
        <v>192</v>
      </c>
      <c r="B250" t="s">
        <v>24</v>
      </c>
      <c r="C250" t="s">
        <v>33</v>
      </c>
      <c r="D250" t="s">
        <v>34</v>
      </c>
      <c r="E250" t="s">
        <v>309</v>
      </c>
      <c r="F250" t="s">
        <v>310</v>
      </c>
      <c r="G250" s="20" t="s">
        <v>38</v>
      </c>
      <c r="H250" s="20" t="s">
        <v>39</v>
      </c>
      <c r="I250" t="s">
        <v>70</v>
      </c>
      <c r="J250" t="s">
        <v>70</v>
      </c>
      <c r="K250" t="s">
        <v>332</v>
      </c>
      <c r="L250" t="s">
        <v>275</v>
      </c>
      <c r="M250" t="s">
        <v>157</v>
      </c>
      <c r="N250">
        <v>543</v>
      </c>
      <c r="O250" t="s">
        <v>155</v>
      </c>
      <c r="P250" t="s">
        <v>223</v>
      </c>
      <c r="Q250" s="6">
        <v>45201</v>
      </c>
      <c r="R250">
        <v>1</v>
      </c>
      <c r="S250" t="s">
        <v>72</v>
      </c>
      <c r="T250" t="s">
        <v>72</v>
      </c>
      <c r="U250" t="s">
        <v>271</v>
      </c>
      <c r="AD250">
        <v>1</v>
      </c>
      <c r="AE250" s="7" t="s">
        <v>178</v>
      </c>
      <c r="AF250">
        <v>12</v>
      </c>
      <c r="AG250">
        <v>24</v>
      </c>
      <c r="AH250">
        <v>10</v>
      </c>
      <c r="AI250">
        <v>34</v>
      </c>
    </row>
    <row r="251" spans="1:35" x14ac:dyDescent="0.35">
      <c r="A251" t="s">
        <v>192</v>
      </c>
      <c r="B251" t="s">
        <v>24</v>
      </c>
      <c r="C251" t="s">
        <v>33</v>
      </c>
      <c r="D251" t="s">
        <v>34</v>
      </c>
      <c r="E251" t="s">
        <v>309</v>
      </c>
      <c r="F251" t="s">
        <v>310</v>
      </c>
      <c r="G251" s="20" t="s">
        <v>38</v>
      </c>
      <c r="H251" s="20" t="s">
        <v>39</v>
      </c>
      <c r="I251" t="s">
        <v>70</v>
      </c>
      <c r="J251" t="s">
        <v>70</v>
      </c>
      <c r="K251" t="s">
        <v>332</v>
      </c>
      <c r="L251" t="s">
        <v>275</v>
      </c>
      <c r="M251" t="s">
        <v>157</v>
      </c>
      <c r="N251">
        <v>544</v>
      </c>
      <c r="O251" t="s">
        <v>155</v>
      </c>
      <c r="P251" t="s">
        <v>223</v>
      </c>
      <c r="Q251" s="6">
        <v>45201</v>
      </c>
      <c r="R251">
        <v>1</v>
      </c>
      <c r="S251" t="s">
        <v>72</v>
      </c>
      <c r="T251" t="s">
        <v>72</v>
      </c>
      <c r="U251" t="s">
        <v>271</v>
      </c>
      <c r="AD251">
        <v>1</v>
      </c>
      <c r="AE251" s="7" t="s">
        <v>179</v>
      </c>
      <c r="AF251">
        <v>12</v>
      </c>
      <c r="AG251">
        <v>24</v>
      </c>
      <c r="AH251">
        <v>10</v>
      </c>
      <c r="AI251">
        <v>35</v>
      </c>
    </row>
    <row r="252" spans="1:35" x14ac:dyDescent="0.35">
      <c r="A252" t="s">
        <v>192</v>
      </c>
      <c r="B252" t="s">
        <v>24</v>
      </c>
      <c r="C252" t="s">
        <v>33</v>
      </c>
      <c r="D252" t="s">
        <v>34</v>
      </c>
      <c r="E252" t="s">
        <v>309</v>
      </c>
      <c r="F252" t="s">
        <v>310</v>
      </c>
      <c r="G252" s="20" t="s">
        <v>38</v>
      </c>
      <c r="H252" s="20" t="s">
        <v>39</v>
      </c>
      <c r="I252" t="s">
        <v>70</v>
      </c>
      <c r="J252" t="s">
        <v>70</v>
      </c>
      <c r="K252" t="s">
        <v>332</v>
      </c>
      <c r="L252" t="s">
        <v>275</v>
      </c>
      <c r="M252" t="s">
        <v>157</v>
      </c>
      <c r="N252">
        <v>545</v>
      </c>
      <c r="O252" t="s">
        <v>155</v>
      </c>
      <c r="P252" t="s">
        <v>223</v>
      </c>
      <c r="Q252" s="6">
        <v>45201</v>
      </c>
      <c r="R252">
        <v>1</v>
      </c>
      <c r="S252" t="s">
        <v>72</v>
      </c>
      <c r="T252" t="s">
        <v>72</v>
      </c>
      <c r="U252" t="s">
        <v>271</v>
      </c>
      <c r="AD252">
        <v>3</v>
      </c>
      <c r="AE252" s="7" t="s">
        <v>179</v>
      </c>
      <c r="AF252">
        <v>12</v>
      </c>
      <c r="AG252">
        <v>24</v>
      </c>
      <c r="AH252">
        <v>10</v>
      </c>
      <c r="AI252">
        <v>36</v>
      </c>
    </row>
    <row r="253" spans="1:35" x14ac:dyDescent="0.35">
      <c r="A253" t="s">
        <v>192</v>
      </c>
      <c r="B253" t="s">
        <v>24</v>
      </c>
      <c r="C253" t="s">
        <v>33</v>
      </c>
      <c r="D253" t="s">
        <v>34</v>
      </c>
      <c r="E253" t="s">
        <v>309</v>
      </c>
      <c r="F253" t="s">
        <v>310</v>
      </c>
      <c r="G253" s="20" t="s">
        <v>38</v>
      </c>
      <c r="H253" s="20" t="s">
        <v>39</v>
      </c>
      <c r="I253" t="s">
        <v>70</v>
      </c>
      <c r="J253" t="s">
        <v>70</v>
      </c>
      <c r="K253" t="s">
        <v>332</v>
      </c>
      <c r="L253" t="s">
        <v>275</v>
      </c>
      <c r="M253" t="s">
        <v>157</v>
      </c>
      <c r="N253">
        <v>546</v>
      </c>
      <c r="O253" t="s">
        <v>155</v>
      </c>
      <c r="P253" t="s">
        <v>223</v>
      </c>
      <c r="Q253" s="6">
        <v>45201</v>
      </c>
      <c r="R253">
        <v>1</v>
      </c>
      <c r="S253" t="s">
        <v>166</v>
      </c>
      <c r="T253" t="s">
        <v>72</v>
      </c>
      <c r="U253" t="s">
        <v>271</v>
      </c>
      <c r="AD253">
        <v>1</v>
      </c>
      <c r="AE253" s="7" t="s">
        <v>178</v>
      </c>
      <c r="AF253">
        <v>12</v>
      </c>
      <c r="AG253">
        <v>24</v>
      </c>
      <c r="AH253">
        <v>10</v>
      </c>
      <c r="AI253">
        <v>37</v>
      </c>
    </row>
    <row r="254" spans="1:35" x14ac:dyDescent="0.35">
      <c r="A254" t="s">
        <v>192</v>
      </c>
      <c r="B254" t="s">
        <v>24</v>
      </c>
      <c r="C254" t="s">
        <v>33</v>
      </c>
      <c r="D254" t="s">
        <v>34</v>
      </c>
      <c r="E254" t="s">
        <v>309</v>
      </c>
      <c r="F254" t="s">
        <v>310</v>
      </c>
      <c r="G254" s="20" t="s">
        <v>38</v>
      </c>
      <c r="H254" s="20" t="s">
        <v>39</v>
      </c>
      <c r="I254" t="s">
        <v>70</v>
      </c>
      <c r="J254" t="s">
        <v>70</v>
      </c>
      <c r="K254" t="s">
        <v>332</v>
      </c>
      <c r="L254" t="s">
        <v>275</v>
      </c>
      <c r="M254" t="s">
        <v>157</v>
      </c>
      <c r="N254">
        <v>564</v>
      </c>
      <c r="O254" t="s">
        <v>155</v>
      </c>
      <c r="P254" t="s">
        <v>223</v>
      </c>
      <c r="Q254" s="6">
        <v>45201</v>
      </c>
      <c r="R254">
        <v>1</v>
      </c>
      <c r="S254" t="s">
        <v>166</v>
      </c>
      <c r="T254" t="s">
        <v>72</v>
      </c>
      <c r="U254" t="s">
        <v>271</v>
      </c>
      <c r="AD254">
        <v>1</v>
      </c>
      <c r="AE254" s="7" t="s">
        <v>180</v>
      </c>
      <c r="AF254">
        <v>12</v>
      </c>
      <c r="AG254">
        <v>24</v>
      </c>
      <c r="AH254">
        <v>10</v>
      </c>
      <c r="AI254">
        <v>55</v>
      </c>
    </row>
    <row r="255" spans="1:35" x14ac:dyDescent="0.35">
      <c r="A255" t="s">
        <v>192</v>
      </c>
      <c r="B255" t="s">
        <v>24</v>
      </c>
      <c r="C255" t="s">
        <v>33</v>
      </c>
      <c r="D255" t="s">
        <v>34</v>
      </c>
      <c r="E255" t="s">
        <v>309</v>
      </c>
      <c r="F255" t="s">
        <v>310</v>
      </c>
      <c r="G255" s="20" t="s">
        <v>38</v>
      </c>
      <c r="H255" s="20" t="s">
        <v>39</v>
      </c>
      <c r="I255" t="s">
        <v>70</v>
      </c>
      <c r="J255" t="s">
        <v>70</v>
      </c>
      <c r="K255" t="s">
        <v>332</v>
      </c>
      <c r="L255" t="s">
        <v>275</v>
      </c>
      <c r="M255" t="s">
        <v>157</v>
      </c>
      <c r="N255">
        <v>568</v>
      </c>
      <c r="O255" t="s">
        <v>155</v>
      </c>
      <c r="P255" t="s">
        <v>223</v>
      </c>
      <c r="Q255" s="6">
        <v>45201</v>
      </c>
      <c r="R255">
        <v>1</v>
      </c>
      <c r="S255" t="s">
        <v>166</v>
      </c>
      <c r="T255" t="s">
        <v>72</v>
      </c>
      <c r="U255" t="s">
        <v>271</v>
      </c>
      <c r="AD255">
        <v>3</v>
      </c>
      <c r="AE255" s="7" t="s">
        <v>178</v>
      </c>
      <c r="AF255">
        <v>10</v>
      </c>
      <c r="AG255">
        <v>16</v>
      </c>
      <c r="AH255">
        <v>0</v>
      </c>
      <c r="AI255">
        <v>58</v>
      </c>
    </row>
    <row r="256" spans="1:35" x14ac:dyDescent="0.35">
      <c r="A256" t="s">
        <v>192</v>
      </c>
      <c r="B256" t="s">
        <v>24</v>
      </c>
      <c r="C256" t="s">
        <v>33</v>
      </c>
      <c r="D256" t="s">
        <v>34</v>
      </c>
      <c r="E256" t="s">
        <v>309</v>
      </c>
      <c r="F256" t="s">
        <v>310</v>
      </c>
      <c r="G256" s="20" t="s">
        <v>38</v>
      </c>
      <c r="H256" s="20" t="s">
        <v>39</v>
      </c>
      <c r="I256" t="s">
        <v>70</v>
      </c>
      <c r="J256" t="s">
        <v>70</v>
      </c>
      <c r="K256" t="s">
        <v>332</v>
      </c>
      <c r="L256" t="s">
        <v>275</v>
      </c>
      <c r="M256" t="s">
        <v>157</v>
      </c>
      <c r="N256">
        <v>569</v>
      </c>
      <c r="O256" t="s">
        <v>155</v>
      </c>
      <c r="P256" t="s">
        <v>223</v>
      </c>
      <c r="Q256" s="6">
        <v>45201</v>
      </c>
      <c r="R256">
        <v>1</v>
      </c>
      <c r="S256" t="s">
        <v>166</v>
      </c>
      <c r="T256" t="s">
        <v>72</v>
      </c>
      <c r="U256" t="s">
        <v>271</v>
      </c>
      <c r="AD256">
        <v>2</v>
      </c>
      <c r="AE256" s="7"/>
      <c r="AF256">
        <v>10</v>
      </c>
      <c r="AG256">
        <v>16</v>
      </c>
      <c r="AH256">
        <v>0</v>
      </c>
      <c r="AI256">
        <v>59</v>
      </c>
    </row>
    <row r="257" spans="1:35" x14ac:dyDescent="0.35">
      <c r="A257" t="s">
        <v>192</v>
      </c>
      <c r="B257" t="s">
        <v>24</v>
      </c>
      <c r="C257" t="s">
        <v>33</v>
      </c>
      <c r="D257" t="s">
        <v>34</v>
      </c>
      <c r="E257" t="s">
        <v>309</v>
      </c>
      <c r="F257" t="s">
        <v>310</v>
      </c>
      <c r="G257" s="20" t="s">
        <v>38</v>
      </c>
      <c r="H257" s="20" t="s">
        <v>39</v>
      </c>
      <c r="I257" t="s">
        <v>70</v>
      </c>
      <c r="J257" t="s">
        <v>70</v>
      </c>
      <c r="K257" t="s">
        <v>332</v>
      </c>
      <c r="L257" t="s">
        <v>275</v>
      </c>
      <c r="M257" t="s">
        <v>157</v>
      </c>
      <c r="N257">
        <v>570</v>
      </c>
      <c r="O257" t="s">
        <v>155</v>
      </c>
      <c r="P257" t="s">
        <v>223</v>
      </c>
      <c r="Q257" s="6">
        <v>45201</v>
      </c>
      <c r="R257">
        <v>0</v>
      </c>
      <c r="S257" t="s">
        <v>166</v>
      </c>
      <c r="T257" t="s">
        <v>72</v>
      </c>
      <c r="U257" t="s">
        <v>271</v>
      </c>
      <c r="AD257">
        <v>1</v>
      </c>
      <c r="AE257" s="7" t="s">
        <v>177</v>
      </c>
      <c r="AF257">
        <v>10</v>
      </c>
      <c r="AG257">
        <v>16</v>
      </c>
      <c r="AH257">
        <v>0</v>
      </c>
      <c r="AI257">
        <v>60</v>
      </c>
    </row>
    <row r="258" spans="1:35" x14ac:dyDescent="0.35">
      <c r="A258" t="s">
        <v>192</v>
      </c>
      <c r="B258" t="s">
        <v>24</v>
      </c>
      <c r="C258" t="s">
        <v>33</v>
      </c>
      <c r="D258" t="s">
        <v>34</v>
      </c>
      <c r="E258" t="s">
        <v>309</v>
      </c>
      <c r="F258" t="s">
        <v>310</v>
      </c>
      <c r="G258" s="20" t="s">
        <v>38</v>
      </c>
      <c r="H258" s="20" t="s">
        <v>39</v>
      </c>
      <c r="I258" t="s">
        <v>70</v>
      </c>
      <c r="J258" t="s">
        <v>70</v>
      </c>
      <c r="K258" t="s">
        <v>332</v>
      </c>
      <c r="L258" t="s">
        <v>275</v>
      </c>
      <c r="M258" t="s">
        <v>157</v>
      </c>
      <c r="N258">
        <v>571</v>
      </c>
      <c r="O258" t="s">
        <v>155</v>
      </c>
      <c r="P258" t="s">
        <v>223</v>
      </c>
      <c r="Q258" s="6">
        <v>45201</v>
      </c>
      <c r="R258">
        <v>1</v>
      </c>
      <c r="S258" t="s">
        <v>166</v>
      </c>
      <c r="T258" t="s">
        <v>72</v>
      </c>
      <c r="U258" t="s">
        <v>271</v>
      </c>
      <c r="AD258">
        <v>2</v>
      </c>
      <c r="AE258" s="7" t="s">
        <v>178</v>
      </c>
      <c r="AF258">
        <v>10</v>
      </c>
      <c r="AG258">
        <v>16</v>
      </c>
      <c r="AH258">
        <v>0</v>
      </c>
      <c r="AI258">
        <v>61</v>
      </c>
    </row>
    <row r="259" spans="1:35" x14ac:dyDescent="0.35">
      <c r="A259" t="s">
        <v>192</v>
      </c>
      <c r="B259" t="s">
        <v>24</v>
      </c>
      <c r="C259" t="s">
        <v>33</v>
      </c>
      <c r="D259" t="s">
        <v>34</v>
      </c>
      <c r="E259" t="s">
        <v>309</v>
      </c>
      <c r="F259" t="s">
        <v>310</v>
      </c>
      <c r="G259" s="20" t="s">
        <v>38</v>
      </c>
      <c r="H259" s="20" t="s">
        <v>39</v>
      </c>
      <c r="I259" t="s">
        <v>70</v>
      </c>
      <c r="J259" t="s">
        <v>70</v>
      </c>
      <c r="K259" t="s">
        <v>332</v>
      </c>
      <c r="L259" t="s">
        <v>275</v>
      </c>
      <c r="M259" t="s">
        <v>157</v>
      </c>
      <c r="N259">
        <v>572</v>
      </c>
      <c r="O259" t="s">
        <v>155</v>
      </c>
      <c r="P259" t="s">
        <v>223</v>
      </c>
      <c r="Q259" s="6">
        <v>45201</v>
      </c>
      <c r="R259">
        <v>1</v>
      </c>
      <c r="S259" t="s">
        <v>166</v>
      </c>
      <c r="T259" t="s">
        <v>72</v>
      </c>
      <c r="U259" t="s">
        <v>271</v>
      </c>
      <c r="AD259">
        <v>2</v>
      </c>
      <c r="AE259" s="7" t="s">
        <v>178</v>
      </c>
      <c r="AF259">
        <v>10</v>
      </c>
      <c r="AG259">
        <v>16</v>
      </c>
      <c r="AH259">
        <v>0</v>
      </c>
      <c r="AI259">
        <v>62</v>
      </c>
    </row>
    <row r="260" spans="1:35" x14ac:dyDescent="0.35">
      <c r="A260" t="s">
        <v>192</v>
      </c>
      <c r="B260" t="s">
        <v>24</v>
      </c>
      <c r="C260" t="s">
        <v>33</v>
      </c>
      <c r="D260" t="s">
        <v>34</v>
      </c>
      <c r="E260" t="s">
        <v>309</v>
      </c>
      <c r="F260" t="s">
        <v>310</v>
      </c>
      <c r="G260" s="20" t="s">
        <v>38</v>
      </c>
      <c r="H260" s="20" t="s">
        <v>39</v>
      </c>
      <c r="I260" t="s">
        <v>70</v>
      </c>
      <c r="J260" t="s">
        <v>70</v>
      </c>
      <c r="K260" t="s">
        <v>332</v>
      </c>
      <c r="L260" t="s">
        <v>275</v>
      </c>
      <c r="M260" t="s">
        <v>157</v>
      </c>
      <c r="N260">
        <v>573</v>
      </c>
      <c r="O260" t="s">
        <v>155</v>
      </c>
      <c r="P260" t="s">
        <v>223</v>
      </c>
      <c r="Q260" s="6">
        <v>45201</v>
      </c>
      <c r="R260">
        <v>1</v>
      </c>
      <c r="S260" t="s">
        <v>166</v>
      </c>
      <c r="T260" t="s">
        <v>72</v>
      </c>
      <c r="U260" t="s">
        <v>271</v>
      </c>
      <c r="AD260">
        <v>2</v>
      </c>
      <c r="AE260" s="7" t="s">
        <v>180</v>
      </c>
      <c r="AF260">
        <v>10</v>
      </c>
      <c r="AG260">
        <v>16</v>
      </c>
      <c r="AH260">
        <v>0</v>
      </c>
      <c r="AI260">
        <v>63</v>
      </c>
    </row>
    <row r="261" spans="1:35" x14ac:dyDescent="0.35">
      <c r="A261" t="s">
        <v>192</v>
      </c>
      <c r="B261" t="s">
        <v>24</v>
      </c>
      <c r="C261" t="s">
        <v>33</v>
      </c>
      <c r="D261" t="s">
        <v>34</v>
      </c>
      <c r="E261" t="s">
        <v>309</v>
      </c>
      <c r="F261" t="s">
        <v>310</v>
      </c>
      <c r="G261" s="20" t="s">
        <v>38</v>
      </c>
      <c r="H261" s="20" t="s">
        <v>39</v>
      </c>
      <c r="I261" t="s">
        <v>70</v>
      </c>
      <c r="J261" t="s">
        <v>70</v>
      </c>
      <c r="K261" t="s">
        <v>332</v>
      </c>
      <c r="L261" t="s">
        <v>275</v>
      </c>
      <c r="M261" t="s">
        <v>157</v>
      </c>
      <c r="N261">
        <v>574</v>
      </c>
      <c r="O261" t="s">
        <v>155</v>
      </c>
      <c r="P261" t="s">
        <v>223</v>
      </c>
      <c r="Q261" s="6">
        <v>45201</v>
      </c>
      <c r="R261">
        <v>0</v>
      </c>
      <c r="S261" t="s">
        <v>166</v>
      </c>
      <c r="T261" t="s">
        <v>72</v>
      </c>
      <c r="U261" t="s">
        <v>271</v>
      </c>
      <c r="AD261">
        <v>3</v>
      </c>
      <c r="AE261" s="7" t="s">
        <v>180</v>
      </c>
      <c r="AF261">
        <v>10</v>
      </c>
      <c r="AG261">
        <v>16</v>
      </c>
      <c r="AH261">
        <v>0</v>
      </c>
      <c r="AI261">
        <v>64</v>
      </c>
    </row>
    <row r="262" spans="1:35" x14ac:dyDescent="0.35">
      <c r="A262" t="s">
        <v>192</v>
      </c>
      <c r="B262" t="s">
        <v>24</v>
      </c>
      <c r="C262" t="s">
        <v>33</v>
      </c>
      <c r="D262" t="s">
        <v>34</v>
      </c>
      <c r="E262" t="s">
        <v>309</v>
      </c>
      <c r="F262" t="s">
        <v>310</v>
      </c>
      <c r="G262" s="20" t="s">
        <v>38</v>
      </c>
      <c r="H262" s="20" t="s">
        <v>39</v>
      </c>
      <c r="I262" t="s">
        <v>70</v>
      </c>
      <c r="J262" t="s">
        <v>70</v>
      </c>
      <c r="K262" t="s">
        <v>332</v>
      </c>
      <c r="L262" t="s">
        <v>275</v>
      </c>
      <c r="M262" t="s">
        <v>157</v>
      </c>
      <c r="N262">
        <v>575</v>
      </c>
      <c r="O262" t="s">
        <v>155</v>
      </c>
      <c r="P262" t="s">
        <v>223</v>
      </c>
      <c r="Q262" s="6">
        <v>45201</v>
      </c>
      <c r="R262">
        <v>1</v>
      </c>
      <c r="S262" t="s">
        <v>166</v>
      </c>
      <c r="T262" t="s">
        <v>72</v>
      </c>
      <c r="U262" t="s">
        <v>271</v>
      </c>
      <c r="AD262">
        <v>1</v>
      </c>
      <c r="AE262" s="7" t="s">
        <v>178</v>
      </c>
      <c r="AF262">
        <v>10</v>
      </c>
      <c r="AG262">
        <v>16</v>
      </c>
      <c r="AH262">
        <v>0</v>
      </c>
      <c r="AI262">
        <v>65</v>
      </c>
    </row>
    <row r="263" spans="1:35" x14ac:dyDescent="0.35">
      <c r="A263" t="s">
        <v>192</v>
      </c>
      <c r="B263" t="s">
        <v>24</v>
      </c>
      <c r="C263" t="s">
        <v>33</v>
      </c>
      <c r="D263" t="s">
        <v>34</v>
      </c>
      <c r="E263" t="s">
        <v>309</v>
      </c>
      <c r="F263" t="s">
        <v>310</v>
      </c>
      <c r="G263" s="20" t="s">
        <v>38</v>
      </c>
      <c r="H263" s="20" t="s">
        <v>39</v>
      </c>
      <c r="I263" t="s">
        <v>70</v>
      </c>
      <c r="J263" t="s">
        <v>70</v>
      </c>
      <c r="K263" t="s">
        <v>332</v>
      </c>
      <c r="L263" t="s">
        <v>275</v>
      </c>
      <c r="M263" t="s">
        <v>157</v>
      </c>
      <c r="N263">
        <v>576</v>
      </c>
      <c r="O263" t="s">
        <v>155</v>
      </c>
      <c r="P263" t="s">
        <v>223</v>
      </c>
      <c r="Q263" s="6">
        <v>45201</v>
      </c>
      <c r="R263">
        <v>1</v>
      </c>
      <c r="S263" t="s">
        <v>166</v>
      </c>
      <c r="T263" t="s">
        <v>72</v>
      </c>
      <c r="U263" t="s">
        <v>271</v>
      </c>
      <c r="AD263">
        <v>4</v>
      </c>
      <c r="AE263" s="7" t="s">
        <v>180</v>
      </c>
      <c r="AF263">
        <v>10</v>
      </c>
      <c r="AG263">
        <v>16</v>
      </c>
      <c r="AH263">
        <v>0</v>
      </c>
      <c r="AI263">
        <v>66</v>
      </c>
    </row>
    <row r="264" spans="1:35" x14ac:dyDescent="0.35">
      <c r="A264" t="s">
        <v>192</v>
      </c>
      <c r="B264" t="s">
        <v>24</v>
      </c>
      <c r="C264" t="s">
        <v>33</v>
      </c>
      <c r="D264" t="s">
        <v>34</v>
      </c>
      <c r="E264" t="s">
        <v>309</v>
      </c>
      <c r="F264" t="s">
        <v>310</v>
      </c>
      <c r="G264" s="20" t="s">
        <v>38</v>
      </c>
      <c r="H264" s="20" t="s">
        <v>39</v>
      </c>
      <c r="I264" t="s">
        <v>70</v>
      </c>
      <c r="J264" t="s">
        <v>70</v>
      </c>
      <c r="K264" t="s">
        <v>332</v>
      </c>
      <c r="L264" t="s">
        <v>275</v>
      </c>
      <c r="M264" t="s">
        <v>157</v>
      </c>
      <c r="N264">
        <v>577</v>
      </c>
      <c r="O264" t="s">
        <v>155</v>
      </c>
      <c r="P264" t="s">
        <v>223</v>
      </c>
      <c r="Q264" s="6">
        <v>45201</v>
      </c>
      <c r="R264">
        <v>1</v>
      </c>
      <c r="S264" t="s">
        <v>166</v>
      </c>
      <c r="T264" t="s">
        <v>72</v>
      </c>
      <c r="U264" t="s">
        <v>271</v>
      </c>
      <c r="AD264">
        <v>1</v>
      </c>
      <c r="AE264" s="7" t="s">
        <v>178</v>
      </c>
      <c r="AF264">
        <v>10</v>
      </c>
      <c r="AG264">
        <v>16</v>
      </c>
      <c r="AH264">
        <v>0</v>
      </c>
      <c r="AI264">
        <v>67</v>
      </c>
    </row>
    <row r="265" spans="1:35" x14ac:dyDescent="0.35">
      <c r="A265" t="s">
        <v>192</v>
      </c>
      <c r="B265" t="s">
        <v>24</v>
      </c>
      <c r="C265" t="s">
        <v>33</v>
      </c>
      <c r="D265" t="s">
        <v>34</v>
      </c>
      <c r="E265" t="s">
        <v>309</v>
      </c>
      <c r="F265" t="s">
        <v>310</v>
      </c>
      <c r="G265" s="20" t="s">
        <v>38</v>
      </c>
      <c r="H265" s="20" t="s">
        <v>39</v>
      </c>
      <c r="I265" t="s">
        <v>70</v>
      </c>
      <c r="J265" t="s">
        <v>70</v>
      </c>
      <c r="K265" t="s">
        <v>332</v>
      </c>
      <c r="L265" t="s">
        <v>275</v>
      </c>
      <c r="M265" t="s">
        <v>157</v>
      </c>
      <c r="N265">
        <v>579</v>
      </c>
      <c r="O265" t="s">
        <v>155</v>
      </c>
      <c r="P265" t="s">
        <v>223</v>
      </c>
      <c r="Q265" s="6">
        <v>45201</v>
      </c>
      <c r="R265">
        <v>1</v>
      </c>
      <c r="S265" t="s">
        <v>166</v>
      </c>
      <c r="T265" t="s">
        <v>72</v>
      </c>
      <c r="U265" t="s">
        <v>271</v>
      </c>
      <c r="AD265">
        <v>1</v>
      </c>
      <c r="AE265" s="7" t="s">
        <v>178</v>
      </c>
      <c r="AF265">
        <v>10</v>
      </c>
      <c r="AG265">
        <v>16</v>
      </c>
      <c r="AH265">
        <v>0</v>
      </c>
      <c r="AI265">
        <v>69</v>
      </c>
    </row>
    <row r="266" spans="1:35" x14ac:dyDescent="0.35">
      <c r="A266" t="s">
        <v>192</v>
      </c>
      <c r="B266" t="s">
        <v>24</v>
      </c>
      <c r="C266" t="s">
        <v>33</v>
      </c>
      <c r="D266" t="s">
        <v>34</v>
      </c>
      <c r="E266" t="s">
        <v>309</v>
      </c>
      <c r="F266" t="s">
        <v>310</v>
      </c>
      <c r="G266" s="20" t="s">
        <v>38</v>
      </c>
      <c r="H266" s="20" t="s">
        <v>39</v>
      </c>
      <c r="I266" t="s">
        <v>70</v>
      </c>
      <c r="J266" t="s">
        <v>70</v>
      </c>
      <c r="K266" t="s">
        <v>332</v>
      </c>
      <c r="L266" t="s">
        <v>275</v>
      </c>
      <c r="M266" t="s">
        <v>157</v>
      </c>
      <c r="N266">
        <v>580</v>
      </c>
      <c r="O266" t="s">
        <v>155</v>
      </c>
      <c r="P266" t="s">
        <v>223</v>
      </c>
      <c r="Q266" s="6">
        <v>45201</v>
      </c>
      <c r="R266">
        <v>1</v>
      </c>
      <c r="S266" t="s">
        <v>166</v>
      </c>
      <c r="T266" t="s">
        <v>72</v>
      </c>
      <c r="U266" t="s">
        <v>271</v>
      </c>
      <c r="AD266">
        <v>3</v>
      </c>
      <c r="AE266" s="7" t="s">
        <v>178</v>
      </c>
      <c r="AF266">
        <v>9</v>
      </c>
      <c r="AG266">
        <v>15</v>
      </c>
      <c r="AH266">
        <v>0</v>
      </c>
      <c r="AI266">
        <v>70</v>
      </c>
    </row>
    <row r="267" spans="1:35" x14ac:dyDescent="0.35">
      <c r="A267" t="s">
        <v>192</v>
      </c>
      <c r="B267" t="s">
        <v>24</v>
      </c>
      <c r="C267" t="s">
        <v>33</v>
      </c>
      <c r="D267" t="s">
        <v>34</v>
      </c>
      <c r="E267" t="s">
        <v>309</v>
      </c>
      <c r="F267" t="s">
        <v>310</v>
      </c>
      <c r="G267" s="20" t="s">
        <v>38</v>
      </c>
      <c r="H267" s="20" t="s">
        <v>39</v>
      </c>
      <c r="I267" t="s">
        <v>70</v>
      </c>
      <c r="J267" t="s">
        <v>70</v>
      </c>
      <c r="K267" t="s">
        <v>332</v>
      </c>
      <c r="L267" t="s">
        <v>275</v>
      </c>
      <c r="M267" t="s">
        <v>157</v>
      </c>
      <c r="N267">
        <v>592</v>
      </c>
      <c r="O267" t="s">
        <v>155</v>
      </c>
      <c r="P267" t="s">
        <v>223</v>
      </c>
      <c r="Q267" s="6">
        <v>45201</v>
      </c>
      <c r="R267">
        <v>1</v>
      </c>
      <c r="S267" t="s">
        <v>166</v>
      </c>
      <c r="T267" t="s">
        <v>72</v>
      </c>
      <c r="U267" t="s">
        <v>271</v>
      </c>
      <c r="AD267">
        <v>3</v>
      </c>
      <c r="AE267" s="7" t="s">
        <v>178</v>
      </c>
      <c r="AF267">
        <v>9</v>
      </c>
      <c r="AG267">
        <v>15</v>
      </c>
      <c r="AH267">
        <v>0</v>
      </c>
      <c r="AI267">
        <v>71</v>
      </c>
    </row>
    <row r="268" spans="1:35" x14ac:dyDescent="0.35">
      <c r="A268" t="s">
        <v>192</v>
      </c>
      <c r="B268" t="s">
        <v>24</v>
      </c>
      <c r="C268" t="s">
        <v>33</v>
      </c>
      <c r="D268" t="s">
        <v>34</v>
      </c>
      <c r="E268" t="s">
        <v>309</v>
      </c>
      <c r="F268" t="s">
        <v>310</v>
      </c>
      <c r="G268" s="20" t="s">
        <v>38</v>
      </c>
      <c r="H268" s="20" t="s">
        <v>39</v>
      </c>
      <c r="I268" t="s">
        <v>70</v>
      </c>
      <c r="J268" t="s">
        <v>70</v>
      </c>
      <c r="K268" t="s">
        <v>332</v>
      </c>
      <c r="L268" t="s">
        <v>275</v>
      </c>
      <c r="M268" t="s">
        <v>157</v>
      </c>
      <c r="N268">
        <v>593</v>
      </c>
      <c r="O268" t="s">
        <v>155</v>
      </c>
      <c r="P268" t="s">
        <v>223</v>
      </c>
      <c r="Q268" s="6">
        <v>45210</v>
      </c>
      <c r="R268">
        <v>1</v>
      </c>
      <c r="S268" t="s">
        <v>166</v>
      </c>
      <c r="T268" t="s">
        <v>72</v>
      </c>
      <c r="U268" t="s">
        <v>271</v>
      </c>
      <c r="AD268">
        <v>2</v>
      </c>
      <c r="AE268" s="7" t="s">
        <v>178</v>
      </c>
      <c r="AF268">
        <v>10</v>
      </c>
      <c r="AG268">
        <v>4</v>
      </c>
      <c r="AH268">
        <v>0</v>
      </c>
      <c r="AI268">
        <v>199</v>
      </c>
    </row>
    <row r="269" spans="1:35" x14ac:dyDescent="0.35">
      <c r="A269" t="s">
        <v>192</v>
      </c>
      <c r="B269" t="s">
        <v>24</v>
      </c>
      <c r="C269" t="s">
        <v>33</v>
      </c>
      <c r="D269" t="s">
        <v>34</v>
      </c>
      <c r="E269" t="s">
        <v>309</v>
      </c>
      <c r="F269" t="s">
        <v>310</v>
      </c>
      <c r="G269" s="20" t="s">
        <v>38</v>
      </c>
      <c r="H269" s="20" t="s">
        <v>39</v>
      </c>
      <c r="I269" t="s">
        <v>70</v>
      </c>
      <c r="J269" t="s">
        <v>70</v>
      </c>
      <c r="K269" t="s">
        <v>332</v>
      </c>
      <c r="L269" t="s">
        <v>275</v>
      </c>
      <c r="M269" t="s">
        <v>157</v>
      </c>
      <c r="N269">
        <v>594</v>
      </c>
      <c r="O269" t="s">
        <v>155</v>
      </c>
      <c r="P269" t="s">
        <v>223</v>
      </c>
      <c r="Q269" s="6">
        <v>45210</v>
      </c>
      <c r="R269">
        <v>1</v>
      </c>
      <c r="S269" t="s">
        <v>166</v>
      </c>
      <c r="T269" t="s">
        <v>72</v>
      </c>
      <c r="U269" t="s">
        <v>271</v>
      </c>
      <c r="AD269">
        <v>5</v>
      </c>
      <c r="AE269" s="7" t="s">
        <v>178</v>
      </c>
      <c r="AF269">
        <v>10</v>
      </c>
      <c r="AG269">
        <v>4</v>
      </c>
      <c r="AH269">
        <v>0</v>
      </c>
      <c r="AI269">
        <v>200</v>
      </c>
    </row>
    <row r="270" spans="1:35" x14ac:dyDescent="0.35">
      <c r="A270" t="s">
        <v>192</v>
      </c>
      <c r="B270" t="s">
        <v>24</v>
      </c>
      <c r="C270" t="s">
        <v>33</v>
      </c>
      <c r="D270" t="s">
        <v>34</v>
      </c>
      <c r="E270" t="s">
        <v>309</v>
      </c>
      <c r="F270" t="s">
        <v>310</v>
      </c>
      <c r="G270" s="20" t="s">
        <v>38</v>
      </c>
      <c r="H270" s="20" t="s">
        <v>39</v>
      </c>
      <c r="I270" t="s">
        <v>70</v>
      </c>
      <c r="J270" t="s">
        <v>70</v>
      </c>
      <c r="K270" t="s">
        <v>332</v>
      </c>
      <c r="L270" t="s">
        <v>275</v>
      </c>
      <c r="M270" t="s">
        <v>157</v>
      </c>
      <c r="N270">
        <v>595</v>
      </c>
      <c r="O270" t="s">
        <v>155</v>
      </c>
      <c r="P270" t="s">
        <v>223</v>
      </c>
      <c r="Q270" s="6">
        <v>45210</v>
      </c>
      <c r="R270">
        <v>1</v>
      </c>
      <c r="S270" t="s">
        <v>166</v>
      </c>
      <c r="T270" t="s">
        <v>72</v>
      </c>
      <c r="U270" t="s">
        <v>271</v>
      </c>
      <c r="AD270">
        <v>1</v>
      </c>
      <c r="AE270" s="7" t="s">
        <v>178</v>
      </c>
      <c r="AF270">
        <v>10</v>
      </c>
      <c r="AG270">
        <v>4</v>
      </c>
      <c r="AH270">
        <v>0</v>
      </c>
      <c r="AI270">
        <v>201</v>
      </c>
    </row>
    <row r="271" spans="1:35" x14ac:dyDescent="0.35">
      <c r="A271" t="s">
        <v>192</v>
      </c>
      <c r="B271" t="s">
        <v>24</v>
      </c>
      <c r="C271" t="s">
        <v>33</v>
      </c>
      <c r="D271" t="s">
        <v>34</v>
      </c>
      <c r="E271" t="s">
        <v>309</v>
      </c>
      <c r="F271" t="s">
        <v>310</v>
      </c>
      <c r="G271" s="20" t="s">
        <v>38</v>
      </c>
      <c r="H271" s="20" t="s">
        <v>39</v>
      </c>
      <c r="I271" t="s">
        <v>70</v>
      </c>
      <c r="J271" t="s">
        <v>70</v>
      </c>
      <c r="K271" t="s">
        <v>332</v>
      </c>
      <c r="L271" t="s">
        <v>275</v>
      </c>
      <c r="M271" t="s">
        <v>157</v>
      </c>
      <c r="N271">
        <v>596</v>
      </c>
      <c r="O271" t="s">
        <v>155</v>
      </c>
      <c r="P271" t="s">
        <v>223</v>
      </c>
      <c r="Q271" s="6">
        <v>45210</v>
      </c>
      <c r="R271">
        <v>1</v>
      </c>
      <c r="S271" t="s">
        <v>166</v>
      </c>
      <c r="T271" t="s">
        <v>72</v>
      </c>
      <c r="U271" t="s">
        <v>271</v>
      </c>
      <c r="AD271">
        <v>2</v>
      </c>
      <c r="AE271" s="7" t="s">
        <v>178</v>
      </c>
      <c r="AF271">
        <v>10</v>
      </c>
      <c r="AG271">
        <v>4</v>
      </c>
      <c r="AH271">
        <v>0</v>
      </c>
      <c r="AI271">
        <v>202</v>
      </c>
    </row>
    <row r="272" spans="1:35" x14ac:dyDescent="0.35">
      <c r="A272" t="s">
        <v>192</v>
      </c>
      <c r="B272" t="s">
        <v>24</v>
      </c>
      <c r="C272" t="s">
        <v>33</v>
      </c>
      <c r="D272" t="s">
        <v>34</v>
      </c>
      <c r="E272" t="s">
        <v>309</v>
      </c>
      <c r="F272" t="s">
        <v>310</v>
      </c>
      <c r="G272" s="20" t="s">
        <v>38</v>
      </c>
      <c r="H272" s="20" t="s">
        <v>39</v>
      </c>
      <c r="I272" t="s">
        <v>70</v>
      </c>
      <c r="J272" t="s">
        <v>70</v>
      </c>
      <c r="K272" t="s">
        <v>332</v>
      </c>
      <c r="L272" t="s">
        <v>275</v>
      </c>
      <c r="M272" t="s">
        <v>157</v>
      </c>
      <c r="N272">
        <v>598</v>
      </c>
      <c r="O272" t="s">
        <v>155</v>
      </c>
      <c r="P272" t="s">
        <v>223</v>
      </c>
      <c r="Q272" s="6">
        <v>45210</v>
      </c>
      <c r="R272">
        <v>1</v>
      </c>
      <c r="S272" t="s">
        <v>166</v>
      </c>
      <c r="T272" t="s">
        <v>72</v>
      </c>
      <c r="U272" t="s">
        <v>271</v>
      </c>
      <c r="AD272">
        <v>2</v>
      </c>
      <c r="AE272" s="7" t="s">
        <v>178</v>
      </c>
      <c r="AF272">
        <v>10</v>
      </c>
      <c r="AG272">
        <v>4</v>
      </c>
      <c r="AH272">
        <v>0</v>
      </c>
      <c r="AI272">
        <v>204</v>
      </c>
    </row>
    <row r="273" spans="1:35" x14ac:dyDescent="0.35">
      <c r="A273" t="s">
        <v>192</v>
      </c>
      <c r="B273" t="s">
        <v>24</v>
      </c>
      <c r="C273" t="s">
        <v>33</v>
      </c>
      <c r="D273" t="s">
        <v>34</v>
      </c>
      <c r="E273" t="s">
        <v>309</v>
      </c>
      <c r="F273" t="s">
        <v>310</v>
      </c>
      <c r="G273" s="20" t="s">
        <v>38</v>
      </c>
      <c r="H273" s="20" t="s">
        <v>39</v>
      </c>
      <c r="I273" t="s">
        <v>70</v>
      </c>
      <c r="J273" t="s">
        <v>70</v>
      </c>
      <c r="K273" t="s">
        <v>332</v>
      </c>
      <c r="L273" t="s">
        <v>275</v>
      </c>
      <c r="M273" t="s">
        <v>157</v>
      </c>
      <c r="N273">
        <v>599</v>
      </c>
      <c r="O273" t="s">
        <v>155</v>
      </c>
      <c r="P273" t="s">
        <v>223</v>
      </c>
      <c r="Q273" s="6">
        <v>45210</v>
      </c>
      <c r="R273">
        <v>1</v>
      </c>
      <c r="S273" t="s">
        <v>166</v>
      </c>
      <c r="T273" t="s">
        <v>72</v>
      </c>
      <c r="U273" t="s">
        <v>271</v>
      </c>
      <c r="AD273">
        <v>2</v>
      </c>
      <c r="AE273" s="7" t="s">
        <v>178</v>
      </c>
      <c r="AF273">
        <v>10</v>
      </c>
      <c r="AG273">
        <v>4</v>
      </c>
      <c r="AH273">
        <v>0</v>
      </c>
      <c r="AI273">
        <v>205</v>
      </c>
    </row>
    <row r="274" spans="1:35" x14ac:dyDescent="0.35">
      <c r="A274" t="s">
        <v>192</v>
      </c>
      <c r="B274" t="s">
        <v>24</v>
      </c>
      <c r="C274" t="s">
        <v>33</v>
      </c>
      <c r="D274" t="s">
        <v>34</v>
      </c>
      <c r="E274" t="s">
        <v>309</v>
      </c>
      <c r="F274" t="s">
        <v>310</v>
      </c>
      <c r="G274" s="20" t="s">
        <v>38</v>
      </c>
      <c r="H274" s="20" t="s">
        <v>39</v>
      </c>
      <c r="I274" t="s">
        <v>70</v>
      </c>
      <c r="J274" t="s">
        <v>70</v>
      </c>
      <c r="K274" t="s">
        <v>332</v>
      </c>
      <c r="L274" t="s">
        <v>275</v>
      </c>
      <c r="M274" t="s">
        <v>157</v>
      </c>
      <c r="N274">
        <v>601</v>
      </c>
      <c r="O274" t="s">
        <v>155</v>
      </c>
      <c r="P274" t="s">
        <v>223</v>
      </c>
      <c r="Q274" s="6">
        <v>45210</v>
      </c>
      <c r="R274">
        <v>1</v>
      </c>
      <c r="S274" t="s">
        <v>166</v>
      </c>
      <c r="T274" t="s">
        <v>72</v>
      </c>
      <c r="U274" t="s">
        <v>271</v>
      </c>
      <c r="AD274">
        <v>2</v>
      </c>
      <c r="AE274" s="7" t="s">
        <v>178</v>
      </c>
      <c r="AF274">
        <v>10</v>
      </c>
      <c r="AG274">
        <v>4</v>
      </c>
      <c r="AH274">
        <v>0</v>
      </c>
      <c r="AI274">
        <v>206</v>
      </c>
    </row>
    <row r="275" spans="1:35" x14ac:dyDescent="0.35">
      <c r="A275" t="s">
        <v>192</v>
      </c>
      <c r="B275" t="s">
        <v>24</v>
      </c>
      <c r="C275" t="s">
        <v>33</v>
      </c>
      <c r="D275" t="s">
        <v>34</v>
      </c>
      <c r="E275" t="s">
        <v>309</v>
      </c>
      <c r="F275" t="s">
        <v>310</v>
      </c>
      <c r="G275" s="20" t="s">
        <v>38</v>
      </c>
      <c r="H275" s="20" t="s">
        <v>39</v>
      </c>
      <c r="I275" t="s">
        <v>70</v>
      </c>
      <c r="J275" t="s">
        <v>70</v>
      </c>
      <c r="K275" t="s">
        <v>332</v>
      </c>
      <c r="L275" t="s">
        <v>275</v>
      </c>
      <c r="M275" t="s">
        <v>157</v>
      </c>
      <c r="N275">
        <v>604</v>
      </c>
      <c r="O275" t="s">
        <v>155</v>
      </c>
      <c r="P275" t="s">
        <v>223</v>
      </c>
      <c r="Q275" s="6">
        <v>45210</v>
      </c>
      <c r="R275">
        <v>1</v>
      </c>
      <c r="S275" t="s">
        <v>166</v>
      </c>
      <c r="T275" t="s">
        <v>72</v>
      </c>
      <c r="U275" t="s">
        <v>271</v>
      </c>
      <c r="AD275">
        <v>1</v>
      </c>
      <c r="AE275" s="7" t="s">
        <v>178</v>
      </c>
      <c r="AF275">
        <v>10</v>
      </c>
      <c r="AG275">
        <v>4</v>
      </c>
      <c r="AH275">
        <v>0</v>
      </c>
      <c r="AI275">
        <v>208</v>
      </c>
    </row>
    <row r="276" spans="1:35" x14ac:dyDescent="0.35">
      <c r="A276" t="s">
        <v>192</v>
      </c>
      <c r="B276" t="s">
        <v>24</v>
      </c>
      <c r="C276" t="s">
        <v>33</v>
      </c>
      <c r="D276" t="s">
        <v>34</v>
      </c>
      <c r="E276" t="s">
        <v>309</v>
      </c>
      <c r="F276" t="s">
        <v>310</v>
      </c>
      <c r="G276" s="20" t="s">
        <v>38</v>
      </c>
      <c r="H276" s="20" t="s">
        <v>39</v>
      </c>
      <c r="I276" t="s">
        <v>70</v>
      </c>
      <c r="J276" t="s">
        <v>70</v>
      </c>
      <c r="K276" t="s">
        <v>332</v>
      </c>
      <c r="L276" t="s">
        <v>275</v>
      </c>
      <c r="M276" t="s">
        <v>157</v>
      </c>
      <c r="N276">
        <v>605</v>
      </c>
      <c r="O276" t="s">
        <v>155</v>
      </c>
      <c r="P276" t="s">
        <v>223</v>
      </c>
      <c r="Q276" s="6">
        <v>45210</v>
      </c>
      <c r="R276">
        <v>1</v>
      </c>
      <c r="S276" t="s">
        <v>166</v>
      </c>
      <c r="T276" t="s">
        <v>72</v>
      </c>
      <c r="U276" t="s">
        <v>271</v>
      </c>
      <c r="AD276">
        <v>4</v>
      </c>
      <c r="AE276" s="7" t="s">
        <v>177</v>
      </c>
      <c r="AF276">
        <v>10</v>
      </c>
      <c r="AG276">
        <v>4</v>
      </c>
      <c r="AH276">
        <v>0</v>
      </c>
      <c r="AI276">
        <v>209</v>
      </c>
    </row>
    <row r="277" spans="1:35" x14ac:dyDescent="0.35">
      <c r="A277" t="s">
        <v>192</v>
      </c>
      <c r="B277" t="s">
        <v>24</v>
      </c>
      <c r="C277" t="s">
        <v>33</v>
      </c>
      <c r="D277" t="s">
        <v>34</v>
      </c>
      <c r="E277" t="s">
        <v>309</v>
      </c>
      <c r="F277" t="s">
        <v>310</v>
      </c>
      <c r="G277" s="20" t="s">
        <v>38</v>
      </c>
      <c r="H277" s="20" t="s">
        <v>39</v>
      </c>
      <c r="I277" t="s">
        <v>70</v>
      </c>
      <c r="J277" t="s">
        <v>70</v>
      </c>
      <c r="K277" t="s">
        <v>332</v>
      </c>
      <c r="L277" t="s">
        <v>275</v>
      </c>
      <c r="M277" t="s">
        <v>157</v>
      </c>
      <c r="N277">
        <v>618</v>
      </c>
      <c r="O277" t="s">
        <v>155</v>
      </c>
      <c r="P277" t="s">
        <v>223</v>
      </c>
      <c r="Q277" s="6">
        <v>45210</v>
      </c>
      <c r="R277">
        <v>1</v>
      </c>
      <c r="S277" t="s">
        <v>166</v>
      </c>
      <c r="T277" t="s">
        <v>72</v>
      </c>
      <c r="U277" t="s">
        <v>271</v>
      </c>
      <c r="AD277">
        <v>3</v>
      </c>
      <c r="AE277" s="7" t="s">
        <v>178</v>
      </c>
      <c r="AF277">
        <v>10</v>
      </c>
      <c r="AG277">
        <v>4</v>
      </c>
      <c r="AH277">
        <v>0</v>
      </c>
      <c r="AI277">
        <v>220</v>
      </c>
    </row>
    <row r="278" spans="1:35" x14ac:dyDescent="0.35">
      <c r="A278" t="s">
        <v>192</v>
      </c>
      <c r="B278" t="s">
        <v>24</v>
      </c>
      <c r="C278" t="s">
        <v>33</v>
      </c>
      <c r="D278" t="s">
        <v>34</v>
      </c>
      <c r="E278" t="s">
        <v>309</v>
      </c>
      <c r="F278" t="s">
        <v>310</v>
      </c>
      <c r="G278" s="20" t="s">
        <v>38</v>
      </c>
      <c r="H278" s="20" t="s">
        <v>39</v>
      </c>
      <c r="I278" t="s">
        <v>70</v>
      </c>
      <c r="J278" t="s">
        <v>70</v>
      </c>
      <c r="K278" t="s">
        <v>332</v>
      </c>
      <c r="L278" t="s">
        <v>275</v>
      </c>
      <c r="M278" t="s">
        <v>157</v>
      </c>
      <c r="N278">
        <v>619</v>
      </c>
      <c r="O278" t="s">
        <v>155</v>
      </c>
      <c r="P278" t="s">
        <v>223</v>
      </c>
      <c r="Q278" s="6">
        <v>45210</v>
      </c>
      <c r="R278">
        <v>0</v>
      </c>
      <c r="S278" t="s">
        <v>166</v>
      </c>
      <c r="T278" t="s">
        <v>72</v>
      </c>
      <c r="U278" t="s">
        <v>271</v>
      </c>
      <c r="AD278">
        <v>1</v>
      </c>
      <c r="AE278" s="7" t="s">
        <v>177</v>
      </c>
      <c r="AF278">
        <v>9</v>
      </c>
      <c r="AG278">
        <v>19</v>
      </c>
      <c r="AH278">
        <v>0</v>
      </c>
      <c r="AI278">
        <v>221</v>
      </c>
    </row>
    <row r="279" spans="1:35" x14ac:dyDescent="0.35">
      <c r="A279" t="s">
        <v>192</v>
      </c>
      <c r="B279" t="s">
        <v>24</v>
      </c>
      <c r="C279" t="s">
        <v>33</v>
      </c>
      <c r="D279" t="s">
        <v>34</v>
      </c>
      <c r="E279" t="s">
        <v>309</v>
      </c>
      <c r="F279" t="s">
        <v>310</v>
      </c>
      <c r="G279" s="20" t="s">
        <v>38</v>
      </c>
      <c r="H279" s="20" t="s">
        <v>39</v>
      </c>
      <c r="I279" t="s">
        <v>70</v>
      </c>
      <c r="J279" t="s">
        <v>70</v>
      </c>
      <c r="K279" t="s">
        <v>332</v>
      </c>
      <c r="L279" t="s">
        <v>275</v>
      </c>
      <c r="M279" t="s">
        <v>157</v>
      </c>
      <c r="N279">
        <v>620</v>
      </c>
      <c r="O279" t="s">
        <v>155</v>
      </c>
      <c r="P279" t="s">
        <v>223</v>
      </c>
      <c r="Q279" s="6">
        <v>45210</v>
      </c>
      <c r="R279">
        <v>1</v>
      </c>
      <c r="S279" t="s">
        <v>166</v>
      </c>
      <c r="T279" t="s">
        <v>72</v>
      </c>
      <c r="U279" t="s">
        <v>271</v>
      </c>
      <c r="AD279">
        <v>1</v>
      </c>
      <c r="AE279" s="7" t="s">
        <v>178</v>
      </c>
      <c r="AF279">
        <v>9</v>
      </c>
      <c r="AG279">
        <v>19</v>
      </c>
      <c r="AH279">
        <v>0</v>
      </c>
      <c r="AI279">
        <v>222</v>
      </c>
    </row>
    <row r="280" spans="1:35" x14ac:dyDescent="0.35">
      <c r="A280" t="s">
        <v>192</v>
      </c>
      <c r="B280" t="s">
        <v>24</v>
      </c>
      <c r="C280" t="s">
        <v>33</v>
      </c>
      <c r="D280" t="s">
        <v>34</v>
      </c>
      <c r="E280" t="s">
        <v>309</v>
      </c>
      <c r="F280" t="s">
        <v>310</v>
      </c>
      <c r="G280" s="20" t="s">
        <v>38</v>
      </c>
      <c r="H280" s="20" t="s">
        <v>39</v>
      </c>
      <c r="I280" t="s">
        <v>70</v>
      </c>
      <c r="J280" t="s">
        <v>70</v>
      </c>
      <c r="K280" t="s">
        <v>332</v>
      </c>
      <c r="L280" t="s">
        <v>275</v>
      </c>
      <c r="M280" t="s">
        <v>157</v>
      </c>
      <c r="N280">
        <v>623</v>
      </c>
      <c r="O280" t="s">
        <v>155</v>
      </c>
      <c r="P280" t="s">
        <v>223</v>
      </c>
      <c r="Q280" s="6">
        <v>45210</v>
      </c>
      <c r="S280" t="s">
        <v>166</v>
      </c>
      <c r="T280" t="s">
        <v>72</v>
      </c>
      <c r="U280" t="s">
        <v>271</v>
      </c>
      <c r="AD280">
        <v>2</v>
      </c>
      <c r="AE280" s="7" t="s">
        <v>179</v>
      </c>
      <c r="AF280">
        <v>9</v>
      </c>
      <c r="AG280">
        <v>19</v>
      </c>
      <c r="AH280">
        <v>0</v>
      </c>
      <c r="AI280">
        <v>225</v>
      </c>
    </row>
    <row r="281" spans="1:35" x14ac:dyDescent="0.35">
      <c r="A281" t="s">
        <v>192</v>
      </c>
      <c r="B281" t="s">
        <v>24</v>
      </c>
      <c r="C281" t="s">
        <v>33</v>
      </c>
      <c r="D281" t="s">
        <v>34</v>
      </c>
      <c r="E281" t="s">
        <v>309</v>
      </c>
      <c r="F281" t="s">
        <v>310</v>
      </c>
      <c r="G281" s="20" t="s">
        <v>38</v>
      </c>
      <c r="H281" s="20" t="s">
        <v>39</v>
      </c>
      <c r="I281" t="s">
        <v>70</v>
      </c>
      <c r="J281" t="s">
        <v>70</v>
      </c>
      <c r="K281" t="s">
        <v>332</v>
      </c>
      <c r="L281" t="s">
        <v>275</v>
      </c>
      <c r="M281" t="s">
        <v>157</v>
      </c>
      <c r="N281">
        <v>624</v>
      </c>
      <c r="O281" t="s">
        <v>155</v>
      </c>
      <c r="P281" t="s">
        <v>223</v>
      </c>
      <c r="Q281" s="6">
        <v>45210</v>
      </c>
      <c r="R281">
        <v>1</v>
      </c>
      <c r="S281" t="s">
        <v>166</v>
      </c>
      <c r="T281" t="s">
        <v>72</v>
      </c>
      <c r="U281" t="s">
        <v>271</v>
      </c>
      <c r="AE281" s="7" t="s">
        <v>178</v>
      </c>
      <c r="AF281">
        <v>9</v>
      </c>
      <c r="AG281">
        <v>19</v>
      </c>
      <c r="AH281">
        <v>0</v>
      </c>
      <c r="AI281">
        <v>226</v>
      </c>
    </row>
    <row r="282" spans="1:35" x14ac:dyDescent="0.35">
      <c r="A282" t="s">
        <v>192</v>
      </c>
      <c r="B282" t="s">
        <v>24</v>
      </c>
      <c r="C282" t="s">
        <v>33</v>
      </c>
      <c r="D282" t="s">
        <v>34</v>
      </c>
      <c r="E282" t="s">
        <v>309</v>
      </c>
      <c r="F282" t="s">
        <v>310</v>
      </c>
      <c r="G282" s="20" t="s">
        <v>38</v>
      </c>
      <c r="H282" s="20" t="s">
        <v>39</v>
      </c>
      <c r="I282" t="s">
        <v>70</v>
      </c>
      <c r="J282" t="s">
        <v>70</v>
      </c>
      <c r="K282" t="s">
        <v>332</v>
      </c>
      <c r="L282" t="s">
        <v>275</v>
      </c>
      <c r="M282" t="s">
        <v>157</v>
      </c>
      <c r="N282">
        <v>625</v>
      </c>
      <c r="O282" t="s">
        <v>155</v>
      </c>
      <c r="P282" t="s">
        <v>223</v>
      </c>
      <c r="Q282" s="6">
        <v>45210</v>
      </c>
      <c r="R282">
        <v>1</v>
      </c>
      <c r="S282" t="s">
        <v>166</v>
      </c>
      <c r="T282" t="s">
        <v>72</v>
      </c>
      <c r="U282" t="s">
        <v>271</v>
      </c>
      <c r="AD282">
        <v>5</v>
      </c>
      <c r="AE282" s="7" t="s">
        <v>178</v>
      </c>
      <c r="AF282">
        <v>9</v>
      </c>
      <c r="AG282">
        <v>19</v>
      </c>
      <c r="AH282">
        <v>0</v>
      </c>
      <c r="AI282">
        <v>227</v>
      </c>
    </row>
    <row r="283" spans="1:35" x14ac:dyDescent="0.35">
      <c r="A283" t="s">
        <v>192</v>
      </c>
      <c r="B283" t="s">
        <v>24</v>
      </c>
      <c r="C283" t="s">
        <v>33</v>
      </c>
      <c r="D283" t="s">
        <v>34</v>
      </c>
      <c r="E283" t="s">
        <v>309</v>
      </c>
      <c r="F283" t="s">
        <v>310</v>
      </c>
      <c r="G283" s="20" t="s">
        <v>38</v>
      </c>
      <c r="H283" s="20" t="s">
        <v>39</v>
      </c>
      <c r="I283" t="s">
        <v>70</v>
      </c>
      <c r="J283" t="s">
        <v>70</v>
      </c>
      <c r="K283" t="s">
        <v>332</v>
      </c>
      <c r="L283" t="s">
        <v>275</v>
      </c>
      <c r="M283" t="s">
        <v>157</v>
      </c>
      <c r="N283">
        <v>626</v>
      </c>
      <c r="O283" t="s">
        <v>155</v>
      </c>
      <c r="P283" t="s">
        <v>223</v>
      </c>
      <c r="Q283" s="6">
        <v>45210</v>
      </c>
      <c r="R283">
        <v>1</v>
      </c>
      <c r="S283" t="s">
        <v>166</v>
      </c>
      <c r="T283" t="s">
        <v>72</v>
      </c>
      <c r="U283" t="s">
        <v>271</v>
      </c>
      <c r="AD283">
        <v>2</v>
      </c>
      <c r="AE283" s="7" t="s">
        <v>179</v>
      </c>
      <c r="AF283">
        <v>9</v>
      </c>
      <c r="AG283">
        <v>19</v>
      </c>
      <c r="AH283">
        <v>0</v>
      </c>
      <c r="AI283">
        <v>228</v>
      </c>
    </row>
    <row r="284" spans="1:35" x14ac:dyDescent="0.35">
      <c r="A284" t="s">
        <v>192</v>
      </c>
      <c r="B284" t="s">
        <v>24</v>
      </c>
      <c r="C284" t="s">
        <v>33</v>
      </c>
      <c r="D284" t="s">
        <v>34</v>
      </c>
      <c r="E284" t="s">
        <v>309</v>
      </c>
      <c r="F284" t="s">
        <v>310</v>
      </c>
      <c r="G284" s="20" t="s">
        <v>38</v>
      </c>
      <c r="H284" s="20" t="s">
        <v>39</v>
      </c>
      <c r="I284" t="s">
        <v>70</v>
      </c>
      <c r="J284" t="s">
        <v>70</v>
      </c>
      <c r="K284" t="s">
        <v>332</v>
      </c>
      <c r="L284" t="s">
        <v>275</v>
      </c>
      <c r="M284" t="s">
        <v>157</v>
      </c>
      <c r="N284">
        <v>627</v>
      </c>
      <c r="O284" t="s">
        <v>155</v>
      </c>
      <c r="P284" t="s">
        <v>223</v>
      </c>
      <c r="Q284" s="6">
        <v>45210</v>
      </c>
      <c r="R284">
        <v>1</v>
      </c>
      <c r="S284" t="s">
        <v>166</v>
      </c>
      <c r="T284" t="s">
        <v>72</v>
      </c>
      <c r="U284" t="s">
        <v>271</v>
      </c>
      <c r="AD284">
        <v>4</v>
      </c>
      <c r="AE284" s="7" t="s">
        <v>177</v>
      </c>
      <c r="AF284">
        <v>9</v>
      </c>
      <c r="AG284">
        <v>19</v>
      </c>
      <c r="AH284">
        <v>0</v>
      </c>
      <c r="AI284">
        <v>229</v>
      </c>
    </row>
    <row r="285" spans="1:35" x14ac:dyDescent="0.35">
      <c r="A285" t="s">
        <v>192</v>
      </c>
      <c r="B285" t="s">
        <v>24</v>
      </c>
      <c r="C285" t="s">
        <v>33</v>
      </c>
      <c r="D285" t="s">
        <v>34</v>
      </c>
      <c r="E285" t="s">
        <v>309</v>
      </c>
      <c r="F285" t="s">
        <v>310</v>
      </c>
      <c r="G285" s="20" t="s">
        <v>38</v>
      </c>
      <c r="H285" s="20" t="s">
        <v>39</v>
      </c>
      <c r="I285" t="s">
        <v>70</v>
      </c>
      <c r="J285" t="s">
        <v>70</v>
      </c>
      <c r="K285" t="s">
        <v>332</v>
      </c>
      <c r="L285" t="s">
        <v>275</v>
      </c>
      <c r="M285" t="s">
        <v>157</v>
      </c>
      <c r="N285">
        <v>646</v>
      </c>
      <c r="O285" t="s">
        <v>155</v>
      </c>
      <c r="P285" t="s">
        <v>223</v>
      </c>
      <c r="Q285" s="6">
        <v>45210</v>
      </c>
      <c r="R285">
        <v>1</v>
      </c>
      <c r="S285" t="s">
        <v>166</v>
      </c>
      <c r="T285" t="s">
        <v>72</v>
      </c>
      <c r="U285" t="s">
        <v>271</v>
      </c>
      <c r="AD285">
        <v>1</v>
      </c>
      <c r="AE285" s="7" t="s">
        <v>178</v>
      </c>
      <c r="AF285">
        <v>9</v>
      </c>
      <c r="AG285">
        <v>19</v>
      </c>
      <c r="AH285">
        <v>0</v>
      </c>
      <c r="AI285">
        <v>243</v>
      </c>
    </row>
    <row r="286" spans="1:35" x14ac:dyDescent="0.35">
      <c r="A286" t="s">
        <v>192</v>
      </c>
      <c r="B286" t="s">
        <v>24</v>
      </c>
      <c r="C286" t="s">
        <v>33</v>
      </c>
      <c r="D286" t="s">
        <v>34</v>
      </c>
      <c r="E286" t="s">
        <v>309</v>
      </c>
      <c r="F286" t="s">
        <v>310</v>
      </c>
      <c r="G286" s="20" t="s">
        <v>38</v>
      </c>
      <c r="H286" s="20" t="s">
        <v>39</v>
      </c>
      <c r="I286" t="s">
        <v>70</v>
      </c>
      <c r="J286" t="s">
        <v>70</v>
      </c>
      <c r="K286" t="s">
        <v>332</v>
      </c>
      <c r="L286" t="s">
        <v>275</v>
      </c>
      <c r="M286" t="s">
        <v>157</v>
      </c>
      <c r="N286">
        <v>647</v>
      </c>
      <c r="O286" t="s">
        <v>155</v>
      </c>
      <c r="P286" t="s">
        <v>223</v>
      </c>
      <c r="Q286" s="6">
        <v>45210</v>
      </c>
      <c r="R286">
        <v>0</v>
      </c>
      <c r="S286" t="s">
        <v>166</v>
      </c>
      <c r="T286" t="s">
        <v>72</v>
      </c>
      <c r="U286" t="s">
        <v>271</v>
      </c>
      <c r="AD286">
        <v>4</v>
      </c>
      <c r="AE286" s="7" t="s">
        <v>178</v>
      </c>
      <c r="AF286">
        <v>13</v>
      </c>
      <c r="AG286">
        <v>12</v>
      </c>
      <c r="AH286">
        <v>7</v>
      </c>
      <c r="AI286">
        <v>244</v>
      </c>
    </row>
    <row r="287" spans="1:35" x14ac:dyDescent="0.35">
      <c r="A287" t="s">
        <v>192</v>
      </c>
      <c r="B287" t="s">
        <v>24</v>
      </c>
      <c r="C287" t="s">
        <v>33</v>
      </c>
      <c r="D287" t="s">
        <v>34</v>
      </c>
      <c r="E287" t="s">
        <v>309</v>
      </c>
      <c r="F287" t="s">
        <v>310</v>
      </c>
      <c r="G287" s="20" t="s">
        <v>38</v>
      </c>
      <c r="H287" s="20" t="s">
        <v>39</v>
      </c>
      <c r="I287" t="s">
        <v>70</v>
      </c>
      <c r="J287" t="s">
        <v>70</v>
      </c>
      <c r="K287" t="s">
        <v>332</v>
      </c>
      <c r="L287" t="s">
        <v>275</v>
      </c>
      <c r="M287" t="s">
        <v>157</v>
      </c>
      <c r="N287">
        <v>649</v>
      </c>
      <c r="O287" t="s">
        <v>155</v>
      </c>
      <c r="P287" t="s">
        <v>223</v>
      </c>
      <c r="Q287" s="6">
        <v>45210</v>
      </c>
      <c r="R287">
        <v>1</v>
      </c>
      <c r="S287" t="s">
        <v>166</v>
      </c>
      <c r="T287" t="s">
        <v>72</v>
      </c>
      <c r="U287" t="s">
        <v>271</v>
      </c>
      <c r="AD287">
        <v>3</v>
      </c>
      <c r="AE287" s="7" t="s">
        <v>179</v>
      </c>
      <c r="AF287">
        <v>13</v>
      </c>
      <c r="AG287">
        <v>12</v>
      </c>
      <c r="AH287">
        <v>7</v>
      </c>
      <c r="AI287">
        <v>245</v>
      </c>
    </row>
    <row r="288" spans="1:35" x14ac:dyDescent="0.35">
      <c r="A288" t="s">
        <v>192</v>
      </c>
      <c r="B288" t="s">
        <v>24</v>
      </c>
      <c r="C288" t="s">
        <v>33</v>
      </c>
      <c r="D288" t="s">
        <v>34</v>
      </c>
      <c r="E288" t="s">
        <v>309</v>
      </c>
      <c r="F288" t="s">
        <v>310</v>
      </c>
      <c r="G288" s="20" t="s">
        <v>38</v>
      </c>
      <c r="H288" s="20" t="s">
        <v>39</v>
      </c>
      <c r="I288" t="s">
        <v>70</v>
      </c>
      <c r="J288" t="s">
        <v>70</v>
      </c>
      <c r="K288" t="s">
        <v>332</v>
      </c>
      <c r="L288" t="s">
        <v>275</v>
      </c>
      <c r="M288" t="s">
        <v>157</v>
      </c>
      <c r="N288">
        <v>651</v>
      </c>
      <c r="O288" t="s">
        <v>155</v>
      </c>
      <c r="P288" t="s">
        <v>223</v>
      </c>
      <c r="Q288" s="6">
        <v>45210</v>
      </c>
      <c r="R288">
        <v>1</v>
      </c>
      <c r="S288" t="s">
        <v>166</v>
      </c>
      <c r="T288" t="s">
        <v>72</v>
      </c>
      <c r="U288" t="s">
        <v>271</v>
      </c>
      <c r="AD288">
        <v>2</v>
      </c>
      <c r="AE288" s="7" t="s">
        <v>180</v>
      </c>
      <c r="AF288">
        <v>13</v>
      </c>
      <c r="AG288">
        <v>12</v>
      </c>
      <c r="AH288">
        <v>7</v>
      </c>
      <c r="AI288">
        <v>246</v>
      </c>
    </row>
    <row r="289" spans="1:35" x14ac:dyDescent="0.35">
      <c r="A289" t="s">
        <v>192</v>
      </c>
      <c r="B289" t="s">
        <v>24</v>
      </c>
      <c r="C289" t="s">
        <v>33</v>
      </c>
      <c r="D289" t="s">
        <v>34</v>
      </c>
      <c r="E289" t="s">
        <v>309</v>
      </c>
      <c r="F289" t="s">
        <v>310</v>
      </c>
      <c r="G289" s="20" t="s">
        <v>38</v>
      </c>
      <c r="H289" s="20" t="s">
        <v>39</v>
      </c>
      <c r="I289" t="s">
        <v>70</v>
      </c>
      <c r="J289" t="s">
        <v>70</v>
      </c>
      <c r="K289" t="s">
        <v>332</v>
      </c>
      <c r="L289" t="s">
        <v>275</v>
      </c>
      <c r="M289" t="s">
        <v>157</v>
      </c>
      <c r="N289">
        <v>652</v>
      </c>
      <c r="O289" t="s">
        <v>155</v>
      </c>
      <c r="P289" t="s">
        <v>223</v>
      </c>
      <c r="Q289" s="6">
        <v>45210</v>
      </c>
      <c r="R289">
        <v>1</v>
      </c>
      <c r="S289" t="s">
        <v>166</v>
      </c>
      <c r="T289" t="s">
        <v>72</v>
      </c>
      <c r="U289" t="s">
        <v>271</v>
      </c>
      <c r="AD289">
        <v>2</v>
      </c>
      <c r="AE289" s="7" t="s">
        <v>179</v>
      </c>
      <c r="AF289">
        <v>13</v>
      </c>
      <c r="AG289">
        <v>12</v>
      </c>
      <c r="AH289">
        <v>7</v>
      </c>
      <c r="AI289">
        <v>247</v>
      </c>
    </row>
    <row r="290" spans="1:35" x14ac:dyDescent="0.35">
      <c r="A290" t="s">
        <v>192</v>
      </c>
      <c r="B290" t="s">
        <v>24</v>
      </c>
      <c r="C290" t="s">
        <v>33</v>
      </c>
      <c r="D290" t="s">
        <v>34</v>
      </c>
      <c r="E290" t="s">
        <v>309</v>
      </c>
      <c r="F290" t="s">
        <v>310</v>
      </c>
      <c r="G290" s="20" t="s">
        <v>38</v>
      </c>
      <c r="H290" s="20" t="s">
        <v>39</v>
      </c>
      <c r="I290" t="s">
        <v>70</v>
      </c>
      <c r="J290" t="s">
        <v>70</v>
      </c>
      <c r="K290" t="s">
        <v>332</v>
      </c>
      <c r="L290" t="s">
        <v>275</v>
      </c>
      <c r="M290" t="s">
        <v>157</v>
      </c>
      <c r="N290">
        <v>653</v>
      </c>
      <c r="O290" t="s">
        <v>155</v>
      </c>
      <c r="P290" t="s">
        <v>223</v>
      </c>
      <c r="Q290" s="6">
        <v>45210</v>
      </c>
      <c r="R290">
        <v>1</v>
      </c>
      <c r="S290" t="s">
        <v>166</v>
      </c>
      <c r="T290" t="s">
        <v>72</v>
      </c>
      <c r="U290" t="s">
        <v>271</v>
      </c>
      <c r="AD290">
        <v>3</v>
      </c>
      <c r="AE290" s="7" t="s">
        <v>180</v>
      </c>
      <c r="AF290">
        <v>13</v>
      </c>
      <c r="AG290">
        <v>12</v>
      </c>
      <c r="AH290">
        <v>7</v>
      </c>
      <c r="AI290">
        <v>248</v>
      </c>
    </row>
    <row r="291" spans="1:35" x14ac:dyDescent="0.35">
      <c r="A291" t="s">
        <v>192</v>
      </c>
      <c r="B291" t="s">
        <v>24</v>
      </c>
      <c r="C291" t="s">
        <v>33</v>
      </c>
      <c r="D291" t="s">
        <v>34</v>
      </c>
      <c r="E291" t="s">
        <v>309</v>
      </c>
      <c r="F291" t="s">
        <v>310</v>
      </c>
      <c r="G291" s="20" t="s">
        <v>38</v>
      </c>
      <c r="H291" s="20" t="s">
        <v>39</v>
      </c>
      <c r="I291" t="s">
        <v>70</v>
      </c>
      <c r="J291" t="s">
        <v>70</v>
      </c>
      <c r="K291" t="s">
        <v>332</v>
      </c>
      <c r="L291" t="s">
        <v>275</v>
      </c>
      <c r="M291" t="s">
        <v>157</v>
      </c>
      <c r="N291">
        <v>654</v>
      </c>
      <c r="O291" t="s">
        <v>155</v>
      </c>
      <c r="P291" t="s">
        <v>223</v>
      </c>
      <c r="Q291" s="6">
        <v>45210</v>
      </c>
      <c r="R291">
        <v>1</v>
      </c>
      <c r="S291" t="s">
        <v>166</v>
      </c>
      <c r="T291" t="s">
        <v>72</v>
      </c>
      <c r="U291" t="s">
        <v>271</v>
      </c>
      <c r="AD291">
        <v>1</v>
      </c>
      <c r="AE291" s="7" t="s">
        <v>180</v>
      </c>
      <c r="AF291">
        <v>13</v>
      </c>
      <c r="AG291">
        <v>12</v>
      </c>
      <c r="AH291">
        <v>7</v>
      </c>
      <c r="AI291">
        <v>249</v>
      </c>
    </row>
    <row r="292" spans="1:35" x14ac:dyDescent="0.35">
      <c r="A292" t="s">
        <v>192</v>
      </c>
      <c r="B292" t="s">
        <v>24</v>
      </c>
      <c r="C292" t="s">
        <v>33</v>
      </c>
      <c r="D292" t="s">
        <v>34</v>
      </c>
      <c r="E292" t="s">
        <v>309</v>
      </c>
      <c r="F292" t="s">
        <v>310</v>
      </c>
      <c r="G292" s="20" t="s">
        <v>38</v>
      </c>
      <c r="H292" s="20" t="s">
        <v>39</v>
      </c>
      <c r="I292" t="s">
        <v>70</v>
      </c>
      <c r="J292" t="s">
        <v>70</v>
      </c>
      <c r="K292" t="s">
        <v>332</v>
      </c>
      <c r="L292" t="s">
        <v>275</v>
      </c>
      <c r="M292" t="s">
        <v>157</v>
      </c>
      <c r="N292">
        <v>657</v>
      </c>
      <c r="O292" t="s">
        <v>155</v>
      </c>
      <c r="P292" t="s">
        <v>223</v>
      </c>
      <c r="Q292" s="6">
        <v>45210</v>
      </c>
      <c r="R292">
        <v>1</v>
      </c>
      <c r="S292" t="s">
        <v>166</v>
      </c>
      <c r="T292" t="s">
        <v>72</v>
      </c>
      <c r="U292" t="s">
        <v>271</v>
      </c>
      <c r="AD292">
        <v>2</v>
      </c>
      <c r="AE292" s="7" t="s">
        <v>180</v>
      </c>
      <c r="AF292">
        <v>13</v>
      </c>
      <c r="AG292">
        <v>12</v>
      </c>
      <c r="AH292">
        <v>7</v>
      </c>
      <c r="AI292">
        <v>251</v>
      </c>
    </row>
    <row r="293" spans="1:35" x14ac:dyDescent="0.35">
      <c r="A293" t="s">
        <v>192</v>
      </c>
      <c r="B293" t="s">
        <v>24</v>
      </c>
      <c r="C293" t="s">
        <v>33</v>
      </c>
      <c r="D293" t="s">
        <v>34</v>
      </c>
      <c r="E293" t="s">
        <v>309</v>
      </c>
      <c r="F293" t="s">
        <v>310</v>
      </c>
      <c r="G293" s="20" t="s">
        <v>38</v>
      </c>
      <c r="H293" s="20" t="s">
        <v>39</v>
      </c>
      <c r="I293" t="s">
        <v>70</v>
      </c>
      <c r="J293" t="s">
        <v>70</v>
      </c>
      <c r="K293" t="s">
        <v>332</v>
      </c>
      <c r="L293" t="s">
        <v>275</v>
      </c>
      <c r="M293" t="s">
        <v>157</v>
      </c>
      <c r="N293">
        <v>662</v>
      </c>
      <c r="O293" t="s">
        <v>155</v>
      </c>
      <c r="P293" t="s">
        <v>223</v>
      </c>
      <c r="Q293" s="6">
        <v>45210</v>
      </c>
      <c r="R293">
        <v>1</v>
      </c>
      <c r="S293" t="s">
        <v>166</v>
      </c>
      <c r="T293" t="s">
        <v>72</v>
      </c>
      <c r="U293" t="s">
        <v>271</v>
      </c>
      <c r="AD293">
        <v>2</v>
      </c>
      <c r="AE293" s="7" t="s">
        <v>178</v>
      </c>
      <c r="AF293">
        <v>13</v>
      </c>
      <c r="AG293">
        <v>12</v>
      </c>
      <c r="AH293">
        <v>7</v>
      </c>
      <c r="AI293">
        <v>252</v>
      </c>
    </row>
    <row r="294" spans="1:35" x14ac:dyDescent="0.35">
      <c r="A294" t="s">
        <v>192</v>
      </c>
      <c r="B294" t="s">
        <v>24</v>
      </c>
      <c r="C294" t="s">
        <v>33</v>
      </c>
      <c r="D294" t="s">
        <v>34</v>
      </c>
      <c r="E294" t="s">
        <v>309</v>
      </c>
      <c r="F294" t="s">
        <v>310</v>
      </c>
      <c r="G294" s="20" t="s">
        <v>38</v>
      </c>
      <c r="H294" s="20" t="s">
        <v>39</v>
      </c>
      <c r="I294" t="s">
        <v>70</v>
      </c>
      <c r="J294" t="s">
        <v>70</v>
      </c>
      <c r="K294" t="s">
        <v>332</v>
      </c>
      <c r="L294" t="s">
        <v>275</v>
      </c>
      <c r="M294" t="s">
        <v>157</v>
      </c>
      <c r="N294">
        <v>663</v>
      </c>
      <c r="O294" t="s">
        <v>155</v>
      </c>
      <c r="P294" t="s">
        <v>223</v>
      </c>
      <c r="Q294" s="6">
        <v>45210</v>
      </c>
      <c r="R294">
        <v>1</v>
      </c>
      <c r="S294" t="s">
        <v>166</v>
      </c>
      <c r="T294" t="s">
        <v>72</v>
      </c>
      <c r="U294" t="s">
        <v>271</v>
      </c>
      <c r="AD294">
        <v>1</v>
      </c>
      <c r="AE294" s="7" t="s">
        <v>179</v>
      </c>
      <c r="AF294">
        <v>13</v>
      </c>
      <c r="AG294">
        <v>12</v>
      </c>
      <c r="AH294">
        <v>7</v>
      </c>
      <c r="AI294">
        <v>253</v>
      </c>
    </row>
    <row r="295" spans="1:35" x14ac:dyDescent="0.35">
      <c r="A295" t="s">
        <v>192</v>
      </c>
      <c r="B295" t="s">
        <v>24</v>
      </c>
      <c r="C295" t="s">
        <v>33</v>
      </c>
      <c r="D295" t="s">
        <v>34</v>
      </c>
      <c r="E295" t="s">
        <v>309</v>
      </c>
      <c r="F295" t="s">
        <v>310</v>
      </c>
      <c r="G295" s="20" t="s">
        <v>38</v>
      </c>
      <c r="H295" s="20" t="s">
        <v>39</v>
      </c>
      <c r="I295" t="s">
        <v>70</v>
      </c>
      <c r="J295" t="s">
        <v>70</v>
      </c>
      <c r="K295" t="s">
        <v>332</v>
      </c>
      <c r="L295" t="s">
        <v>275</v>
      </c>
      <c r="M295" t="s">
        <v>157</v>
      </c>
      <c r="N295">
        <v>664</v>
      </c>
      <c r="O295" t="s">
        <v>155</v>
      </c>
      <c r="P295" t="s">
        <v>223</v>
      </c>
      <c r="Q295" s="6">
        <v>45210</v>
      </c>
      <c r="R295">
        <v>1</v>
      </c>
      <c r="S295" t="s">
        <v>166</v>
      </c>
      <c r="T295" t="s">
        <v>72</v>
      </c>
      <c r="U295" t="s">
        <v>271</v>
      </c>
      <c r="AD295">
        <v>2</v>
      </c>
      <c r="AE295" s="7" t="s">
        <v>179</v>
      </c>
      <c r="AF295">
        <v>13</v>
      </c>
      <c r="AG295">
        <v>12</v>
      </c>
      <c r="AH295">
        <v>7</v>
      </c>
      <c r="AI295">
        <v>254</v>
      </c>
    </row>
    <row r="296" spans="1:35" x14ac:dyDescent="0.35">
      <c r="A296" t="s">
        <v>192</v>
      </c>
      <c r="B296" t="s">
        <v>24</v>
      </c>
      <c r="C296" t="s">
        <v>33</v>
      </c>
      <c r="D296" t="s">
        <v>34</v>
      </c>
      <c r="E296" t="s">
        <v>309</v>
      </c>
      <c r="F296" t="s">
        <v>310</v>
      </c>
      <c r="G296" s="20" t="s">
        <v>38</v>
      </c>
      <c r="H296" s="20" t="s">
        <v>39</v>
      </c>
      <c r="I296" t="s">
        <v>70</v>
      </c>
      <c r="J296" t="s">
        <v>70</v>
      </c>
      <c r="K296" t="s">
        <v>332</v>
      </c>
      <c r="L296" t="s">
        <v>275</v>
      </c>
      <c r="M296" t="s">
        <v>157</v>
      </c>
      <c r="N296">
        <v>666</v>
      </c>
      <c r="O296" t="s">
        <v>155</v>
      </c>
      <c r="P296" t="s">
        <v>223</v>
      </c>
      <c r="Q296" s="6">
        <v>45210</v>
      </c>
      <c r="R296">
        <v>1</v>
      </c>
      <c r="S296" t="s">
        <v>166</v>
      </c>
      <c r="T296" t="s">
        <v>72</v>
      </c>
      <c r="U296" t="s">
        <v>271</v>
      </c>
      <c r="AD296">
        <v>1</v>
      </c>
      <c r="AE296" s="7" t="s">
        <v>177</v>
      </c>
      <c r="AF296">
        <v>13</v>
      </c>
      <c r="AG296">
        <v>12</v>
      </c>
      <c r="AH296">
        <v>7</v>
      </c>
      <c r="AI296">
        <v>256</v>
      </c>
    </row>
    <row r="297" spans="1:35" x14ac:dyDescent="0.35">
      <c r="A297" t="s">
        <v>192</v>
      </c>
      <c r="B297" t="s">
        <v>24</v>
      </c>
      <c r="C297" t="s">
        <v>33</v>
      </c>
      <c r="D297" t="s">
        <v>34</v>
      </c>
      <c r="E297" t="s">
        <v>309</v>
      </c>
      <c r="F297" t="s">
        <v>310</v>
      </c>
      <c r="G297" s="20" t="s">
        <v>38</v>
      </c>
      <c r="H297" s="20" t="s">
        <v>39</v>
      </c>
      <c r="I297" t="s">
        <v>70</v>
      </c>
      <c r="J297" t="s">
        <v>70</v>
      </c>
      <c r="K297" t="s">
        <v>332</v>
      </c>
      <c r="L297" t="s">
        <v>275</v>
      </c>
      <c r="M297" t="s">
        <v>157</v>
      </c>
      <c r="N297">
        <v>690</v>
      </c>
      <c r="O297" t="s">
        <v>155</v>
      </c>
      <c r="P297" t="s">
        <v>222</v>
      </c>
      <c r="Q297" s="6">
        <v>45208</v>
      </c>
      <c r="R297">
        <v>1</v>
      </c>
      <c r="S297" s="13" t="s">
        <v>166</v>
      </c>
      <c r="T297" t="s">
        <v>72</v>
      </c>
      <c r="U297" t="s">
        <v>271</v>
      </c>
      <c r="AD297">
        <v>1</v>
      </c>
      <c r="AE297" s="7" t="s">
        <v>183</v>
      </c>
      <c r="AF297">
        <v>18</v>
      </c>
      <c r="AG297">
        <v>0</v>
      </c>
      <c r="AH297">
        <v>0</v>
      </c>
      <c r="AI297">
        <v>77</v>
      </c>
    </row>
    <row r="298" spans="1:35" x14ac:dyDescent="0.35">
      <c r="A298" t="s">
        <v>192</v>
      </c>
      <c r="B298" t="s">
        <v>24</v>
      </c>
      <c r="C298" t="s">
        <v>33</v>
      </c>
      <c r="D298" t="s">
        <v>34</v>
      </c>
      <c r="E298" t="s">
        <v>309</v>
      </c>
      <c r="F298" t="s">
        <v>310</v>
      </c>
      <c r="G298" s="20" t="s">
        <v>38</v>
      </c>
      <c r="H298" s="20" t="s">
        <v>39</v>
      </c>
      <c r="I298" t="s">
        <v>70</v>
      </c>
      <c r="J298" t="s">
        <v>70</v>
      </c>
      <c r="K298" t="s">
        <v>332</v>
      </c>
      <c r="L298" t="s">
        <v>275</v>
      </c>
      <c r="M298" t="s">
        <v>157</v>
      </c>
      <c r="N298">
        <v>691</v>
      </c>
      <c r="O298" t="s">
        <v>155</v>
      </c>
      <c r="P298" t="s">
        <v>222</v>
      </c>
      <c r="Q298" s="6">
        <v>45208</v>
      </c>
      <c r="R298">
        <v>1</v>
      </c>
      <c r="S298" s="13" t="s">
        <v>166</v>
      </c>
      <c r="T298" t="s">
        <v>72</v>
      </c>
      <c r="U298" t="s">
        <v>271</v>
      </c>
      <c r="AD298">
        <v>1</v>
      </c>
      <c r="AE298" s="7" t="s">
        <v>184</v>
      </c>
      <c r="AF298">
        <v>18</v>
      </c>
      <c r="AG298">
        <v>0</v>
      </c>
      <c r="AH298">
        <v>0</v>
      </c>
      <c r="AI298">
        <v>78</v>
      </c>
    </row>
    <row r="299" spans="1:35" x14ac:dyDescent="0.35">
      <c r="A299" t="s">
        <v>192</v>
      </c>
      <c r="B299" t="s">
        <v>24</v>
      </c>
      <c r="C299" t="s">
        <v>33</v>
      </c>
      <c r="D299" t="s">
        <v>34</v>
      </c>
      <c r="E299" t="s">
        <v>309</v>
      </c>
      <c r="F299" t="s">
        <v>310</v>
      </c>
      <c r="G299" s="20" t="s">
        <v>38</v>
      </c>
      <c r="H299" s="20" t="s">
        <v>39</v>
      </c>
      <c r="I299" t="s">
        <v>70</v>
      </c>
      <c r="J299" t="s">
        <v>70</v>
      </c>
      <c r="K299" t="s">
        <v>332</v>
      </c>
      <c r="L299" t="s">
        <v>275</v>
      </c>
      <c r="M299" t="s">
        <v>157</v>
      </c>
      <c r="N299">
        <v>692</v>
      </c>
      <c r="O299" t="s">
        <v>155</v>
      </c>
      <c r="P299" t="s">
        <v>222</v>
      </c>
      <c r="Q299" s="6">
        <v>45208</v>
      </c>
      <c r="R299">
        <v>1</v>
      </c>
      <c r="S299" s="14" t="s">
        <v>166</v>
      </c>
      <c r="T299" t="s">
        <v>72</v>
      </c>
      <c r="U299" t="s">
        <v>271</v>
      </c>
      <c r="AD299">
        <v>3</v>
      </c>
      <c r="AE299" s="7" t="s">
        <v>185</v>
      </c>
      <c r="AF299">
        <v>18</v>
      </c>
      <c r="AG299">
        <v>0</v>
      </c>
      <c r="AH299">
        <v>0</v>
      </c>
      <c r="AI299">
        <v>79</v>
      </c>
    </row>
    <row r="300" spans="1:35" x14ac:dyDescent="0.35">
      <c r="A300" t="s">
        <v>192</v>
      </c>
      <c r="B300" t="s">
        <v>24</v>
      </c>
      <c r="C300" t="s">
        <v>33</v>
      </c>
      <c r="D300" t="s">
        <v>34</v>
      </c>
      <c r="E300" t="s">
        <v>309</v>
      </c>
      <c r="F300" t="s">
        <v>310</v>
      </c>
      <c r="G300" s="20" t="s">
        <v>38</v>
      </c>
      <c r="H300" s="20" t="s">
        <v>39</v>
      </c>
      <c r="I300" t="s">
        <v>70</v>
      </c>
      <c r="J300" t="s">
        <v>70</v>
      </c>
      <c r="K300" t="s">
        <v>332</v>
      </c>
      <c r="L300" t="s">
        <v>275</v>
      </c>
      <c r="M300" t="s">
        <v>157</v>
      </c>
      <c r="N300">
        <v>693</v>
      </c>
      <c r="O300" t="s">
        <v>155</v>
      </c>
      <c r="P300" t="s">
        <v>222</v>
      </c>
      <c r="Q300" s="6">
        <v>45208</v>
      </c>
      <c r="R300">
        <v>1</v>
      </c>
      <c r="S300" s="14" t="s">
        <v>166</v>
      </c>
      <c r="T300" t="s">
        <v>72</v>
      </c>
      <c r="U300" t="s">
        <v>271</v>
      </c>
      <c r="AD300">
        <v>4</v>
      </c>
      <c r="AE300" s="7" t="s">
        <v>186</v>
      </c>
      <c r="AF300">
        <v>18</v>
      </c>
      <c r="AG300">
        <v>0</v>
      </c>
      <c r="AH300">
        <v>0</v>
      </c>
      <c r="AI300">
        <v>80</v>
      </c>
    </row>
    <row r="301" spans="1:35" x14ac:dyDescent="0.35">
      <c r="A301" t="s">
        <v>192</v>
      </c>
      <c r="B301" t="s">
        <v>24</v>
      </c>
      <c r="C301" t="s">
        <v>33</v>
      </c>
      <c r="D301" t="s">
        <v>34</v>
      </c>
      <c r="E301" t="s">
        <v>309</v>
      </c>
      <c r="F301" t="s">
        <v>310</v>
      </c>
      <c r="G301" s="20" t="s">
        <v>38</v>
      </c>
      <c r="H301" s="20" t="s">
        <v>39</v>
      </c>
      <c r="I301" t="s">
        <v>70</v>
      </c>
      <c r="J301" t="s">
        <v>70</v>
      </c>
      <c r="K301" t="s">
        <v>332</v>
      </c>
      <c r="L301" t="s">
        <v>275</v>
      </c>
      <c r="M301" t="s">
        <v>157</v>
      </c>
      <c r="N301">
        <v>719</v>
      </c>
      <c r="O301" t="s">
        <v>155</v>
      </c>
      <c r="P301" t="s">
        <v>222</v>
      </c>
      <c r="Q301" s="6">
        <v>45208</v>
      </c>
      <c r="R301">
        <v>0</v>
      </c>
      <c r="S301" s="3" t="s">
        <v>166</v>
      </c>
      <c r="T301" t="s">
        <v>72</v>
      </c>
      <c r="U301" t="s">
        <v>271</v>
      </c>
      <c r="AD301">
        <v>3</v>
      </c>
      <c r="AE301" s="7" t="s">
        <v>187</v>
      </c>
      <c r="AF301">
        <v>34</v>
      </c>
      <c r="AG301">
        <v>0</v>
      </c>
      <c r="AH301">
        <v>0</v>
      </c>
      <c r="AI301">
        <v>102</v>
      </c>
    </row>
    <row r="302" spans="1:35" x14ac:dyDescent="0.35">
      <c r="A302" t="s">
        <v>192</v>
      </c>
      <c r="B302" t="s">
        <v>24</v>
      </c>
      <c r="C302" t="s">
        <v>33</v>
      </c>
      <c r="D302" t="s">
        <v>34</v>
      </c>
      <c r="E302" t="s">
        <v>309</v>
      </c>
      <c r="F302" t="s">
        <v>310</v>
      </c>
      <c r="G302" s="20" t="s">
        <v>38</v>
      </c>
      <c r="H302" s="20" t="s">
        <v>39</v>
      </c>
      <c r="I302" t="s">
        <v>70</v>
      </c>
      <c r="J302" t="s">
        <v>70</v>
      </c>
      <c r="K302" t="s">
        <v>332</v>
      </c>
      <c r="L302" t="s">
        <v>275</v>
      </c>
      <c r="M302" t="s">
        <v>157</v>
      </c>
      <c r="N302">
        <v>720</v>
      </c>
      <c r="O302" t="s">
        <v>155</v>
      </c>
      <c r="P302" t="s">
        <v>222</v>
      </c>
      <c r="Q302" s="6">
        <v>45208</v>
      </c>
      <c r="R302">
        <v>1</v>
      </c>
      <c r="S302" s="3" t="s">
        <v>166</v>
      </c>
      <c r="T302" t="s">
        <v>72</v>
      </c>
      <c r="U302" t="s">
        <v>271</v>
      </c>
      <c r="AD302">
        <v>2</v>
      </c>
      <c r="AE302" s="7" t="s">
        <v>187</v>
      </c>
      <c r="AF302">
        <v>34</v>
      </c>
      <c r="AG302">
        <v>0</v>
      </c>
      <c r="AH302">
        <v>0</v>
      </c>
      <c r="AI302">
        <v>103</v>
      </c>
    </row>
    <row r="303" spans="1:35" x14ac:dyDescent="0.35">
      <c r="A303" t="s">
        <v>192</v>
      </c>
      <c r="B303" t="s">
        <v>24</v>
      </c>
      <c r="C303" t="s">
        <v>33</v>
      </c>
      <c r="D303" t="s">
        <v>34</v>
      </c>
      <c r="E303" t="s">
        <v>309</v>
      </c>
      <c r="F303" t="s">
        <v>310</v>
      </c>
      <c r="G303" s="20" t="s">
        <v>38</v>
      </c>
      <c r="H303" s="20" t="s">
        <v>39</v>
      </c>
      <c r="I303" t="s">
        <v>70</v>
      </c>
      <c r="J303" t="s">
        <v>70</v>
      </c>
      <c r="K303" t="s">
        <v>332</v>
      </c>
      <c r="L303" t="s">
        <v>275</v>
      </c>
      <c r="M303" t="s">
        <v>157</v>
      </c>
      <c r="N303">
        <v>754</v>
      </c>
      <c r="O303" t="s">
        <v>155</v>
      </c>
      <c r="P303" t="s">
        <v>222</v>
      </c>
      <c r="Q303" s="6">
        <v>45208</v>
      </c>
      <c r="R303">
        <v>0</v>
      </c>
      <c r="S303" s="13" t="s">
        <v>166</v>
      </c>
      <c r="T303" t="s">
        <v>72</v>
      </c>
      <c r="U303" t="s">
        <v>271</v>
      </c>
      <c r="AD303">
        <v>1</v>
      </c>
      <c r="AE303" s="7" t="s">
        <v>177</v>
      </c>
      <c r="AF303">
        <v>34</v>
      </c>
      <c r="AG303">
        <v>0</v>
      </c>
      <c r="AH303">
        <v>0</v>
      </c>
      <c r="AI303">
        <v>135</v>
      </c>
    </row>
    <row r="304" spans="1:35" x14ac:dyDescent="0.35">
      <c r="A304" t="s">
        <v>192</v>
      </c>
      <c r="B304" t="s">
        <v>24</v>
      </c>
      <c r="C304" t="s">
        <v>33</v>
      </c>
      <c r="D304" t="s">
        <v>34</v>
      </c>
      <c r="E304" t="s">
        <v>309</v>
      </c>
      <c r="F304" t="s">
        <v>310</v>
      </c>
      <c r="G304" s="20" t="s">
        <v>38</v>
      </c>
      <c r="H304" s="20" t="s">
        <v>39</v>
      </c>
      <c r="I304" t="s">
        <v>70</v>
      </c>
      <c r="J304" t="s">
        <v>70</v>
      </c>
      <c r="K304" t="s">
        <v>332</v>
      </c>
      <c r="L304" t="s">
        <v>275</v>
      </c>
      <c r="M304" t="s">
        <v>157</v>
      </c>
      <c r="N304">
        <v>755</v>
      </c>
      <c r="O304" t="s">
        <v>155</v>
      </c>
      <c r="P304" t="s">
        <v>222</v>
      </c>
      <c r="Q304" s="6">
        <v>45208</v>
      </c>
      <c r="S304" s="3" t="s">
        <v>166</v>
      </c>
      <c r="T304" t="s">
        <v>72</v>
      </c>
      <c r="U304" t="s">
        <v>271</v>
      </c>
      <c r="AD304">
        <v>3</v>
      </c>
      <c r="AE304" s="7" t="s">
        <v>177</v>
      </c>
      <c r="AF304">
        <v>36</v>
      </c>
      <c r="AG304">
        <v>0</v>
      </c>
      <c r="AH304">
        <v>0</v>
      </c>
      <c r="AI304">
        <v>136</v>
      </c>
    </row>
    <row r="305" spans="1:35" x14ac:dyDescent="0.35">
      <c r="A305" t="s">
        <v>192</v>
      </c>
      <c r="B305" t="s">
        <v>24</v>
      </c>
      <c r="C305" t="s">
        <v>33</v>
      </c>
      <c r="D305" t="s">
        <v>34</v>
      </c>
      <c r="E305" t="s">
        <v>309</v>
      </c>
      <c r="F305" t="s">
        <v>310</v>
      </c>
      <c r="G305" s="20" t="s">
        <v>38</v>
      </c>
      <c r="H305" s="20" t="s">
        <v>39</v>
      </c>
      <c r="I305" t="s">
        <v>70</v>
      </c>
      <c r="J305" t="s">
        <v>70</v>
      </c>
      <c r="K305" t="s">
        <v>332</v>
      </c>
      <c r="L305" t="s">
        <v>275</v>
      </c>
      <c r="M305" t="s">
        <v>157</v>
      </c>
      <c r="N305">
        <v>756</v>
      </c>
      <c r="O305" t="s">
        <v>155</v>
      </c>
      <c r="P305" t="s">
        <v>222</v>
      </c>
      <c r="Q305" s="6">
        <v>45208</v>
      </c>
      <c r="S305" s="3" t="s">
        <v>166</v>
      </c>
      <c r="T305" t="s">
        <v>72</v>
      </c>
      <c r="U305" t="s">
        <v>271</v>
      </c>
      <c r="AD305">
        <v>1</v>
      </c>
      <c r="AE305" s="7" t="s">
        <v>178</v>
      </c>
      <c r="AF305">
        <v>36</v>
      </c>
      <c r="AG305">
        <v>0</v>
      </c>
      <c r="AH305">
        <v>0</v>
      </c>
      <c r="AI305">
        <v>137</v>
      </c>
    </row>
    <row r="306" spans="1:35" x14ac:dyDescent="0.35">
      <c r="A306" t="s">
        <v>192</v>
      </c>
      <c r="B306" t="s">
        <v>24</v>
      </c>
      <c r="C306" t="s">
        <v>33</v>
      </c>
      <c r="D306" t="s">
        <v>34</v>
      </c>
      <c r="E306" t="s">
        <v>309</v>
      </c>
      <c r="F306" t="s">
        <v>310</v>
      </c>
      <c r="G306" s="20" t="s">
        <v>38</v>
      </c>
      <c r="H306" s="20" t="s">
        <v>39</v>
      </c>
      <c r="I306" t="s">
        <v>70</v>
      </c>
      <c r="J306" t="s">
        <v>70</v>
      </c>
      <c r="K306" t="s">
        <v>332</v>
      </c>
      <c r="L306" t="s">
        <v>275</v>
      </c>
      <c r="M306" t="s">
        <v>157</v>
      </c>
      <c r="N306">
        <v>757</v>
      </c>
      <c r="O306" t="s">
        <v>155</v>
      </c>
      <c r="P306" t="s">
        <v>222</v>
      </c>
      <c r="Q306" s="6">
        <v>45208</v>
      </c>
      <c r="S306" t="s">
        <v>166</v>
      </c>
      <c r="T306" t="s">
        <v>72</v>
      </c>
      <c r="U306" t="s">
        <v>271</v>
      </c>
      <c r="AD306">
        <v>1</v>
      </c>
      <c r="AE306" s="7"/>
      <c r="AF306">
        <v>36</v>
      </c>
      <c r="AG306">
        <v>0</v>
      </c>
      <c r="AH306">
        <v>0</v>
      </c>
      <c r="AI306">
        <v>138</v>
      </c>
    </row>
    <row r="307" spans="1:35" x14ac:dyDescent="0.35">
      <c r="A307" t="s">
        <v>192</v>
      </c>
      <c r="B307" t="s">
        <v>24</v>
      </c>
      <c r="C307" t="s">
        <v>33</v>
      </c>
      <c r="D307" t="s">
        <v>34</v>
      </c>
      <c r="E307" t="s">
        <v>309</v>
      </c>
      <c r="F307" t="s">
        <v>310</v>
      </c>
      <c r="G307" s="20" t="s">
        <v>38</v>
      </c>
      <c r="H307" s="20" t="s">
        <v>39</v>
      </c>
      <c r="I307" t="s">
        <v>70</v>
      </c>
      <c r="J307" t="s">
        <v>70</v>
      </c>
      <c r="K307" t="s">
        <v>332</v>
      </c>
      <c r="L307" t="s">
        <v>275</v>
      </c>
      <c r="M307" t="s">
        <v>157</v>
      </c>
      <c r="N307">
        <v>758</v>
      </c>
      <c r="O307" t="s">
        <v>155</v>
      </c>
      <c r="P307" t="s">
        <v>222</v>
      </c>
      <c r="Q307" s="6">
        <v>45208</v>
      </c>
      <c r="S307" t="s">
        <v>166</v>
      </c>
      <c r="T307" t="s">
        <v>72</v>
      </c>
      <c r="U307" t="s">
        <v>271</v>
      </c>
      <c r="AD307">
        <v>1</v>
      </c>
      <c r="AE307" s="7"/>
      <c r="AF307">
        <v>36</v>
      </c>
      <c r="AG307">
        <v>0</v>
      </c>
      <c r="AH307">
        <v>0</v>
      </c>
      <c r="AI307">
        <v>139</v>
      </c>
    </row>
    <row r="308" spans="1:35" x14ac:dyDescent="0.35">
      <c r="A308" t="s">
        <v>192</v>
      </c>
      <c r="B308" t="s">
        <v>24</v>
      </c>
      <c r="C308" t="s">
        <v>33</v>
      </c>
      <c r="D308" t="s">
        <v>34</v>
      </c>
      <c r="E308" t="s">
        <v>309</v>
      </c>
      <c r="F308" t="s">
        <v>310</v>
      </c>
      <c r="G308" s="20" t="s">
        <v>38</v>
      </c>
      <c r="H308" s="20" t="s">
        <v>39</v>
      </c>
      <c r="I308" t="s">
        <v>70</v>
      </c>
      <c r="J308" t="s">
        <v>70</v>
      </c>
      <c r="K308" t="s">
        <v>332</v>
      </c>
      <c r="L308" t="s">
        <v>275</v>
      </c>
      <c r="M308" t="s">
        <v>157</v>
      </c>
      <c r="N308">
        <v>771</v>
      </c>
      <c r="O308" t="s">
        <v>155</v>
      </c>
      <c r="P308" t="s">
        <v>222</v>
      </c>
      <c r="Q308" s="6">
        <v>45208</v>
      </c>
      <c r="R308">
        <v>1</v>
      </c>
      <c r="S308" t="s">
        <v>166</v>
      </c>
      <c r="T308" t="s">
        <v>72</v>
      </c>
      <c r="U308" t="s">
        <v>271</v>
      </c>
      <c r="AD308">
        <v>3</v>
      </c>
      <c r="AE308" s="7" t="s">
        <v>178</v>
      </c>
      <c r="AF308">
        <v>36</v>
      </c>
      <c r="AG308">
        <v>0</v>
      </c>
      <c r="AH308">
        <v>0</v>
      </c>
      <c r="AI308">
        <v>149</v>
      </c>
    </row>
    <row r="309" spans="1:35" x14ac:dyDescent="0.35">
      <c r="A309" t="s">
        <v>192</v>
      </c>
      <c r="B309" t="s">
        <v>24</v>
      </c>
      <c r="C309" t="s">
        <v>33</v>
      </c>
      <c r="D309" t="s">
        <v>34</v>
      </c>
      <c r="E309" t="s">
        <v>309</v>
      </c>
      <c r="F309" t="s">
        <v>310</v>
      </c>
      <c r="G309" s="20" t="s">
        <v>38</v>
      </c>
      <c r="H309" s="20" t="s">
        <v>39</v>
      </c>
      <c r="I309" t="s">
        <v>70</v>
      </c>
      <c r="J309" t="s">
        <v>70</v>
      </c>
      <c r="K309" t="s">
        <v>332</v>
      </c>
      <c r="L309" t="s">
        <v>275</v>
      </c>
      <c r="M309" t="s">
        <v>157</v>
      </c>
      <c r="N309">
        <v>778</v>
      </c>
      <c r="O309" t="s">
        <v>155</v>
      </c>
      <c r="P309" t="s">
        <v>222</v>
      </c>
      <c r="Q309" s="6">
        <v>45208</v>
      </c>
      <c r="R309">
        <v>1</v>
      </c>
      <c r="S309" t="s">
        <v>166</v>
      </c>
      <c r="T309" t="s">
        <v>72</v>
      </c>
      <c r="U309" t="s">
        <v>271</v>
      </c>
      <c r="AD309">
        <v>4</v>
      </c>
      <c r="AE309" s="7" t="s">
        <v>178</v>
      </c>
      <c r="AF309">
        <v>36</v>
      </c>
      <c r="AG309">
        <v>0</v>
      </c>
      <c r="AH309">
        <v>0</v>
      </c>
      <c r="AI309">
        <v>156</v>
      </c>
    </row>
    <row r="310" spans="1:35" x14ac:dyDescent="0.35">
      <c r="A310" t="s">
        <v>192</v>
      </c>
      <c r="B310" t="s">
        <v>24</v>
      </c>
      <c r="C310" t="s">
        <v>33</v>
      </c>
      <c r="D310" t="s">
        <v>65</v>
      </c>
      <c r="E310" t="s">
        <v>62</v>
      </c>
      <c r="F310" t="s">
        <v>311</v>
      </c>
      <c r="G310" s="20" t="s">
        <v>195</v>
      </c>
      <c r="H310" t="s">
        <v>7</v>
      </c>
      <c r="I310" t="s">
        <v>259</v>
      </c>
      <c r="J310" t="s">
        <v>65</v>
      </c>
      <c r="K310" t="s">
        <v>333</v>
      </c>
      <c r="L310" s="3" t="s">
        <v>196</v>
      </c>
      <c r="M310" s="3" t="s">
        <v>161</v>
      </c>
      <c r="N310">
        <v>682</v>
      </c>
      <c r="O310" t="s">
        <v>155</v>
      </c>
      <c r="P310" t="s">
        <v>222</v>
      </c>
      <c r="Q310" s="6">
        <v>45203</v>
      </c>
      <c r="R310">
        <v>0</v>
      </c>
      <c r="S310" s="13" t="s">
        <v>166</v>
      </c>
      <c r="T310" t="s">
        <v>72</v>
      </c>
      <c r="U310" t="s">
        <v>271</v>
      </c>
      <c r="AD310">
        <v>1</v>
      </c>
      <c r="AE310" s="7" t="s">
        <v>178</v>
      </c>
      <c r="AF310">
        <v>9</v>
      </c>
      <c r="AG310">
        <v>0</v>
      </c>
      <c r="AH310">
        <v>0</v>
      </c>
      <c r="AI310">
        <v>360</v>
      </c>
    </row>
    <row r="311" spans="1:35" x14ac:dyDescent="0.35">
      <c r="A311" t="s">
        <v>192</v>
      </c>
      <c r="B311" t="s">
        <v>24</v>
      </c>
      <c r="C311" t="s">
        <v>33</v>
      </c>
      <c r="D311" t="s">
        <v>65</v>
      </c>
      <c r="E311" t="s">
        <v>62</v>
      </c>
      <c r="F311" t="s">
        <v>311</v>
      </c>
      <c r="G311" s="20" t="s">
        <v>142</v>
      </c>
      <c r="H311" t="s">
        <v>7</v>
      </c>
      <c r="I311" t="s">
        <v>240</v>
      </c>
      <c r="J311" t="s">
        <v>65</v>
      </c>
      <c r="K311" t="s">
        <v>333</v>
      </c>
      <c r="L311" s="3" t="s">
        <v>196</v>
      </c>
      <c r="M311" s="3" t="s">
        <v>161</v>
      </c>
      <c r="N311">
        <v>676</v>
      </c>
      <c r="O311" t="s">
        <v>155</v>
      </c>
      <c r="P311" t="s">
        <v>222</v>
      </c>
      <c r="Q311" s="6">
        <v>45203</v>
      </c>
      <c r="R311">
        <v>1</v>
      </c>
      <c r="S311" t="s">
        <v>166</v>
      </c>
      <c r="T311" t="s">
        <v>72</v>
      </c>
      <c r="U311" t="s">
        <v>271</v>
      </c>
      <c r="AD311">
        <v>1</v>
      </c>
      <c r="AE311" s="7" t="s">
        <v>178</v>
      </c>
      <c r="AF311">
        <v>6</v>
      </c>
      <c r="AG311">
        <v>0</v>
      </c>
      <c r="AH311">
        <v>0</v>
      </c>
      <c r="AI311">
        <v>361</v>
      </c>
    </row>
    <row r="312" spans="1:35" x14ac:dyDescent="0.35">
      <c r="A312" t="s">
        <v>192</v>
      </c>
      <c r="B312" t="s">
        <v>24</v>
      </c>
      <c r="C312" t="s">
        <v>33</v>
      </c>
      <c r="D312" t="s">
        <v>34</v>
      </c>
      <c r="E312" t="s">
        <v>309</v>
      </c>
      <c r="F312" t="s">
        <v>139</v>
      </c>
      <c r="G312" s="20" t="s">
        <v>140</v>
      </c>
      <c r="H312" s="20" t="s">
        <v>141</v>
      </c>
      <c r="I312" t="s">
        <v>242</v>
      </c>
      <c r="J312" t="s">
        <v>242</v>
      </c>
      <c r="K312" t="s">
        <v>331</v>
      </c>
      <c r="L312" t="s">
        <v>273</v>
      </c>
      <c r="N312">
        <v>717</v>
      </c>
      <c r="O312" t="s">
        <v>155</v>
      </c>
      <c r="P312" t="s">
        <v>222</v>
      </c>
      <c r="Q312" s="6">
        <v>45208</v>
      </c>
      <c r="R312">
        <v>1</v>
      </c>
      <c r="S312" s="3" t="s">
        <v>170</v>
      </c>
      <c r="T312" t="s">
        <v>229</v>
      </c>
      <c r="U312" t="s">
        <v>229</v>
      </c>
      <c r="AD312">
        <v>1</v>
      </c>
      <c r="AE312" s="7" t="s">
        <v>177</v>
      </c>
      <c r="AF312">
        <v>18</v>
      </c>
      <c r="AG312">
        <v>0</v>
      </c>
      <c r="AH312">
        <v>0</v>
      </c>
      <c r="AI312">
        <v>362</v>
      </c>
    </row>
    <row r="313" spans="1:35" x14ac:dyDescent="0.35">
      <c r="A313" t="s">
        <v>192</v>
      </c>
      <c r="B313" t="s">
        <v>24</v>
      </c>
      <c r="C313" t="s">
        <v>33</v>
      </c>
      <c r="D313" t="s">
        <v>34</v>
      </c>
      <c r="E313" t="s">
        <v>309</v>
      </c>
      <c r="F313" t="s">
        <v>42</v>
      </c>
      <c r="G313" s="20" t="s">
        <v>144</v>
      </c>
      <c r="H313" s="21" t="s">
        <v>145</v>
      </c>
      <c r="I313" t="s">
        <v>243</v>
      </c>
      <c r="J313" t="s">
        <v>42</v>
      </c>
      <c r="K313" t="s">
        <v>334</v>
      </c>
      <c r="L313" t="s">
        <v>44</v>
      </c>
      <c r="N313">
        <v>688</v>
      </c>
      <c r="O313" t="s">
        <v>155</v>
      </c>
      <c r="P313" t="s">
        <v>222</v>
      </c>
      <c r="Q313" s="6">
        <v>45203</v>
      </c>
      <c r="R313">
        <v>0</v>
      </c>
      <c r="S313" t="s">
        <v>166</v>
      </c>
      <c r="T313" t="s">
        <v>72</v>
      </c>
      <c r="U313" t="s">
        <v>271</v>
      </c>
      <c r="AD313">
        <v>1</v>
      </c>
      <c r="AE313" s="7" t="s">
        <v>178</v>
      </c>
      <c r="AF313">
        <v>12</v>
      </c>
      <c r="AG313">
        <v>0</v>
      </c>
      <c r="AH313">
        <v>0</v>
      </c>
      <c r="AI313">
        <v>364</v>
      </c>
    </row>
    <row r="314" spans="1:35" x14ac:dyDescent="0.35">
      <c r="A314" t="s">
        <v>192</v>
      </c>
      <c r="B314" t="s">
        <v>24</v>
      </c>
      <c r="C314" t="s">
        <v>33</v>
      </c>
      <c r="D314" t="s">
        <v>34</v>
      </c>
      <c r="E314" t="s">
        <v>309</v>
      </c>
      <c r="F314" t="s">
        <v>42</v>
      </c>
      <c r="G314" s="20" t="s">
        <v>144</v>
      </c>
      <c r="H314" s="21" t="s">
        <v>145</v>
      </c>
      <c r="I314" t="s">
        <v>243</v>
      </c>
      <c r="J314" t="s">
        <v>42</v>
      </c>
      <c r="K314" t="s">
        <v>334</v>
      </c>
      <c r="L314" t="s">
        <v>44</v>
      </c>
      <c r="N314">
        <v>718</v>
      </c>
      <c r="O314" t="s">
        <v>155</v>
      </c>
      <c r="P314" t="s">
        <v>222</v>
      </c>
      <c r="Q314" s="6">
        <v>45208</v>
      </c>
      <c r="R314">
        <v>0</v>
      </c>
      <c r="S314" s="3" t="s">
        <v>166</v>
      </c>
      <c r="T314" t="s">
        <v>72</v>
      </c>
      <c r="U314" t="s">
        <v>271</v>
      </c>
      <c r="AD314">
        <v>2</v>
      </c>
      <c r="AE314" s="7" t="s">
        <v>187</v>
      </c>
      <c r="AF314">
        <v>34</v>
      </c>
      <c r="AG314">
        <v>0</v>
      </c>
      <c r="AH314">
        <v>0</v>
      </c>
      <c r="AI314">
        <v>366</v>
      </c>
    </row>
    <row r="315" spans="1:35" x14ac:dyDescent="0.35">
      <c r="A315" t="s">
        <v>192</v>
      </c>
      <c r="B315" t="s">
        <v>24</v>
      </c>
      <c r="C315" t="s">
        <v>33</v>
      </c>
      <c r="D315" t="s">
        <v>34</v>
      </c>
      <c r="E315" t="s">
        <v>309</v>
      </c>
      <c r="F315" t="s">
        <v>42</v>
      </c>
      <c r="G315" s="20" t="s">
        <v>144</v>
      </c>
      <c r="H315" s="21" t="s">
        <v>145</v>
      </c>
      <c r="I315" t="s">
        <v>243</v>
      </c>
      <c r="J315" t="s">
        <v>42</v>
      </c>
      <c r="K315" t="s">
        <v>334</v>
      </c>
      <c r="L315" t="s">
        <v>44</v>
      </c>
      <c r="N315">
        <v>760</v>
      </c>
      <c r="O315" t="s">
        <v>155</v>
      </c>
      <c r="P315" t="s">
        <v>222</v>
      </c>
      <c r="Q315" s="6">
        <v>45208</v>
      </c>
      <c r="R315">
        <v>1</v>
      </c>
      <c r="S315" t="s">
        <v>166</v>
      </c>
      <c r="T315" t="s">
        <v>72</v>
      </c>
      <c r="U315" t="s">
        <v>271</v>
      </c>
      <c r="AD315">
        <v>2</v>
      </c>
      <c r="AE315" s="7" t="s">
        <v>179</v>
      </c>
      <c r="AF315">
        <v>36</v>
      </c>
      <c r="AG315">
        <v>0</v>
      </c>
      <c r="AH315">
        <v>0</v>
      </c>
      <c r="AI315">
        <v>368</v>
      </c>
    </row>
    <row r="316" spans="1:35" x14ac:dyDescent="0.35">
      <c r="A316" t="s">
        <v>192</v>
      </c>
      <c r="B316" t="s">
        <v>24</v>
      </c>
      <c r="C316" t="s">
        <v>33</v>
      </c>
      <c r="D316" t="s">
        <v>34</v>
      </c>
      <c r="E316" t="s">
        <v>309</v>
      </c>
      <c r="F316" t="s">
        <v>42</v>
      </c>
      <c r="G316" s="20" t="s">
        <v>146</v>
      </c>
      <c r="H316" s="20" t="s">
        <v>147</v>
      </c>
      <c r="I316" t="s">
        <v>246</v>
      </c>
      <c r="J316" t="s">
        <v>327</v>
      </c>
      <c r="K316" t="s">
        <v>333</v>
      </c>
      <c r="L316" t="s">
        <v>274</v>
      </c>
      <c r="N316">
        <v>675</v>
      </c>
      <c r="O316" t="s">
        <v>155</v>
      </c>
      <c r="P316" t="s">
        <v>222</v>
      </c>
      <c r="Q316" s="6">
        <v>45203</v>
      </c>
      <c r="R316">
        <v>1</v>
      </c>
      <c r="S316" t="s">
        <v>170</v>
      </c>
      <c r="T316" t="s">
        <v>229</v>
      </c>
      <c r="U316" t="s">
        <v>229</v>
      </c>
      <c r="AD316">
        <v>2</v>
      </c>
      <c r="AE316" s="7" t="s">
        <v>178</v>
      </c>
      <c r="AF316">
        <v>8</v>
      </c>
      <c r="AG316">
        <v>0</v>
      </c>
      <c r="AH316">
        <v>0</v>
      </c>
      <c r="AI316">
        <v>373</v>
      </c>
    </row>
    <row r="317" spans="1:35" x14ac:dyDescent="0.35">
      <c r="A317" t="s">
        <v>192</v>
      </c>
      <c r="B317" t="s">
        <v>24</v>
      </c>
      <c r="C317" t="s">
        <v>33</v>
      </c>
      <c r="D317" t="s">
        <v>34</v>
      </c>
      <c r="E317" t="s">
        <v>309</v>
      </c>
      <c r="F317" t="s">
        <v>42</v>
      </c>
      <c r="G317" s="20" t="s">
        <v>146</v>
      </c>
      <c r="H317" s="20" t="s">
        <v>147</v>
      </c>
      <c r="I317" t="s">
        <v>246</v>
      </c>
      <c r="J317" t="s">
        <v>327</v>
      </c>
      <c r="K317" t="s">
        <v>333</v>
      </c>
      <c r="L317" t="s">
        <v>274</v>
      </c>
      <c r="N317">
        <v>689</v>
      </c>
      <c r="O317" t="s">
        <v>155</v>
      </c>
      <c r="P317" t="s">
        <v>222</v>
      </c>
      <c r="Q317" s="6">
        <v>45208</v>
      </c>
      <c r="R317">
        <v>1</v>
      </c>
      <c r="S317" t="s">
        <v>166</v>
      </c>
      <c r="T317" t="s">
        <v>72</v>
      </c>
      <c r="U317" t="s">
        <v>271</v>
      </c>
      <c r="AD317">
        <v>1</v>
      </c>
      <c r="AE317" s="7" t="s">
        <v>178</v>
      </c>
      <c r="AF317">
        <v>18</v>
      </c>
      <c r="AG317">
        <v>0</v>
      </c>
      <c r="AH317">
        <v>0</v>
      </c>
      <c r="AI317">
        <v>374</v>
      </c>
    </row>
    <row r="318" spans="1:35" x14ac:dyDescent="0.35">
      <c r="A318" t="s">
        <v>192</v>
      </c>
      <c r="B318" t="s">
        <v>24</v>
      </c>
      <c r="C318" t="s">
        <v>33</v>
      </c>
      <c r="D318" t="s">
        <v>34</v>
      </c>
      <c r="E318" t="s">
        <v>309</v>
      </c>
      <c r="F318" t="s">
        <v>42</v>
      </c>
      <c r="G318" s="20" t="s">
        <v>146</v>
      </c>
      <c r="H318" s="20" t="s">
        <v>147</v>
      </c>
      <c r="I318" t="s">
        <v>246</v>
      </c>
      <c r="J318" t="s">
        <v>327</v>
      </c>
      <c r="K318" t="s">
        <v>333</v>
      </c>
      <c r="L318" t="s">
        <v>274</v>
      </c>
      <c r="N318">
        <v>814</v>
      </c>
      <c r="O318" t="s">
        <v>155</v>
      </c>
      <c r="P318" t="s">
        <v>222</v>
      </c>
      <c r="Q318" s="6">
        <v>45208</v>
      </c>
      <c r="R318">
        <v>1</v>
      </c>
      <c r="S318" t="s">
        <v>166</v>
      </c>
      <c r="T318" t="s">
        <v>72</v>
      </c>
      <c r="U318" t="s">
        <v>271</v>
      </c>
      <c r="AD318">
        <v>2</v>
      </c>
      <c r="AE318" s="7" t="s">
        <v>178</v>
      </c>
      <c r="AF318">
        <v>36</v>
      </c>
      <c r="AG318">
        <v>0</v>
      </c>
      <c r="AH318">
        <v>0</v>
      </c>
      <c r="AI318">
        <v>376</v>
      </c>
    </row>
    <row r="319" spans="1:35" x14ac:dyDescent="0.35">
      <c r="A319" t="s">
        <v>192</v>
      </c>
      <c r="B319" t="s">
        <v>24</v>
      </c>
      <c r="C319" t="s">
        <v>33</v>
      </c>
      <c r="D319" t="s">
        <v>34</v>
      </c>
      <c r="E319" t="s">
        <v>309</v>
      </c>
      <c r="F319" t="s">
        <v>42</v>
      </c>
      <c r="G319" s="20" t="s">
        <v>158</v>
      </c>
      <c r="H319" s="21" t="s">
        <v>150</v>
      </c>
      <c r="I319" t="s">
        <v>248</v>
      </c>
      <c r="J319" t="s">
        <v>42</v>
      </c>
      <c r="K319" t="s">
        <v>334</v>
      </c>
      <c r="L319" t="s">
        <v>44</v>
      </c>
      <c r="M319" t="s">
        <v>159</v>
      </c>
      <c r="N319">
        <v>650</v>
      </c>
      <c r="O319" t="s">
        <v>155</v>
      </c>
      <c r="P319" t="s">
        <v>223</v>
      </c>
      <c r="Q319" s="6">
        <v>45210</v>
      </c>
      <c r="R319">
        <v>0</v>
      </c>
      <c r="S319" t="s">
        <v>166</v>
      </c>
      <c r="T319" t="s">
        <v>72</v>
      </c>
      <c r="U319" t="s">
        <v>271</v>
      </c>
      <c r="AD319">
        <v>2</v>
      </c>
      <c r="AE319" s="7" t="s">
        <v>182</v>
      </c>
      <c r="AF319">
        <v>13</v>
      </c>
      <c r="AG319">
        <v>12</v>
      </c>
      <c r="AH319">
        <v>7</v>
      </c>
      <c r="AI319">
        <v>382</v>
      </c>
    </row>
    <row r="320" spans="1:35" x14ac:dyDescent="0.35">
      <c r="A320" t="s">
        <v>192</v>
      </c>
      <c r="B320" t="s">
        <v>24</v>
      </c>
      <c r="C320" t="s">
        <v>33</v>
      </c>
      <c r="D320" t="s">
        <v>34</v>
      </c>
      <c r="E320" t="s">
        <v>309</v>
      </c>
      <c r="F320" t="s">
        <v>42</v>
      </c>
      <c r="G320" s="20" t="s">
        <v>158</v>
      </c>
      <c r="H320" s="21" t="s">
        <v>150</v>
      </c>
      <c r="I320" t="s">
        <v>248</v>
      </c>
      <c r="J320" t="s">
        <v>42</v>
      </c>
      <c r="K320" t="s">
        <v>334</v>
      </c>
      <c r="L320" t="s">
        <v>44</v>
      </c>
      <c r="N320">
        <v>655</v>
      </c>
      <c r="O320" t="s">
        <v>155</v>
      </c>
      <c r="P320" t="s">
        <v>223</v>
      </c>
      <c r="Q320" s="6">
        <v>45210</v>
      </c>
      <c r="R320">
        <v>0</v>
      </c>
      <c r="S320" t="s">
        <v>166</v>
      </c>
      <c r="T320" t="s">
        <v>72</v>
      </c>
      <c r="U320" t="s">
        <v>271</v>
      </c>
      <c r="AD320">
        <v>1</v>
      </c>
      <c r="AE320" s="7" t="s">
        <v>180</v>
      </c>
      <c r="AF320">
        <v>13</v>
      </c>
      <c r="AG320">
        <v>12</v>
      </c>
      <c r="AH320">
        <v>7</v>
      </c>
      <c r="AI320">
        <v>383</v>
      </c>
    </row>
    <row r="321" spans="1:35" x14ac:dyDescent="0.35">
      <c r="A321" t="s">
        <v>192</v>
      </c>
      <c r="B321" t="s">
        <v>24</v>
      </c>
      <c r="C321" t="s">
        <v>33</v>
      </c>
      <c r="D321" t="s">
        <v>34</v>
      </c>
      <c r="E321" t="s">
        <v>309</v>
      </c>
      <c r="F321" t="s">
        <v>42</v>
      </c>
      <c r="G321" s="20" t="s">
        <v>158</v>
      </c>
      <c r="H321" s="21" t="s">
        <v>150</v>
      </c>
      <c r="I321" t="s">
        <v>248</v>
      </c>
      <c r="J321" t="s">
        <v>42</v>
      </c>
      <c r="K321" t="s">
        <v>334</v>
      </c>
      <c r="L321" t="s">
        <v>44</v>
      </c>
      <c r="M321" t="s">
        <v>159</v>
      </c>
      <c r="N321">
        <v>659</v>
      </c>
      <c r="O321" t="s">
        <v>155</v>
      </c>
      <c r="P321" t="s">
        <v>223</v>
      </c>
      <c r="Q321" s="6">
        <v>45210</v>
      </c>
      <c r="R321">
        <v>0</v>
      </c>
      <c r="S321" t="s">
        <v>166</v>
      </c>
      <c r="T321" t="s">
        <v>72</v>
      </c>
      <c r="U321" t="s">
        <v>271</v>
      </c>
      <c r="AD321">
        <v>1</v>
      </c>
      <c r="AE321" s="7" t="s">
        <v>180</v>
      </c>
      <c r="AF321">
        <v>13</v>
      </c>
      <c r="AG321">
        <v>12</v>
      </c>
      <c r="AH321">
        <v>7</v>
      </c>
      <c r="AI321">
        <v>384</v>
      </c>
    </row>
    <row r="322" spans="1:35" x14ac:dyDescent="0.35">
      <c r="A322" t="s">
        <v>192</v>
      </c>
      <c r="B322" t="s">
        <v>24</v>
      </c>
      <c r="C322" t="s">
        <v>33</v>
      </c>
      <c r="D322" t="s">
        <v>34</v>
      </c>
      <c r="E322" t="s">
        <v>309</v>
      </c>
      <c r="F322" t="s">
        <v>42</v>
      </c>
      <c r="G322" s="20" t="s">
        <v>158</v>
      </c>
      <c r="H322" s="21" t="s">
        <v>150</v>
      </c>
      <c r="I322" t="s">
        <v>248</v>
      </c>
      <c r="J322" t="s">
        <v>42</v>
      </c>
      <c r="K322" t="s">
        <v>334</v>
      </c>
      <c r="L322" t="s">
        <v>44</v>
      </c>
      <c r="M322" t="s">
        <v>159</v>
      </c>
      <c r="N322">
        <v>660</v>
      </c>
      <c r="O322" t="s">
        <v>155</v>
      </c>
      <c r="P322" t="s">
        <v>223</v>
      </c>
      <c r="Q322" s="6">
        <v>45210</v>
      </c>
      <c r="R322">
        <v>0</v>
      </c>
      <c r="S322" t="s">
        <v>166</v>
      </c>
      <c r="T322" t="s">
        <v>72</v>
      </c>
      <c r="U322" t="s">
        <v>271</v>
      </c>
      <c r="AD322">
        <v>1</v>
      </c>
      <c r="AE322" s="7" t="s">
        <v>179</v>
      </c>
      <c r="AF322">
        <v>13</v>
      </c>
      <c r="AG322">
        <v>12</v>
      </c>
      <c r="AH322">
        <v>7</v>
      </c>
      <c r="AI322">
        <v>385</v>
      </c>
    </row>
    <row r="323" spans="1:35" x14ac:dyDescent="0.35">
      <c r="A323" t="s">
        <v>192</v>
      </c>
      <c r="B323" t="s">
        <v>24</v>
      </c>
      <c r="C323" t="s">
        <v>33</v>
      </c>
      <c r="D323" t="s">
        <v>34</v>
      </c>
      <c r="E323" t="s">
        <v>309</v>
      </c>
      <c r="F323" t="s">
        <v>42</v>
      </c>
      <c r="G323" s="20" t="s">
        <v>158</v>
      </c>
      <c r="H323" s="21" t="s">
        <v>150</v>
      </c>
      <c r="I323" t="s">
        <v>248</v>
      </c>
      <c r="J323" t="s">
        <v>42</v>
      </c>
      <c r="K323" t="s">
        <v>334</v>
      </c>
      <c r="L323" t="s">
        <v>44</v>
      </c>
      <c r="M323" t="s">
        <v>159</v>
      </c>
      <c r="N323">
        <v>661</v>
      </c>
      <c r="O323" t="s">
        <v>155</v>
      </c>
      <c r="P323" t="s">
        <v>223</v>
      </c>
      <c r="Q323" s="6">
        <v>45210</v>
      </c>
      <c r="R323">
        <v>0</v>
      </c>
      <c r="S323" t="s">
        <v>166</v>
      </c>
      <c r="T323" t="s">
        <v>72</v>
      </c>
      <c r="U323" t="s">
        <v>271</v>
      </c>
      <c r="AD323">
        <v>2</v>
      </c>
      <c r="AE323" s="7" t="s">
        <v>177</v>
      </c>
      <c r="AF323">
        <v>13</v>
      </c>
      <c r="AG323">
        <v>12</v>
      </c>
      <c r="AH323">
        <v>7</v>
      </c>
      <c r="AI323">
        <v>386</v>
      </c>
    </row>
    <row r="324" spans="1:35" x14ac:dyDescent="0.35">
      <c r="A324" t="s">
        <v>192</v>
      </c>
      <c r="B324" t="s">
        <v>24</v>
      </c>
      <c r="C324" t="s">
        <v>33</v>
      </c>
      <c r="D324" t="s">
        <v>34</v>
      </c>
      <c r="E324" t="s">
        <v>309</v>
      </c>
      <c r="F324" t="s">
        <v>42</v>
      </c>
      <c r="G324" s="20" t="s">
        <v>158</v>
      </c>
      <c r="H324" s="21" t="s">
        <v>150</v>
      </c>
      <c r="I324" t="s">
        <v>248</v>
      </c>
      <c r="J324" t="s">
        <v>42</v>
      </c>
      <c r="K324" t="s">
        <v>334</v>
      </c>
      <c r="L324" t="s">
        <v>44</v>
      </c>
      <c r="M324" t="s">
        <v>159</v>
      </c>
      <c r="N324">
        <v>672</v>
      </c>
      <c r="O324" t="s">
        <v>155</v>
      </c>
      <c r="P324" t="s">
        <v>223</v>
      </c>
      <c r="Q324" s="6">
        <v>45210</v>
      </c>
      <c r="R324">
        <v>0</v>
      </c>
      <c r="S324" t="s">
        <v>166</v>
      </c>
      <c r="T324" t="s">
        <v>72</v>
      </c>
      <c r="U324" t="s">
        <v>271</v>
      </c>
      <c r="AD324">
        <v>2</v>
      </c>
      <c r="AE324" s="7" t="s">
        <v>179</v>
      </c>
      <c r="AF324">
        <v>13</v>
      </c>
      <c r="AG324">
        <v>12</v>
      </c>
      <c r="AH324">
        <v>7</v>
      </c>
      <c r="AI324">
        <v>387</v>
      </c>
    </row>
    <row r="325" spans="1:35" x14ac:dyDescent="0.35">
      <c r="A325" t="s">
        <v>192</v>
      </c>
      <c r="B325" t="s">
        <v>24</v>
      </c>
      <c r="C325" t="s">
        <v>33</v>
      </c>
      <c r="D325" t="s">
        <v>34</v>
      </c>
      <c r="E325" t="s">
        <v>309</v>
      </c>
      <c r="F325" t="s">
        <v>42</v>
      </c>
      <c r="G325" s="20" t="s">
        <v>158</v>
      </c>
      <c r="H325" s="21" t="s">
        <v>150</v>
      </c>
      <c r="I325" t="s">
        <v>248</v>
      </c>
      <c r="J325" t="s">
        <v>42</v>
      </c>
      <c r="K325" t="s">
        <v>334</v>
      </c>
      <c r="L325" t="s">
        <v>44</v>
      </c>
      <c r="M325" t="s">
        <v>159</v>
      </c>
      <c r="N325">
        <v>677</v>
      </c>
      <c r="O325" t="s">
        <v>155</v>
      </c>
      <c r="P325" t="s">
        <v>222</v>
      </c>
      <c r="Q325" s="6">
        <v>45203</v>
      </c>
      <c r="R325">
        <v>0</v>
      </c>
      <c r="S325" t="s">
        <v>166</v>
      </c>
      <c r="T325" t="s">
        <v>72</v>
      </c>
      <c r="U325" t="s">
        <v>271</v>
      </c>
      <c r="AD325">
        <v>1</v>
      </c>
      <c r="AE325" s="7" t="s">
        <v>178</v>
      </c>
      <c r="AF325">
        <v>9</v>
      </c>
      <c r="AG325">
        <v>0</v>
      </c>
      <c r="AH325">
        <v>0</v>
      </c>
      <c r="AI325">
        <v>378</v>
      </c>
    </row>
    <row r="326" spans="1:35" x14ac:dyDescent="0.35">
      <c r="A326" t="s">
        <v>192</v>
      </c>
      <c r="B326" t="s">
        <v>24</v>
      </c>
      <c r="C326" t="s">
        <v>33</v>
      </c>
      <c r="D326" t="s">
        <v>34</v>
      </c>
      <c r="E326" t="s">
        <v>309</v>
      </c>
      <c r="F326" t="s">
        <v>42</v>
      </c>
      <c r="G326" s="20" t="s">
        <v>158</v>
      </c>
      <c r="H326" s="21" t="s">
        <v>150</v>
      </c>
      <c r="I326" t="s">
        <v>248</v>
      </c>
      <c r="J326" t="s">
        <v>42</v>
      </c>
      <c r="K326" t="s">
        <v>334</v>
      </c>
      <c r="L326" t="s">
        <v>44</v>
      </c>
      <c r="M326" t="s">
        <v>159</v>
      </c>
      <c r="N326">
        <v>678</v>
      </c>
      <c r="O326" t="s">
        <v>155</v>
      </c>
      <c r="P326" t="s">
        <v>222</v>
      </c>
      <c r="Q326" s="6">
        <v>45203</v>
      </c>
      <c r="R326">
        <v>0</v>
      </c>
      <c r="S326" t="s">
        <v>166</v>
      </c>
      <c r="T326" t="s">
        <v>72</v>
      </c>
      <c r="U326" t="s">
        <v>271</v>
      </c>
      <c r="AD326">
        <v>1</v>
      </c>
      <c r="AE326" s="7" t="s">
        <v>177</v>
      </c>
      <c r="AF326">
        <v>9</v>
      </c>
      <c r="AG326">
        <v>0</v>
      </c>
      <c r="AH326">
        <v>0</v>
      </c>
      <c r="AI326">
        <v>379</v>
      </c>
    </row>
    <row r="327" spans="1:35" x14ac:dyDescent="0.35">
      <c r="A327" t="s">
        <v>192</v>
      </c>
      <c r="B327" t="s">
        <v>24</v>
      </c>
      <c r="C327" t="s">
        <v>33</v>
      </c>
      <c r="D327" t="s">
        <v>34</v>
      </c>
      <c r="E327" t="s">
        <v>309</v>
      </c>
      <c r="F327" t="s">
        <v>42</v>
      </c>
      <c r="G327" s="20" t="s">
        <v>158</v>
      </c>
      <c r="H327" s="21" t="s">
        <v>150</v>
      </c>
      <c r="I327" t="s">
        <v>248</v>
      </c>
      <c r="J327" t="s">
        <v>42</v>
      </c>
      <c r="K327" t="s">
        <v>334</v>
      </c>
      <c r="L327" t="s">
        <v>44</v>
      </c>
      <c r="M327" t="s">
        <v>159</v>
      </c>
      <c r="N327">
        <v>681</v>
      </c>
      <c r="O327" t="s">
        <v>155</v>
      </c>
      <c r="P327" t="s">
        <v>222</v>
      </c>
      <c r="Q327" s="6">
        <v>45203</v>
      </c>
      <c r="R327">
        <v>0</v>
      </c>
      <c r="S327" t="s">
        <v>166</v>
      </c>
      <c r="T327" t="s">
        <v>72</v>
      </c>
      <c r="U327" t="s">
        <v>271</v>
      </c>
      <c r="AD327">
        <v>1</v>
      </c>
      <c r="AE327" s="7" t="s">
        <v>178</v>
      </c>
      <c r="AF327">
        <v>9</v>
      </c>
      <c r="AG327">
        <v>0</v>
      </c>
      <c r="AH327">
        <v>0</v>
      </c>
      <c r="AI327">
        <v>381</v>
      </c>
    </row>
    <row r="328" spans="1:35" x14ac:dyDescent="0.35">
      <c r="A328" t="s">
        <v>192</v>
      </c>
      <c r="B328" t="s">
        <v>24</v>
      </c>
      <c r="C328" t="s">
        <v>33</v>
      </c>
      <c r="D328" t="s">
        <v>34</v>
      </c>
      <c r="E328" t="s">
        <v>309</v>
      </c>
      <c r="F328" t="s">
        <v>42</v>
      </c>
      <c r="G328" s="20" t="s">
        <v>151</v>
      </c>
      <c r="H328" s="21" t="s">
        <v>152</v>
      </c>
      <c r="I328" t="s">
        <v>254</v>
      </c>
      <c r="J328" t="s">
        <v>42</v>
      </c>
      <c r="K328" t="s">
        <v>334</v>
      </c>
      <c r="L328" t="s">
        <v>44</v>
      </c>
      <c r="N328">
        <v>537</v>
      </c>
      <c r="O328" t="s">
        <v>155</v>
      </c>
      <c r="P328" t="s">
        <v>223</v>
      </c>
      <c r="Q328" s="6">
        <v>45201</v>
      </c>
      <c r="R328">
        <v>1</v>
      </c>
      <c r="S328" t="s">
        <v>72</v>
      </c>
      <c r="T328" t="s">
        <v>72</v>
      </c>
      <c r="U328" t="s">
        <v>271</v>
      </c>
      <c r="AD328">
        <v>3</v>
      </c>
      <c r="AE328" s="7" t="s">
        <v>180</v>
      </c>
      <c r="AF328">
        <v>12</v>
      </c>
      <c r="AG328">
        <v>24</v>
      </c>
      <c r="AH328">
        <v>10</v>
      </c>
      <c r="AI328">
        <v>390</v>
      </c>
    </row>
    <row r="329" spans="1:35" x14ac:dyDescent="0.35">
      <c r="A329" t="s">
        <v>192</v>
      </c>
      <c r="B329" t="s">
        <v>24</v>
      </c>
      <c r="C329" t="s">
        <v>33</v>
      </c>
      <c r="D329" t="s">
        <v>34</v>
      </c>
      <c r="E329" t="s">
        <v>309</v>
      </c>
      <c r="F329" t="s">
        <v>42</v>
      </c>
      <c r="G329" s="20" t="s">
        <v>151</v>
      </c>
      <c r="H329" s="21" t="s">
        <v>152</v>
      </c>
      <c r="I329" t="s">
        <v>254</v>
      </c>
      <c r="J329" t="s">
        <v>42</v>
      </c>
      <c r="K329" t="s">
        <v>334</v>
      </c>
      <c r="L329" t="s">
        <v>44</v>
      </c>
      <c r="N329">
        <v>603</v>
      </c>
      <c r="O329" t="s">
        <v>155</v>
      </c>
      <c r="P329" t="s">
        <v>223</v>
      </c>
      <c r="Q329" s="6">
        <v>45210</v>
      </c>
      <c r="R329">
        <v>1</v>
      </c>
      <c r="S329" t="s">
        <v>166</v>
      </c>
      <c r="T329" t="s">
        <v>72</v>
      </c>
      <c r="U329" t="s">
        <v>271</v>
      </c>
      <c r="AD329">
        <v>1</v>
      </c>
      <c r="AE329" s="7" t="s">
        <v>178</v>
      </c>
      <c r="AF329">
        <v>10</v>
      </c>
      <c r="AG329">
        <v>4</v>
      </c>
      <c r="AH329">
        <v>0</v>
      </c>
      <c r="AI329">
        <v>402</v>
      </c>
    </row>
    <row r="330" spans="1:35" x14ac:dyDescent="0.35">
      <c r="A330" t="s">
        <v>192</v>
      </c>
      <c r="B330" t="s">
        <v>24</v>
      </c>
      <c r="C330" t="s">
        <v>33</v>
      </c>
      <c r="D330" t="s">
        <v>34</v>
      </c>
      <c r="E330" t="s">
        <v>309</v>
      </c>
      <c r="F330" t="s">
        <v>42</v>
      </c>
      <c r="G330" s="20" t="s">
        <v>151</v>
      </c>
      <c r="H330" s="21" t="s">
        <v>152</v>
      </c>
      <c r="I330" t="s">
        <v>254</v>
      </c>
      <c r="J330" t="s">
        <v>42</v>
      </c>
      <c r="K330" t="s">
        <v>334</v>
      </c>
      <c r="L330" t="s">
        <v>44</v>
      </c>
      <c r="N330">
        <v>629</v>
      </c>
      <c r="O330" t="s">
        <v>155</v>
      </c>
      <c r="P330" t="s">
        <v>223</v>
      </c>
      <c r="Q330" s="6">
        <v>45210</v>
      </c>
      <c r="R330">
        <v>0</v>
      </c>
      <c r="S330" t="s">
        <v>166</v>
      </c>
      <c r="T330" t="s">
        <v>72</v>
      </c>
      <c r="U330" t="s">
        <v>271</v>
      </c>
      <c r="AD330">
        <v>2</v>
      </c>
      <c r="AE330" s="7" t="s">
        <v>179</v>
      </c>
      <c r="AF330">
        <v>9</v>
      </c>
      <c r="AG330">
        <v>19</v>
      </c>
      <c r="AH330">
        <v>0</v>
      </c>
      <c r="AI330">
        <v>405</v>
      </c>
    </row>
    <row r="331" spans="1:35" x14ac:dyDescent="0.35">
      <c r="A331" t="s">
        <v>192</v>
      </c>
      <c r="B331" t="s">
        <v>24</v>
      </c>
      <c r="C331" t="s">
        <v>33</v>
      </c>
      <c r="D331" t="s">
        <v>34</v>
      </c>
      <c r="E331" t="s">
        <v>309</v>
      </c>
      <c r="F331" t="s">
        <v>42</v>
      </c>
      <c r="G331" s="20" t="s">
        <v>151</v>
      </c>
      <c r="H331" s="21" t="s">
        <v>152</v>
      </c>
      <c r="I331" t="s">
        <v>254</v>
      </c>
      <c r="J331" t="s">
        <v>42</v>
      </c>
      <c r="K331" t="s">
        <v>334</v>
      </c>
      <c r="L331" t="s">
        <v>44</v>
      </c>
      <c r="N331">
        <v>648</v>
      </c>
      <c r="O331" t="s">
        <v>155</v>
      </c>
      <c r="P331" t="s">
        <v>223</v>
      </c>
      <c r="Q331" s="6">
        <v>45210</v>
      </c>
      <c r="R331">
        <v>1</v>
      </c>
      <c r="S331" t="s">
        <v>166</v>
      </c>
      <c r="T331" t="s">
        <v>72</v>
      </c>
      <c r="U331" t="s">
        <v>271</v>
      </c>
      <c r="AD331">
        <v>2</v>
      </c>
      <c r="AE331" s="7" t="s">
        <v>180</v>
      </c>
      <c r="AF331">
        <v>13</v>
      </c>
      <c r="AG331">
        <v>12</v>
      </c>
      <c r="AH331">
        <v>7</v>
      </c>
      <c r="AI331">
        <v>410</v>
      </c>
    </row>
  </sheetData>
  <autoFilter ref="A1:AI331" xr:uid="{BE7B3292-0083-42A9-A1AE-63E97614D3EA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B22D-4732-4146-B967-011CFCFDB249}">
  <dimension ref="A1:C19"/>
  <sheetViews>
    <sheetView workbookViewId="0">
      <selection activeCell="B5" sqref="B5"/>
    </sheetView>
  </sheetViews>
  <sheetFormatPr defaultRowHeight="14.5" x14ac:dyDescent="0.35"/>
  <cols>
    <col min="1" max="1" width="12.453125" bestFit="1" customWidth="1"/>
    <col min="2" max="3" width="25.1796875" bestFit="1" customWidth="1"/>
  </cols>
  <sheetData>
    <row r="1" spans="1:3" x14ac:dyDescent="0.35">
      <c r="A1" s="15" t="s">
        <v>235</v>
      </c>
      <c r="B1" t="s">
        <v>336</v>
      </c>
    </row>
    <row r="2" spans="1:3" x14ac:dyDescent="0.35">
      <c r="A2" s="16" t="s">
        <v>119</v>
      </c>
      <c r="B2" s="23">
        <v>177</v>
      </c>
      <c r="C2" t="s">
        <v>337</v>
      </c>
    </row>
    <row r="3" spans="1:3" x14ac:dyDescent="0.35">
      <c r="A3" s="25" t="s">
        <v>107</v>
      </c>
      <c r="B3" s="23">
        <v>158</v>
      </c>
      <c r="C3">
        <f>GETPIVOTDATA("foragingbehaviour",$A$1,"range","Invasive","foragingbehaviour","Biting")/SUM(B3:B5)*100</f>
        <v>89.265536723163848</v>
      </c>
    </row>
    <row r="4" spans="1:3" x14ac:dyDescent="0.35">
      <c r="A4" s="25" t="s">
        <v>229</v>
      </c>
      <c r="B4" s="23">
        <v>13</v>
      </c>
      <c r="C4">
        <f>GETPIVOTDATA("foragingbehaviour",$A$1,"range","Invasive","foragingbehaviour","Buzzing")/SUM(B3:B5)*100</f>
        <v>7.3446327683615822</v>
      </c>
    </row>
    <row r="5" spans="1:3" x14ac:dyDescent="0.35">
      <c r="A5" s="25" t="s">
        <v>72</v>
      </c>
      <c r="B5" s="23">
        <v>6</v>
      </c>
      <c r="C5">
        <f>GETPIVOTDATA("foragingbehaviour",$A$1,"range","Invasive","foragingbehaviour","Gleaning")/SUM(B3:B5)*100</f>
        <v>3.3898305084745761</v>
      </c>
    </row>
    <row r="6" spans="1:3" x14ac:dyDescent="0.35">
      <c r="A6" s="16" t="s">
        <v>155</v>
      </c>
      <c r="B6" s="23">
        <v>153</v>
      </c>
    </row>
    <row r="7" spans="1:3" x14ac:dyDescent="0.35">
      <c r="A7" s="25" t="s">
        <v>229</v>
      </c>
      <c r="B7" s="23">
        <v>3</v>
      </c>
      <c r="C7">
        <f>GETPIVOTDATA("foragingbehaviour",$A$1,"range","Native","foragingbehaviour","Buzzing")/SUM(B7:B9)*100</f>
        <v>1.9607843137254901</v>
      </c>
    </row>
    <row r="8" spans="1:3" x14ac:dyDescent="0.35">
      <c r="A8" s="25" t="s">
        <v>72</v>
      </c>
      <c r="B8" s="23">
        <v>144</v>
      </c>
      <c r="C8">
        <f>GETPIVOTDATA("foragingbehaviour",$A$1,"range","Native","foragingbehaviour","Gleaning")/SUM(B7:B9)*100</f>
        <v>94.117647058823522</v>
      </c>
    </row>
    <row r="9" spans="1:3" x14ac:dyDescent="0.35">
      <c r="A9" s="25" t="s">
        <v>230</v>
      </c>
      <c r="B9" s="23">
        <v>6</v>
      </c>
      <c r="C9">
        <f>GETPIVOTDATA("foragingbehaviour",$A$1,"range","Native","foragingbehaviour","Licking")/SUM(B7:B9)*100</f>
        <v>3.9215686274509802</v>
      </c>
    </row>
    <row r="10" spans="1:3" x14ac:dyDescent="0.35">
      <c r="A10" s="16" t="s">
        <v>256</v>
      </c>
      <c r="B10" s="23">
        <v>330</v>
      </c>
    </row>
    <row r="15" spans="1:3" x14ac:dyDescent="0.35">
      <c r="A15" s="24" t="s">
        <v>335</v>
      </c>
      <c r="B15" t="s">
        <v>338</v>
      </c>
    </row>
    <row r="16" spans="1:3" x14ac:dyDescent="0.35">
      <c r="A16" s="23">
        <v>371</v>
      </c>
      <c r="B16">
        <f>(371-158-6)/(371-13)*100</f>
        <v>57.821229050279335</v>
      </c>
    </row>
    <row r="17" spans="1:2" x14ac:dyDescent="0.35">
      <c r="A17" s="23">
        <v>553</v>
      </c>
      <c r="B17">
        <f>(553-150)/550*100</f>
        <v>73.27272727272728</v>
      </c>
    </row>
    <row r="18" spans="1:2" x14ac:dyDescent="0.35">
      <c r="A18" s="26">
        <v>924</v>
      </c>
    </row>
    <row r="19" spans="1:2" x14ac:dyDescent="0.35">
      <c r="A19" s="20" t="s">
        <v>339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6A2C-49DA-4FAF-ACA2-121AD6160B07}">
  <dimension ref="A1:E40"/>
  <sheetViews>
    <sheetView workbookViewId="0">
      <selection activeCell="G33" sqref="G33"/>
    </sheetView>
  </sheetViews>
  <sheetFormatPr defaultRowHeight="14.5" x14ac:dyDescent="0.35"/>
  <cols>
    <col min="2" max="2" width="23.453125" customWidth="1"/>
    <col min="3" max="3" width="12.54296875" customWidth="1"/>
    <col min="4" max="4" width="13.81640625" customWidth="1"/>
  </cols>
  <sheetData>
    <row r="1" spans="1:5" x14ac:dyDescent="0.35">
      <c r="A1" t="s">
        <v>269</v>
      </c>
      <c r="B1" t="s">
        <v>8</v>
      </c>
      <c r="C1" t="s">
        <v>198</v>
      </c>
      <c r="D1" t="s">
        <v>278</v>
      </c>
      <c r="E1" t="s">
        <v>279</v>
      </c>
    </row>
    <row r="2" spans="1:5" x14ac:dyDescent="0.35">
      <c r="A2" t="s">
        <v>119</v>
      </c>
      <c r="B2" t="s">
        <v>236</v>
      </c>
      <c r="C2" t="s">
        <v>276</v>
      </c>
      <c r="E2" t="s">
        <v>266</v>
      </c>
    </row>
    <row r="3" spans="1:5" x14ac:dyDescent="0.35">
      <c r="A3" t="s">
        <v>119</v>
      </c>
      <c r="B3" t="s">
        <v>237</v>
      </c>
      <c r="C3" t="s">
        <v>198</v>
      </c>
      <c r="D3" t="s">
        <v>229</v>
      </c>
      <c r="E3" t="s">
        <v>267</v>
      </c>
    </row>
    <row r="4" spans="1:5" x14ac:dyDescent="0.35">
      <c r="A4" t="s">
        <v>119</v>
      </c>
      <c r="B4" t="s">
        <v>70</v>
      </c>
      <c r="C4" t="s">
        <v>198</v>
      </c>
      <c r="D4" t="s">
        <v>277</v>
      </c>
      <c r="E4" t="s">
        <v>266</v>
      </c>
    </row>
    <row r="5" spans="1:5" x14ac:dyDescent="0.35">
      <c r="A5" t="s">
        <v>119</v>
      </c>
      <c r="B5" t="s">
        <v>241</v>
      </c>
      <c r="C5" t="s">
        <v>198</v>
      </c>
      <c r="D5" t="s">
        <v>277</v>
      </c>
      <c r="E5" t="s">
        <v>266</v>
      </c>
    </row>
    <row r="6" spans="1:5" x14ac:dyDescent="0.35">
      <c r="A6" t="s">
        <v>119</v>
      </c>
      <c r="B6" t="s">
        <v>92</v>
      </c>
      <c r="C6" t="s">
        <v>276</v>
      </c>
      <c r="E6" t="s">
        <v>266</v>
      </c>
    </row>
    <row r="7" spans="1:5" x14ac:dyDescent="0.35">
      <c r="A7" t="s">
        <v>119</v>
      </c>
      <c r="B7" t="s">
        <v>100</v>
      </c>
      <c r="C7" t="s">
        <v>276</v>
      </c>
      <c r="E7" t="s">
        <v>266</v>
      </c>
    </row>
    <row r="8" spans="1:5" x14ac:dyDescent="0.35">
      <c r="A8" t="s">
        <v>119</v>
      </c>
      <c r="B8" t="s">
        <v>49</v>
      </c>
      <c r="C8" t="s">
        <v>276</v>
      </c>
      <c r="E8" t="s">
        <v>266</v>
      </c>
    </row>
    <row r="9" spans="1:5" x14ac:dyDescent="0.35">
      <c r="A9" t="s">
        <v>119</v>
      </c>
      <c r="B9" t="s">
        <v>94</v>
      </c>
      <c r="C9" t="s">
        <v>276</v>
      </c>
      <c r="E9" t="s">
        <v>266</v>
      </c>
    </row>
    <row r="10" spans="1:5" x14ac:dyDescent="0.35">
      <c r="A10" t="s">
        <v>119</v>
      </c>
      <c r="B10" t="s">
        <v>97</v>
      </c>
      <c r="C10" t="s">
        <v>276</v>
      </c>
      <c r="E10" t="s">
        <v>266</v>
      </c>
    </row>
    <row r="11" spans="1:5" x14ac:dyDescent="0.35">
      <c r="A11" t="s">
        <v>119</v>
      </c>
      <c r="B11" t="s">
        <v>111</v>
      </c>
      <c r="C11" t="s">
        <v>276</v>
      </c>
      <c r="E11" t="s">
        <v>266</v>
      </c>
    </row>
    <row r="12" spans="1:5" x14ac:dyDescent="0.35">
      <c r="A12" t="s">
        <v>119</v>
      </c>
      <c r="B12" t="s">
        <v>258</v>
      </c>
      <c r="C12" t="s">
        <v>198</v>
      </c>
      <c r="D12" t="s">
        <v>229</v>
      </c>
      <c r="E12" t="s">
        <v>266</v>
      </c>
    </row>
    <row r="13" spans="1:5" x14ac:dyDescent="0.35">
      <c r="A13" t="s">
        <v>119</v>
      </c>
      <c r="B13" t="s">
        <v>244</v>
      </c>
      <c r="C13" t="s">
        <v>198</v>
      </c>
      <c r="D13" t="s">
        <v>229</v>
      </c>
      <c r="E13" t="s">
        <v>266</v>
      </c>
    </row>
    <row r="14" spans="1:5" x14ac:dyDescent="0.35">
      <c r="A14" t="s">
        <v>119</v>
      </c>
      <c r="B14" t="s">
        <v>245</v>
      </c>
      <c r="C14" t="s">
        <v>198</v>
      </c>
      <c r="D14" t="s">
        <v>229</v>
      </c>
      <c r="E14" t="s">
        <v>267</v>
      </c>
    </row>
    <row r="15" spans="1:5" x14ac:dyDescent="0.35">
      <c r="A15" t="s">
        <v>119</v>
      </c>
      <c r="B15" t="s">
        <v>42</v>
      </c>
      <c r="C15" t="s">
        <v>198</v>
      </c>
      <c r="D15" t="s">
        <v>277</v>
      </c>
      <c r="E15" t="s">
        <v>266</v>
      </c>
    </row>
    <row r="16" spans="1:5" x14ac:dyDescent="0.35">
      <c r="A16" t="s">
        <v>119</v>
      </c>
      <c r="B16" t="s">
        <v>247</v>
      </c>
      <c r="C16" t="s">
        <v>198</v>
      </c>
      <c r="D16" t="s">
        <v>277</v>
      </c>
      <c r="E16" t="s">
        <v>266</v>
      </c>
    </row>
    <row r="17" spans="1:5" x14ac:dyDescent="0.35">
      <c r="A17" t="s">
        <v>119</v>
      </c>
      <c r="B17" t="s">
        <v>249</v>
      </c>
      <c r="C17" t="s">
        <v>198</v>
      </c>
      <c r="D17" t="s">
        <v>277</v>
      </c>
      <c r="E17" t="s">
        <v>267</v>
      </c>
    </row>
    <row r="18" spans="1:5" x14ac:dyDescent="0.35">
      <c r="A18" t="s">
        <v>119</v>
      </c>
      <c r="B18" t="s">
        <v>83</v>
      </c>
      <c r="C18" t="s">
        <v>198</v>
      </c>
      <c r="D18" t="s">
        <v>229</v>
      </c>
      <c r="E18" t="s">
        <v>266</v>
      </c>
    </row>
    <row r="19" spans="1:5" x14ac:dyDescent="0.35">
      <c r="A19" t="s">
        <v>119</v>
      </c>
      <c r="B19" t="s">
        <v>252</v>
      </c>
      <c r="C19" t="s">
        <v>276</v>
      </c>
      <c r="E19" t="s">
        <v>266</v>
      </c>
    </row>
    <row r="20" spans="1:5" x14ac:dyDescent="0.35">
      <c r="A20" t="s">
        <v>119</v>
      </c>
      <c r="B20" t="s">
        <v>102</v>
      </c>
      <c r="C20" t="s">
        <v>276</v>
      </c>
      <c r="E20" t="s">
        <v>266</v>
      </c>
    </row>
    <row r="21" spans="1:5" x14ac:dyDescent="0.35">
      <c r="A21" t="s">
        <v>119</v>
      </c>
      <c r="B21" t="s">
        <v>253</v>
      </c>
      <c r="C21" t="s">
        <v>198</v>
      </c>
      <c r="D21" t="s">
        <v>277</v>
      </c>
      <c r="E21" t="s">
        <v>266</v>
      </c>
    </row>
    <row r="22" spans="1:5" x14ac:dyDescent="0.35">
      <c r="A22" t="s">
        <v>119</v>
      </c>
      <c r="B22" t="s">
        <v>255</v>
      </c>
      <c r="C22" t="s">
        <v>198</v>
      </c>
      <c r="D22" t="s">
        <v>229</v>
      </c>
      <c r="E22" t="s">
        <v>267</v>
      </c>
    </row>
    <row r="23" spans="1:5" x14ac:dyDescent="0.35">
      <c r="A23" t="s">
        <v>155</v>
      </c>
      <c r="B23" t="s">
        <v>70</v>
      </c>
      <c r="C23" t="s">
        <v>198</v>
      </c>
      <c r="D23" t="s">
        <v>277</v>
      </c>
      <c r="E23" t="s">
        <v>266</v>
      </c>
    </row>
    <row r="24" spans="1:5" x14ac:dyDescent="0.35">
      <c r="A24" t="s">
        <v>155</v>
      </c>
      <c r="B24" t="s">
        <v>259</v>
      </c>
      <c r="C24" t="s">
        <v>198</v>
      </c>
      <c r="D24" t="s">
        <v>229</v>
      </c>
      <c r="E24" t="s">
        <v>266</v>
      </c>
    </row>
    <row r="25" spans="1:5" x14ac:dyDescent="0.35">
      <c r="A25" t="s">
        <v>155</v>
      </c>
      <c r="B25" t="s">
        <v>238</v>
      </c>
      <c r="C25" t="s">
        <v>198</v>
      </c>
      <c r="D25" t="s">
        <v>229</v>
      </c>
      <c r="E25" t="s">
        <v>266</v>
      </c>
    </row>
    <row r="26" spans="1:5" x14ac:dyDescent="0.35">
      <c r="A26" t="s">
        <v>155</v>
      </c>
      <c r="B26" t="s">
        <v>239</v>
      </c>
      <c r="C26" t="s">
        <v>198</v>
      </c>
      <c r="D26" t="s">
        <v>229</v>
      </c>
      <c r="E26" t="s">
        <v>266</v>
      </c>
    </row>
    <row r="27" spans="1:5" x14ac:dyDescent="0.35">
      <c r="A27" t="s">
        <v>155</v>
      </c>
      <c r="B27" t="s">
        <v>240</v>
      </c>
      <c r="C27" t="s">
        <v>198</v>
      </c>
      <c r="D27" t="s">
        <v>229</v>
      </c>
      <c r="E27" t="s">
        <v>266</v>
      </c>
    </row>
    <row r="28" spans="1:5" x14ac:dyDescent="0.35">
      <c r="A28" t="s">
        <v>155</v>
      </c>
      <c r="B28" t="s">
        <v>242</v>
      </c>
      <c r="C28" t="s">
        <v>198</v>
      </c>
      <c r="D28" t="s">
        <v>229</v>
      </c>
      <c r="E28" t="s">
        <v>267</v>
      </c>
    </row>
    <row r="29" spans="1:5" x14ac:dyDescent="0.35">
      <c r="A29" t="s">
        <v>155</v>
      </c>
      <c r="B29" t="s">
        <v>111</v>
      </c>
      <c r="C29" t="s">
        <v>276</v>
      </c>
      <c r="E29" t="s">
        <v>266</v>
      </c>
    </row>
    <row r="30" spans="1:5" x14ac:dyDescent="0.35">
      <c r="A30" t="s">
        <v>155</v>
      </c>
      <c r="B30" t="s">
        <v>243</v>
      </c>
      <c r="C30" t="s">
        <v>198</v>
      </c>
      <c r="D30" t="s">
        <v>277</v>
      </c>
      <c r="E30" t="s">
        <v>266</v>
      </c>
    </row>
    <row r="31" spans="1:5" x14ac:dyDescent="0.35">
      <c r="A31" t="s">
        <v>155</v>
      </c>
      <c r="B31" t="s">
        <v>258</v>
      </c>
      <c r="C31" t="s">
        <v>198</v>
      </c>
      <c r="D31" t="s">
        <v>229</v>
      </c>
      <c r="E31" t="s">
        <v>266</v>
      </c>
    </row>
    <row r="32" spans="1:5" x14ac:dyDescent="0.35">
      <c r="A32" t="s">
        <v>155</v>
      </c>
      <c r="B32" t="s">
        <v>261</v>
      </c>
      <c r="C32" t="s">
        <v>198</v>
      </c>
      <c r="D32" t="s">
        <v>229</v>
      </c>
      <c r="E32" t="s">
        <v>266</v>
      </c>
    </row>
    <row r="33" spans="1:5" x14ac:dyDescent="0.35">
      <c r="A33" t="s">
        <v>155</v>
      </c>
      <c r="B33" t="s">
        <v>260</v>
      </c>
      <c r="C33" t="s">
        <v>198</v>
      </c>
      <c r="D33" t="s">
        <v>229</v>
      </c>
      <c r="E33" t="s">
        <v>266</v>
      </c>
    </row>
    <row r="34" spans="1:5" x14ac:dyDescent="0.35">
      <c r="A34" t="s">
        <v>155</v>
      </c>
      <c r="B34" t="s">
        <v>85</v>
      </c>
      <c r="C34" t="s">
        <v>276</v>
      </c>
      <c r="E34" t="s">
        <v>266</v>
      </c>
    </row>
    <row r="35" spans="1:5" x14ac:dyDescent="0.35">
      <c r="A35" t="s">
        <v>155</v>
      </c>
      <c r="B35" t="s">
        <v>246</v>
      </c>
      <c r="C35" t="s">
        <v>198</v>
      </c>
      <c r="D35" t="s">
        <v>229</v>
      </c>
      <c r="E35" t="s">
        <v>267</v>
      </c>
    </row>
    <row r="36" spans="1:5" x14ac:dyDescent="0.35">
      <c r="A36" t="s">
        <v>155</v>
      </c>
      <c r="B36" t="s">
        <v>248</v>
      </c>
      <c r="C36" t="s">
        <v>198</v>
      </c>
      <c r="D36" t="s">
        <v>277</v>
      </c>
      <c r="E36" t="s">
        <v>266</v>
      </c>
    </row>
    <row r="37" spans="1:5" x14ac:dyDescent="0.35">
      <c r="A37" t="s">
        <v>155</v>
      </c>
      <c r="B37" t="s">
        <v>250</v>
      </c>
      <c r="C37" t="s">
        <v>198</v>
      </c>
      <c r="D37" t="s">
        <v>277</v>
      </c>
      <c r="E37" t="s">
        <v>266</v>
      </c>
    </row>
    <row r="38" spans="1:5" x14ac:dyDescent="0.35">
      <c r="A38" t="s">
        <v>155</v>
      </c>
      <c r="B38" t="s">
        <v>251</v>
      </c>
      <c r="C38" t="s">
        <v>198</v>
      </c>
      <c r="D38" t="s">
        <v>229</v>
      </c>
      <c r="E38" t="s">
        <v>225</v>
      </c>
    </row>
    <row r="39" spans="1:5" x14ac:dyDescent="0.35">
      <c r="A39" t="s">
        <v>155</v>
      </c>
      <c r="B39" t="s">
        <v>254</v>
      </c>
      <c r="C39" t="s">
        <v>198</v>
      </c>
      <c r="D39" t="s">
        <v>277</v>
      </c>
      <c r="E39" t="s">
        <v>266</v>
      </c>
    </row>
    <row r="40" spans="1:5" x14ac:dyDescent="0.35">
      <c r="A40" t="s">
        <v>155</v>
      </c>
      <c r="B40" t="s">
        <v>114</v>
      </c>
      <c r="C40" t="s">
        <v>276</v>
      </c>
      <c r="E40" t="s">
        <v>266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940B-8ECB-4E50-B299-F52A8EE64129}">
  <dimension ref="A1:G39"/>
  <sheetViews>
    <sheetView workbookViewId="0">
      <selection activeCell="H25" sqref="H25"/>
    </sheetView>
  </sheetViews>
  <sheetFormatPr defaultRowHeight="14.5" x14ac:dyDescent="0.35"/>
  <cols>
    <col min="4" max="4" width="33.453125" customWidth="1"/>
    <col min="7" max="7" width="13.7265625" customWidth="1"/>
  </cols>
  <sheetData>
    <row r="1" spans="1:7" x14ac:dyDescent="0.35">
      <c r="B1" t="s">
        <v>119</v>
      </c>
      <c r="C1">
        <v>34.5</v>
      </c>
      <c r="D1" t="s">
        <v>299</v>
      </c>
      <c r="E1">
        <v>1</v>
      </c>
      <c r="F1">
        <v>6039</v>
      </c>
      <c r="G1">
        <v>4.7997199999999997E-6</v>
      </c>
    </row>
    <row r="2" spans="1:7" x14ac:dyDescent="0.35">
      <c r="A2">
        <v>2</v>
      </c>
      <c r="B2" t="s">
        <v>119</v>
      </c>
      <c r="C2">
        <v>34.5</v>
      </c>
      <c r="D2" t="s">
        <v>286</v>
      </c>
      <c r="E2">
        <v>4</v>
      </c>
      <c r="F2">
        <v>6039</v>
      </c>
      <c r="G2">
        <v>1.9198879999999999E-5</v>
      </c>
    </row>
    <row r="3" spans="1:7" x14ac:dyDescent="0.35">
      <c r="A3">
        <v>3</v>
      </c>
      <c r="B3" t="s">
        <v>119</v>
      </c>
      <c r="C3">
        <v>34.5</v>
      </c>
      <c r="D3" t="s">
        <v>281</v>
      </c>
      <c r="E3">
        <v>22</v>
      </c>
      <c r="F3">
        <v>6039</v>
      </c>
      <c r="G3">
        <v>1.0559380000000001E-4</v>
      </c>
    </row>
    <row r="4" spans="1:7" x14ac:dyDescent="0.35">
      <c r="A4">
        <v>17</v>
      </c>
      <c r="B4" t="s">
        <v>119</v>
      </c>
      <c r="C4">
        <v>34.5</v>
      </c>
      <c r="D4" t="s">
        <v>289</v>
      </c>
      <c r="E4">
        <v>3</v>
      </c>
      <c r="F4">
        <v>6039</v>
      </c>
      <c r="G4">
        <v>1.439916E-5</v>
      </c>
    </row>
    <row r="5" spans="1:7" x14ac:dyDescent="0.35">
      <c r="A5">
        <v>5</v>
      </c>
      <c r="B5" t="s">
        <v>119</v>
      </c>
      <c r="C5">
        <v>34.5</v>
      </c>
      <c r="D5" t="s">
        <v>92</v>
      </c>
      <c r="E5">
        <v>1</v>
      </c>
      <c r="F5">
        <v>6039</v>
      </c>
      <c r="G5">
        <v>4.7997199999999997E-6</v>
      </c>
    </row>
    <row r="6" spans="1:7" x14ac:dyDescent="0.35">
      <c r="A6">
        <v>19</v>
      </c>
      <c r="B6" t="s">
        <v>119</v>
      </c>
      <c r="C6">
        <v>34.5</v>
      </c>
      <c r="D6" t="s">
        <v>100</v>
      </c>
      <c r="E6">
        <v>1</v>
      </c>
      <c r="F6">
        <v>6039</v>
      </c>
      <c r="G6">
        <v>4.7997199999999997E-6</v>
      </c>
    </row>
    <row r="7" spans="1:7" x14ac:dyDescent="0.35">
      <c r="D7" t="s">
        <v>49</v>
      </c>
    </row>
    <row r="8" spans="1:7" x14ac:dyDescent="0.35">
      <c r="A8">
        <v>16</v>
      </c>
      <c r="B8" t="s">
        <v>119</v>
      </c>
      <c r="C8">
        <v>34.5</v>
      </c>
      <c r="D8" t="s">
        <v>94</v>
      </c>
      <c r="E8">
        <v>1</v>
      </c>
      <c r="F8">
        <v>6039</v>
      </c>
      <c r="G8">
        <v>4.7997199999999997E-6</v>
      </c>
    </row>
    <row r="9" spans="1:7" x14ac:dyDescent="0.35">
      <c r="A9">
        <v>8</v>
      </c>
      <c r="B9" t="s">
        <v>119</v>
      </c>
      <c r="C9">
        <v>34.5</v>
      </c>
      <c r="D9" t="s">
        <v>300</v>
      </c>
      <c r="E9">
        <v>1</v>
      </c>
      <c r="F9">
        <v>6039</v>
      </c>
      <c r="G9">
        <v>4.7997199999999997E-6</v>
      </c>
    </row>
    <row r="10" spans="1:7" x14ac:dyDescent="0.35">
      <c r="A10">
        <v>10</v>
      </c>
      <c r="B10" t="s">
        <v>119</v>
      </c>
      <c r="C10">
        <v>34.5</v>
      </c>
      <c r="D10" t="s">
        <v>111</v>
      </c>
      <c r="E10">
        <v>1</v>
      </c>
      <c r="F10">
        <v>6039</v>
      </c>
      <c r="G10">
        <v>4.7997199999999997E-6</v>
      </c>
    </row>
    <row r="11" spans="1:7" x14ac:dyDescent="0.35">
      <c r="A11">
        <v>4</v>
      </c>
      <c r="B11" t="s">
        <v>119</v>
      </c>
      <c r="C11">
        <v>34.5</v>
      </c>
      <c r="D11" t="s">
        <v>293</v>
      </c>
      <c r="E11">
        <v>3</v>
      </c>
      <c r="F11">
        <v>6039</v>
      </c>
      <c r="G11">
        <v>1.439916E-5</v>
      </c>
    </row>
    <row r="12" spans="1:7" x14ac:dyDescent="0.35">
      <c r="A12">
        <v>13</v>
      </c>
      <c r="B12" t="s">
        <v>119</v>
      </c>
      <c r="C12">
        <v>34.5</v>
      </c>
      <c r="D12" t="s">
        <v>287</v>
      </c>
      <c r="E12">
        <v>3</v>
      </c>
      <c r="F12">
        <v>6039</v>
      </c>
      <c r="G12">
        <v>1.439916E-5</v>
      </c>
    </row>
    <row r="13" spans="1:7" x14ac:dyDescent="0.35">
      <c r="A13">
        <v>11</v>
      </c>
      <c r="B13" t="s">
        <v>119</v>
      </c>
      <c r="C13">
        <v>34.5</v>
      </c>
      <c r="D13" t="s">
        <v>284</v>
      </c>
      <c r="E13">
        <v>6</v>
      </c>
      <c r="F13">
        <v>6039</v>
      </c>
      <c r="G13">
        <v>2.879832E-5</v>
      </c>
    </row>
    <row r="14" spans="1:7" x14ac:dyDescent="0.35">
      <c r="A14">
        <v>15</v>
      </c>
      <c r="B14" t="s">
        <v>119</v>
      </c>
      <c r="C14">
        <v>34.5</v>
      </c>
      <c r="D14" t="s">
        <v>42</v>
      </c>
      <c r="E14">
        <v>64</v>
      </c>
      <c r="F14">
        <v>6039</v>
      </c>
      <c r="G14">
        <v>3.0718210000000001E-4</v>
      </c>
    </row>
    <row r="15" spans="1:7" x14ac:dyDescent="0.35">
      <c r="A15">
        <v>18</v>
      </c>
      <c r="B15" t="s">
        <v>119</v>
      </c>
      <c r="C15">
        <v>34.5</v>
      </c>
      <c r="D15" t="s">
        <v>283</v>
      </c>
      <c r="E15">
        <v>7</v>
      </c>
      <c r="F15">
        <v>6039</v>
      </c>
      <c r="G15">
        <v>3.3598040000000002E-5</v>
      </c>
    </row>
    <row r="16" spans="1:7" x14ac:dyDescent="0.35">
      <c r="A16">
        <v>20</v>
      </c>
      <c r="B16" t="s">
        <v>119</v>
      </c>
      <c r="C16">
        <v>34.5</v>
      </c>
      <c r="D16" t="s">
        <v>288</v>
      </c>
      <c r="E16">
        <v>3</v>
      </c>
      <c r="F16">
        <v>6039</v>
      </c>
      <c r="G16">
        <v>1.439916E-5</v>
      </c>
    </row>
    <row r="17" spans="1:7" x14ac:dyDescent="0.35">
      <c r="A17">
        <v>9</v>
      </c>
      <c r="B17" t="s">
        <v>119</v>
      </c>
      <c r="C17">
        <v>34.5</v>
      </c>
      <c r="D17" t="s">
        <v>285</v>
      </c>
      <c r="E17">
        <v>6</v>
      </c>
      <c r="F17">
        <v>6039</v>
      </c>
      <c r="G17">
        <v>2.879832E-5</v>
      </c>
    </row>
    <row r="18" spans="1:7" x14ac:dyDescent="0.35">
      <c r="A18">
        <v>6</v>
      </c>
      <c r="B18" t="s">
        <v>119</v>
      </c>
      <c r="C18">
        <v>34.5</v>
      </c>
      <c r="D18" t="s">
        <v>301</v>
      </c>
      <c r="E18">
        <v>1</v>
      </c>
      <c r="F18">
        <v>6039</v>
      </c>
      <c r="G18">
        <v>4.7997199999999997E-6</v>
      </c>
    </row>
    <row r="19" spans="1:7" x14ac:dyDescent="0.35">
      <c r="A19">
        <v>7</v>
      </c>
      <c r="B19" t="s">
        <v>119</v>
      </c>
      <c r="C19">
        <v>34.5</v>
      </c>
      <c r="D19" t="s">
        <v>102</v>
      </c>
      <c r="E19">
        <v>1</v>
      </c>
      <c r="F19">
        <v>6039</v>
      </c>
      <c r="G19">
        <v>4.7997199999999997E-6</v>
      </c>
    </row>
    <row r="20" spans="1:7" x14ac:dyDescent="0.35">
      <c r="A20">
        <v>14</v>
      </c>
      <c r="B20" t="s">
        <v>119</v>
      </c>
      <c r="C20">
        <v>34.5</v>
      </c>
      <c r="D20" t="s">
        <v>280</v>
      </c>
      <c r="E20">
        <v>182</v>
      </c>
      <c r="F20">
        <v>6039</v>
      </c>
      <c r="G20">
        <v>8.7354900000000005E-4</v>
      </c>
    </row>
    <row r="21" spans="1:7" x14ac:dyDescent="0.35">
      <c r="A21">
        <v>12</v>
      </c>
      <c r="B21" t="s">
        <v>119</v>
      </c>
      <c r="C21">
        <v>34.5</v>
      </c>
      <c r="D21" t="s">
        <v>282</v>
      </c>
      <c r="E21">
        <v>11</v>
      </c>
      <c r="F21">
        <v>6039</v>
      </c>
      <c r="G21">
        <v>5.2796919999999997E-5</v>
      </c>
    </row>
    <row r="22" spans="1:7" x14ac:dyDescent="0.35">
      <c r="A22">
        <v>28</v>
      </c>
      <c r="B22" t="s">
        <v>155</v>
      </c>
      <c r="C22">
        <v>28.5</v>
      </c>
      <c r="D22" t="s">
        <v>281</v>
      </c>
      <c r="E22">
        <v>643</v>
      </c>
      <c r="F22">
        <v>10651</v>
      </c>
      <c r="G22">
        <v>2.1182430000000001E-3</v>
      </c>
    </row>
    <row r="23" spans="1:7" x14ac:dyDescent="0.35">
      <c r="A23">
        <v>34</v>
      </c>
      <c r="B23" t="s">
        <v>155</v>
      </c>
      <c r="C23">
        <v>28.5</v>
      </c>
      <c r="D23" t="s">
        <v>302</v>
      </c>
      <c r="E23">
        <v>1</v>
      </c>
      <c r="F23">
        <v>10651</v>
      </c>
      <c r="G23">
        <v>3.2943119999999999E-6</v>
      </c>
    </row>
    <row r="24" spans="1:7" x14ac:dyDescent="0.35">
      <c r="A24">
        <v>33</v>
      </c>
      <c r="B24" t="s">
        <v>155</v>
      </c>
      <c r="C24">
        <v>28.5</v>
      </c>
      <c r="D24" t="s">
        <v>295</v>
      </c>
      <c r="E24">
        <v>2</v>
      </c>
      <c r="F24">
        <v>10651</v>
      </c>
      <c r="G24">
        <v>6.5886239999999997E-6</v>
      </c>
    </row>
    <row r="25" spans="1:7" x14ac:dyDescent="0.35">
      <c r="A25">
        <v>31</v>
      </c>
      <c r="B25" t="s">
        <v>155</v>
      </c>
      <c r="C25">
        <v>28.5</v>
      </c>
      <c r="D25" t="s">
        <v>303</v>
      </c>
      <c r="E25">
        <v>1</v>
      </c>
      <c r="F25">
        <v>10651</v>
      </c>
      <c r="G25">
        <v>3.2943119999999999E-6</v>
      </c>
    </row>
    <row r="26" spans="1:7" x14ac:dyDescent="0.35">
      <c r="A26">
        <v>32</v>
      </c>
      <c r="B26" t="s">
        <v>155</v>
      </c>
      <c r="C26">
        <v>28.5</v>
      </c>
      <c r="D26" t="s">
        <v>294</v>
      </c>
      <c r="E26">
        <v>1</v>
      </c>
      <c r="F26">
        <v>10651</v>
      </c>
      <c r="G26">
        <v>3.2943119999999999E-6</v>
      </c>
    </row>
    <row r="27" spans="1:7" x14ac:dyDescent="0.35">
      <c r="A27">
        <v>25</v>
      </c>
      <c r="B27" t="s">
        <v>155</v>
      </c>
      <c r="C27">
        <v>28.5</v>
      </c>
      <c r="D27" t="s">
        <v>297</v>
      </c>
      <c r="E27">
        <v>4</v>
      </c>
      <c r="F27">
        <v>10651</v>
      </c>
      <c r="G27">
        <v>1.317725E-5</v>
      </c>
    </row>
    <row r="28" spans="1:7" x14ac:dyDescent="0.35">
      <c r="A28">
        <v>23</v>
      </c>
      <c r="B28" t="s">
        <v>155</v>
      </c>
      <c r="C28">
        <v>28.5</v>
      </c>
      <c r="D28" t="s">
        <v>111</v>
      </c>
      <c r="E28">
        <v>15</v>
      </c>
      <c r="F28">
        <v>10651</v>
      </c>
      <c r="G28">
        <v>4.9414679999999998E-5</v>
      </c>
    </row>
    <row r="29" spans="1:7" x14ac:dyDescent="0.35">
      <c r="A29">
        <v>29</v>
      </c>
      <c r="B29" t="s">
        <v>155</v>
      </c>
      <c r="C29">
        <v>28.5</v>
      </c>
      <c r="D29" t="s">
        <v>291</v>
      </c>
      <c r="E29">
        <v>25</v>
      </c>
      <c r="F29">
        <v>10651</v>
      </c>
      <c r="G29">
        <v>8.235781E-5</v>
      </c>
    </row>
    <row r="30" spans="1:7" x14ac:dyDescent="0.35">
      <c r="A30">
        <v>30</v>
      </c>
      <c r="B30" t="s">
        <v>155</v>
      </c>
      <c r="C30">
        <v>28.5</v>
      </c>
      <c r="D30" t="s">
        <v>293</v>
      </c>
      <c r="E30">
        <v>3</v>
      </c>
      <c r="F30">
        <v>10651</v>
      </c>
      <c r="G30">
        <v>9.8829369999999994E-6</v>
      </c>
    </row>
    <row r="31" spans="1:7" x14ac:dyDescent="0.35">
      <c r="A31">
        <v>27</v>
      </c>
      <c r="B31" t="s">
        <v>155</v>
      </c>
      <c r="C31">
        <v>28.5</v>
      </c>
      <c r="D31" t="s">
        <v>298</v>
      </c>
      <c r="E31">
        <v>1</v>
      </c>
      <c r="F31">
        <v>10651</v>
      </c>
      <c r="G31">
        <v>3.2943119999999999E-6</v>
      </c>
    </row>
    <row r="32" spans="1:7" x14ac:dyDescent="0.35">
      <c r="A32">
        <v>37</v>
      </c>
      <c r="B32" t="s">
        <v>155</v>
      </c>
      <c r="C32">
        <v>28.5</v>
      </c>
      <c r="D32" t="s">
        <v>304</v>
      </c>
      <c r="E32">
        <v>1</v>
      </c>
      <c r="F32">
        <v>10651</v>
      </c>
      <c r="G32">
        <v>3.2943119999999999E-6</v>
      </c>
    </row>
    <row r="33" spans="1:7" x14ac:dyDescent="0.35">
      <c r="A33">
        <v>21</v>
      </c>
      <c r="B33" t="s">
        <v>155</v>
      </c>
      <c r="C33">
        <v>28.5</v>
      </c>
      <c r="D33" t="s">
        <v>85</v>
      </c>
      <c r="E33">
        <v>1</v>
      </c>
      <c r="F33">
        <v>10651</v>
      </c>
      <c r="G33">
        <v>3.2943119999999999E-6</v>
      </c>
    </row>
    <row r="34" spans="1:7" x14ac:dyDescent="0.35">
      <c r="A34">
        <v>38</v>
      </c>
      <c r="B34" t="s">
        <v>155</v>
      </c>
      <c r="C34">
        <v>28.5</v>
      </c>
      <c r="D34" t="s">
        <v>292</v>
      </c>
      <c r="E34">
        <v>12</v>
      </c>
      <c r="F34">
        <v>10651</v>
      </c>
      <c r="G34">
        <v>3.9531750000000003E-5</v>
      </c>
    </row>
    <row r="35" spans="1:7" x14ac:dyDescent="0.35">
      <c r="A35">
        <v>22</v>
      </c>
      <c r="B35" t="s">
        <v>155</v>
      </c>
      <c r="C35">
        <v>28.5</v>
      </c>
      <c r="D35" t="s">
        <v>305</v>
      </c>
      <c r="E35">
        <v>16</v>
      </c>
      <c r="F35">
        <v>10651</v>
      </c>
      <c r="G35">
        <v>5.2709E-5</v>
      </c>
    </row>
    <row r="36" spans="1:7" x14ac:dyDescent="0.35">
      <c r="A36">
        <v>24</v>
      </c>
      <c r="B36" t="s">
        <v>155</v>
      </c>
      <c r="C36">
        <v>28.5</v>
      </c>
      <c r="D36" t="s">
        <v>296</v>
      </c>
      <c r="E36">
        <v>1</v>
      </c>
      <c r="F36">
        <v>10651</v>
      </c>
      <c r="G36">
        <v>3.2943119999999999E-6</v>
      </c>
    </row>
    <row r="37" spans="1:7" x14ac:dyDescent="0.35">
      <c r="A37">
        <v>26</v>
      </c>
      <c r="B37" t="s">
        <v>155</v>
      </c>
      <c r="C37">
        <v>28.5</v>
      </c>
      <c r="D37" t="s">
        <v>306</v>
      </c>
      <c r="E37">
        <v>1</v>
      </c>
      <c r="F37">
        <v>10651</v>
      </c>
      <c r="G37">
        <v>3.2943119999999999E-6</v>
      </c>
    </row>
    <row r="38" spans="1:7" x14ac:dyDescent="0.35">
      <c r="A38">
        <v>35</v>
      </c>
      <c r="B38" t="s">
        <v>155</v>
      </c>
      <c r="C38">
        <v>28.5</v>
      </c>
      <c r="D38" t="s">
        <v>290</v>
      </c>
      <c r="E38">
        <v>63</v>
      </c>
      <c r="F38">
        <v>10651</v>
      </c>
      <c r="G38">
        <v>2.0754169999999999E-4</v>
      </c>
    </row>
    <row r="39" spans="1:7" x14ac:dyDescent="0.35">
      <c r="A39">
        <v>36</v>
      </c>
      <c r="B39" t="s">
        <v>155</v>
      </c>
      <c r="C39">
        <v>28.5</v>
      </c>
      <c r="D39" t="s">
        <v>114</v>
      </c>
      <c r="E39">
        <v>1</v>
      </c>
      <c r="F39">
        <v>10651</v>
      </c>
      <c r="G39">
        <v>3.2943119999999999E-6</v>
      </c>
    </row>
  </sheetData>
  <sortState xmlns:xlrd2="http://schemas.microsoft.com/office/spreadsheetml/2017/richdata2" ref="A1:G39">
    <sortCondition ref="B1:B39"/>
    <sortCondition ref="D1:D39"/>
  </sortState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FB8398405EA49829965FF4BFC1367" ma:contentTypeVersion="16" ma:contentTypeDescription="Create a new document." ma:contentTypeScope="" ma:versionID="c0ce8fab7cc400fa5157b78c2b749e64">
  <xsd:schema xmlns:xsd="http://www.w3.org/2001/XMLSchema" xmlns:xs="http://www.w3.org/2001/XMLSchema" xmlns:p="http://schemas.microsoft.com/office/2006/metadata/properties" xmlns:ns2="e1a89c82-410f-46ec-8e60-c4089ec8d09b" xmlns:ns3="6d993782-2144-4914-9ddc-0cce7226591f" targetNamespace="http://schemas.microsoft.com/office/2006/metadata/properties" ma:root="true" ma:fieldsID="0b4605754b6f49861a74374a4b699288" ns2:_="" ns3:_="">
    <xsd:import namespace="e1a89c82-410f-46ec-8e60-c4089ec8d09b"/>
    <xsd:import namespace="6d993782-2144-4914-9ddc-0cce722659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a89c82-410f-46ec-8e60-c4089ec8d0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93782-2144-4914-9ddc-0cce7226591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a89c82-410f-46ec-8e60-c4089ec8d0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09FDF-0B83-4097-8A8A-6A894FEE2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77FC0-AE5D-4FCC-B9B8-419E0F77F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a89c82-410f-46ec-8e60-c4089ec8d09b"/>
    <ds:schemaRef ds:uri="6d993782-2144-4914-9ddc-0cce722659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AA5DD0-B252-4ADC-BB16-CF5201610DF8}">
  <ds:schemaRefs>
    <ds:schemaRef ds:uri="http://schemas.microsoft.com/office/2006/metadata/properties"/>
    <ds:schemaRef ds:uri="http://schemas.microsoft.com/office/infopath/2007/PartnerControls"/>
    <ds:schemaRef ds:uri="e1a89c82-410f-46ec-8e60-c4089ec8d0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Floral visitors_ALL</vt:lpstr>
      <vt:lpstr>Floral_visitors_ALL duplicate</vt:lpstr>
      <vt:lpstr>Table 1 Lindsey</vt:lpstr>
      <vt:lpstr>Table S5</vt:lpstr>
      <vt:lpstr>Fig 3 data</vt:lpstr>
      <vt:lpstr>Fig 3 calcs.</vt:lpstr>
      <vt:lpstr>Behaviours</vt:lpstr>
      <vt:lpstr>visitorfrequency_Rcalculation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Lopresti</dc:creator>
  <cp:lastModifiedBy>Laura Lopresti</cp:lastModifiedBy>
  <dcterms:created xsi:type="dcterms:W3CDTF">2024-02-27T00:29:49Z</dcterms:created>
  <dcterms:modified xsi:type="dcterms:W3CDTF">2025-03-21T03:09:46Z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0x0101001D7FB8398405EA49829965FF4BFC1367</vt:lpwstr>
  </property>
</Properties>
</file>