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z3524079/GitHub/austraits.build/data/Doyle_2023/raw/"/>
    </mc:Choice>
  </mc:AlternateContent>
  <xr:revisionPtr revIDLastSave="0" documentId="13_ncr:1_{3C3B7FBE-86CE-014B-A9C2-30DD750F4F2E}" xr6:coauthVersionLast="47" xr6:coauthVersionMax="47" xr10:uidLastSave="{00000000-0000-0000-0000-000000000000}"/>
  <bookViews>
    <workbookView xWindow="0" yWindow="660" windowWidth="19420" windowHeight="11500" xr2:uid="{00000000-000D-0000-FFFF-FFFF00000000}"/>
  </bookViews>
  <sheets>
    <sheet name="Pollinator vistitation" sheetId="2" r:id="rId1"/>
    <sheet name="Raw triggers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" l="1"/>
  <c r="D16" i="2"/>
  <c r="D15" i="2"/>
  <c r="D14" i="2"/>
  <c r="D13" i="2"/>
  <c r="D11" i="2"/>
  <c r="D21" i="2" s="1"/>
  <c r="D10" i="2"/>
  <c r="D8" i="2"/>
  <c r="D7" i="2"/>
  <c r="D5" i="2"/>
  <c r="D3" i="2"/>
  <c r="D2" i="2"/>
  <c r="D7" i="1"/>
  <c r="D14" i="1"/>
  <c r="D3" i="1"/>
  <c r="D8" i="1"/>
  <c r="D10" i="1"/>
  <c r="D16" i="1"/>
  <c r="D18" i="1"/>
  <c r="D2" i="1"/>
  <c r="D5" i="1"/>
  <c r="D13" i="1"/>
  <c r="D11" i="1"/>
  <c r="D15" i="1"/>
  <c r="D21" i="1" l="1"/>
</calcChain>
</file>

<file path=xl/sharedStrings.xml><?xml version="1.0" encoding="utf-8"?>
<sst xmlns="http://schemas.openxmlformats.org/spreadsheetml/2006/main" count="151" uniqueCount="52">
  <si>
    <t>Date</t>
  </si>
  <si>
    <t>DEPLOYED</t>
  </si>
  <si>
    <t>Collected</t>
  </si>
  <si>
    <t>Total hours</t>
  </si>
  <si>
    <t>Location</t>
  </si>
  <si>
    <t xml:space="preserve">Sightings </t>
  </si>
  <si>
    <t>Latitude</t>
  </si>
  <si>
    <t>Longitude</t>
  </si>
  <si>
    <t>19.10.10</t>
  </si>
  <si>
    <t>Translocation Nursey</t>
  </si>
  <si>
    <t xml:space="preserve">Lasioglossum at 10.46
Plus random wandering assasin bug, ants, brown bee fly all captured </t>
  </si>
  <si>
    <t>-33.744166°</t>
  </si>
  <si>
    <t>151.077778°</t>
  </si>
  <si>
    <t>19.10.15</t>
  </si>
  <si>
    <t>Think Auluba</t>
  </si>
  <si>
    <t>Lasioglossum foraging on flowers, characteristic rocking and brushing
at 10.56am, 11.21 am, 11.24 , 11.37,11.47
Also bronze skink and ants but no evidence of floral visiting . Also another bee spp. Flyby</t>
  </si>
  <si>
    <t>-33.750547°</t>
  </si>
  <si>
    <t>151.111714°</t>
  </si>
  <si>
    <t>Auluba</t>
  </si>
  <si>
    <t>Laioglossum 11.07 visit time 11.07.03-11.21 (18seconds)
Lasioglossum 11.08 different flower
Lasioglossum 11.08.37 -11.07.38 (1 sec)
11.10.39-11.10.43 (4 sec)</t>
  </si>
  <si>
    <t>19.09.16</t>
  </si>
  <si>
    <t>None</t>
  </si>
  <si>
    <t xml:space="preserve">Failed </t>
  </si>
  <si>
    <t>19.11.02</t>
  </si>
  <si>
    <t>Lasioglossum and black ants
Lasioglossum sighted at 7.45am last sighting at 9.20am. Ant activity from 7.06-7.25</t>
  </si>
  <si>
    <t>19.08.20</t>
  </si>
  <si>
    <t>Lower level translocation site</t>
  </si>
  <si>
    <t>151.077452°</t>
  </si>
  <si>
    <t>19.10.24</t>
  </si>
  <si>
    <t>-33.743025°</t>
  </si>
  <si>
    <t>19.10.26</t>
  </si>
  <si>
    <t>Auluba plant 85</t>
  </si>
  <si>
    <t>LASIOGLOSSUM X3 AT 7.27
Lasioglossum at 7.37 and spider
Lasioglossum 7.47-7.49 same bee on approx 5 flowers
Lasioglossum at 7.54</t>
  </si>
  <si>
    <t>Lasioglossum at 7.28-7.29 (3 flowers in 1 min), 7.34.44-7.34.59 (14 sec 2 flowers),7.36.46-7.36.47 (1 sec), 7.40.57-7.41.09 (12sec),7.46.29-7.46.33 (4 sec),</t>
  </si>
  <si>
    <t>19.09.26</t>
  </si>
  <si>
    <t>19.09.28</t>
  </si>
  <si>
    <t>Caterpillar on flower at 11.21, still on flower at 12.41. small ants, red mite, tiny black bug,</t>
  </si>
  <si>
    <t>19.11.03</t>
  </si>
  <si>
    <t>Cheltenham</t>
  </si>
  <si>
    <t>-33.758614°</t>
  </si>
  <si>
    <t>151.067345°</t>
  </si>
  <si>
    <t>19.10.31</t>
  </si>
  <si>
    <t>Moving grass triggered . None</t>
  </si>
  <si>
    <t>19.09.04</t>
  </si>
  <si>
    <t>Nursery- translocation planting</t>
  </si>
  <si>
    <t>wasp flies around but never lands on flower
skink but never visits flower
at 11.14 and  11.15 Hoverfly visits flower</t>
  </si>
  <si>
    <t>151.077782°</t>
  </si>
  <si>
    <t>19.11.08</t>
  </si>
  <si>
    <t>8.10 Lasioglossum
8.25 Lasioglossum
8.28 Lasioglossum
8.40 Lasioglossum
8.45 Lasioglossum 
cockroach/cricket
green bug
9.18 Lasioglossum</t>
  </si>
  <si>
    <t>TOTAL HOURS</t>
  </si>
  <si>
    <t xml:space="preserve">Lasioglossum at 10.46
Plus random wandering assasin bug, ants, brown fly all captured </t>
  </si>
  <si>
    <t>Lasionglossum foraging on flowers, characteristic rocking and brushing
at 10.56am, 11.21 am, 11.24 , 11.37,11.47
Also bronze skink and ants but no evidence of floral visiting . Also another bee spp. Flyby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</si>
</sst>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A780-FDDA-4EDA-8E94-28F657166DB1}">
  <dimension ref="A1:H21"/>
  <sheetViews>
    <sheetView tabSelected="1" topLeftCell="A3" workbookViewId="0">
      <selection activeCell="G8" sqref="G8"/>
    </sheetView>
  </sheetViews>
  <sheetFormatPr baseColWidth="10" defaultColWidth="8.83203125" defaultRowHeight="15" x14ac:dyDescent="0.2"/>
  <cols>
    <col min="1" max="1" width="7.83203125" bestFit="1" customWidth="1"/>
    <col min="2" max="2" width="9.5" bestFit="1" customWidth="1"/>
    <col min="3" max="3" width="12.5" bestFit="1" customWidth="1"/>
    <col min="4" max="4" width="10.33203125" bestFit="1" customWidth="1"/>
    <col min="5" max="5" width="26.83203125" bestFit="1" customWidth="1"/>
    <col min="6" max="6" width="61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2" x14ac:dyDescent="0.2">
      <c r="A2" t="s">
        <v>8</v>
      </c>
      <c r="B2">
        <v>10</v>
      </c>
      <c r="C2">
        <v>12.47</v>
      </c>
      <c r="D2">
        <f>C2-B2</f>
        <v>2.4700000000000006</v>
      </c>
      <c r="E2" t="s">
        <v>9</v>
      </c>
      <c r="F2" s="1" t="s">
        <v>10</v>
      </c>
      <c r="G2" t="s">
        <v>11</v>
      </c>
      <c r="H2" t="s">
        <v>12</v>
      </c>
    </row>
    <row r="3" spans="1:8" ht="64" x14ac:dyDescent="0.2">
      <c r="A3" t="s">
        <v>13</v>
      </c>
      <c r="B3">
        <v>11.11</v>
      </c>
      <c r="C3">
        <v>13.41</v>
      </c>
      <c r="D3">
        <f>C3-B3</f>
        <v>2.3000000000000007</v>
      </c>
      <c r="E3" t="s">
        <v>14</v>
      </c>
      <c r="F3" s="1" t="s">
        <v>15</v>
      </c>
      <c r="G3" t="s">
        <v>16</v>
      </c>
      <c r="H3" t="s">
        <v>17</v>
      </c>
    </row>
    <row r="4" spans="1:8" ht="64" x14ac:dyDescent="0.2">
      <c r="A4" t="s">
        <v>13</v>
      </c>
      <c r="B4">
        <v>10.59</v>
      </c>
      <c r="C4">
        <v>12.3</v>
      </c>
      <c r="D4">
        <v>1.04</v>
      </c>
      <c r="E4" t="s">
        <v>18</v>
      </c>
      <c r="F4" s="1" t="s">
        <v>19</v>
      </c>
      <c r="G4" t="s">
        <v>16</v>
      </c>
      <c r="H4" t="s">
        <v>17</v>
      </c>
    </row>
    <row r="5" spans="1:8" ht="16" x14ac:dyDescent="0.2">
      <c r="A5" t="s">
        <v>20</v>
      </c>
      <c r="B5">
        <v>9.09</v>
      </c>
      <c r="C5">
        <v>10.09</v>
      </c>
      <c r="D5">
        <f>C5-B5</f>
        <v>1</v>
      </c>
      <c r="E5" t="s">
        <v>9</v>
      </c>
      <c r="F5" s="1" t="s">
        <v>21</v>
      </c>
      <c r="G5" t="s">
        <v>11</v>
      </c>
      <c r="H5" t="s">
        <v>12</v>
      </c>
    </row>
    <row r="6" spans="1:8" x14ac:dyDescent="0.2">
      <c r="C6" t="s">
        <v>22</v>
      </c>
    </row>
    <row r="7" spans="1:8" ht="48" x14ac:dyDescent="0.2">
      <c r="A7" t="s">
        <v>23</v>
      </c>
      <c r="B7">
        <v>7</v>
      </c>
      <c r="C7">
        <v>10</v>
      </c>
      <c r="D7">
        <f>C7-B7</f>
        <v>3</v>
      </c>
      <c r="E7" t="s">
        <v>18</v>
      </c>
      <c r="F7" s="1" t="s">
        <v>24</v>
      </c>
      <c r="G7" t="s">
        <v>16</v>
      </c>
      <c r="H7" t="s">
        <v>17</v>
      </c>
    </row>
    <row r="8" spans="1:8" ht="16" x14ac:dyDescent="0.2">
      <c r="A8" t="s">
        <v>25</v>
      </c>
      <c r="B8">
        <v>2.02</v>
      </c>
      <c r="C8">
        <v>2.52</v>
      </c>
      <c r="D8">
        <f>C8-B8</f>
        <v>0.5</v>
      </c>
      <c r="E8" t="s">
        <v>26</v>
      </c>
      <c r="F8" s="1" t="s">
        <v>21</v>
      </c>
      <c r="G8" t="s">
        <v>16</v>
      </c>
      <c r="H8" t="s">
        <v>27</v>
      </c>
    </row>
    <row r="9" spans="1:8" ht="16" x14ac:dyDescent="0.2">
      <c r="A9" t="s">
        <v>28</v>
      </c>
      <c r="B9">
        <v>11.3</v>
      </c>
      <c r="C9">
        <v>12</v>
      </c>
      <c r="D9">
        <v>0.3</v>
      </c>
      <c r="E9" t="s">
        <v>26</v>
      </c>
      <c r="F9" s="1" t="s">
        <v>21</v>
      </c>
      <c r="G9" t="s">
        <v>29</v>
      </c>
      <c r="H9" t="s">
        <v>27</v>
      </c>
    </row>
    <row r="10" spans="1:8" ht="64" x14ac:dyDescent="0.2">
      <c r="A10" t="s">
        <v>30</v>
      </c>
      <c r="B10">
        <v>7.24</v>
      </c>
      <c r="C10">
        <v>7.56</v>
      </c>
      <c r="D10">
        <f>C10-B10</f>
        <v>0.3199999999999994</v>
      </c>
      <c r="E10" t="s">
        <v>31</v>
      </c>
      <c r="F10" s="1" t="s">
        <v>32</v>
      </c>
      <c r="G10" t="s">
        <v>16</v>
      </c>
      <c r="H10" t="s">
        <v>17</v>
      </c>
    </row>
    <row r="11" spans="1:8" ht="48" x14ac:dyDescent="0.2">
      <c r="A11" t="s">
        <v>30</v>
      </c>
      <c r="B11">
        <v>7.22</v>
      </c>
      <c r="C11">
        <v>7.54</v>
      </c>
      <c r="D11">
        <f>C11-B11</f>
        <v>0.32000000000000028</v>
      </c>
      <c r="E11" t="s">
        <v>18</v>
      </c>
      <c r="F11" s="1" t="s">
        <v>33</v>
      </c>
      <c r="G11" t="s">
        <v>16</v>
      </c>
      <c r="H11" t="s">
        <v>17</v>
      </c>
    </row>
    <row r="12" spans="1:8" ht="16" x14ac:dyDescent="0.2">
      <c r="A12" t="s">
        <v>34</v>
      </c>
      <c r="B12">
        <v>3.17</v>
      </c>
      <c r="C12">
        <v>4.07</v>
      </c>
      <c r="D12">
        <v>0.5</v>
      </c>
      <c r="E12" t="s">
        <v>9</v>
      </c>
      <c r="F12" s="1" t="s">
        <v>21</v>
      </c>
      <c r="G12" t="s">
        <v>11</v>
      </c>
      <c r="H12" t="s">
        <v>12</v>
      </c>
    </row>
    <row r="13" spans="1:8" ht="32" x14ac:dyDescent="0.2">
      <c r="A13" t="s">
        <v>35</v>
      </c>
      <c r="B13">
        <v>11.2</v>
      </c>
      <c r="C13">
        <v>12.3</v>
      </c>
      <c r="D13">
        <f>C13-B13</f>
        <v>1.1000000000000014</v>
      </c>
      <c r="E13" t="s">
        <v>9</v>
      </c>
      <c r="F13" s="1" t="s">
        <v>36</v>
      </c>
      <c r="G13" t="s">
        <v>11</v>
      </c>
      <c r="H13" t="s">
        <v>12</v>
      </c>
    </row>
    <row r="14" spans="1:8" x14ac:dyDescent="0.2">
      <c r="A14" t="s">
        <v>37</v>
      </c>
      <c r="B14">
        <v>7.45</v>
      </c>
      <c r="C14">
        <v>9.01</v>
      </c>
      <c r="D14">
        <f>C14-B14</f>
        <v>1.5599999999999996</v>
      </c>
      <c r="E14" t="s">
        <v>38</v>
      </c>
      <c r="F14" t="s">
        <v>21</v>
      </c>
      <c r="G14" t="s">
        <v>39</v>
      </c>
      <c r="H14" t="s">
        <v>40</v>
      </c>
    </row>
    <row r="15" spans="1:8" x14ac:dyDescent="0.2">
      <c r="A15" t="s">
        <v>41</v>
      </c>
      <c r="B15">
        <v>9.25</v>
      </c>
      <c r="C15">
        <v>10.45</v>
      </c>
      <c r="D15">
        <f>C15-B15</f>
        <v>1.1999999999999993</v>
      </c>
      <c r="E15" t="s">
        <v>38</v>
      </c>
      <c r="G15" t="s">
        <v>39</v>
      </c>
      <c r="H15" t="s">
        <v>40</v>
      </c>
    </row>
    <row r="16" spans="1:8" ht="16" x14ac:dyDescent="0.2">
      <c r="A16" t="s">
        <v>41</v>
      </c>
      <c r="B16">
        <v>9.25</v>
      </c>
      <c r="C16">
        <v>10.48</v>
      </c>
      <c r="D16">
        <f>C16-B16</f>
        <v>1.2300000000000004</v>
      </c>
      <c r="E16" t="s">
        <v>38</v>
      </c>
      <c r="F16" s="1" t="s">
        <v>42</v>
      </c>
      <c r="G16" t="s">
        <v>39</v>
      </c>
      <c r="H16" t="s">
        <v>40</v>
      </c>
    </row>
    <row r="17" spans="1:8" ht="48" x14ac:dyDescent="0.2">
      <c r="A17" t="s">
        <v>43</v>
      </c>
      <c r="B17">
        <v>10.49</v>
      </c>
      <c r="C17">
        <v>11.3</v>
      </c>
      <c r="D17">
        <v>0.14000000000000001</v>
      </c>
      <c r="E17" t="s">
        <v>44</v>
      </c>
      <c r="F17" s="1" t="s">
        <v>45</v>
      </c>
      <c r="G17" t="s">
        <v>11</v>
      </c>
      <c r="H17" t="s">
        <v>12</v>
      </c>
    </row>
    <row r="18" spans="1:8" ht="16" x14ac:dyDescent="0.2">
      <c r="A18" t="s">
        <v>43</v>
      </c>
      <c r="B18">
        <v>11.04</v>
      </c>
      <c r="C18">
        <v>11.49</v>
      </c>
      <c r="D18">
        <f>C18-B18</f>
        <v>0.45000000000000107</v>
      </c>
      <c r="E18" t="s">
        <v>9</v>
      </c>
      <c r="F18" s="1" t="s">
        <v>21</v>
      </c>
      <c r="G18" t="s">
        <v>11</v>
      </c>
      <c r="H18" t="s">
        <v>46</v>
      </c>
    </row>
    <row r="19" spans="1:8" ht="128" x14ac:dyDescent="0.2">
      <c r="A19" t="s">
        <v>47</v>
      </c>
      <c r="B19">
        <v>7.57</v>
      </c>
      <c r="C19">
        <v>9.1</v>
      </c>
      <c r="D19">
        <v>1.04</v>
      </c>
      <c r="E19" t="s">
        <v>18</v>
      </c>
      <c r="F19" s="1" t="s">
        <v>48</v>
      </c>
      <c r="G19" t="s">
        <v>16</v>
      </c>
      <c r="H19" t="s">
        <v>17</v>
      </c>
    </row>
    <row r="21" spans="1:8" x14ac:dyDescent="0.2">
      <c r="C21" t="s">
        <v>49</v>
      </c>
      <c r="D21">
        <f>SUM(D2:D19)</f>
        <v>18.470000000000006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2" sqref="C2"/>
    </sheetView>
  </sheetViews>
  <sheetFormatPr baseColWidth="10" defaultColWidth="8.83203125" defaultRowHeight="15" x14ac:dyDescent="0.2"/>
  <cols>
    <col min="5" max="5" width="32.1640625" customWidth="1"/>
    <col min="6" max="6" width="62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2" x14ac:dyDescent="0.2">
      <c r="A2" t="s">
        <v>8</v>
      </c>
      <c r="B2">
        <v>10</v>
      </c>
      <c r="C2">
        <v>12.47</v>
      </c>
      <c r="D2">
        <f>C2-B2</f>
        <v>2.4700000000000006</v>
      </c>
      <c r="E2" t="s">
        <v>9</v>
      </c>
      <c r="F2" s="1" t="s">
        <v>50</v>
      </c>
    </row>
    <row r="3" spans="1:6" ht="64" x14ac:dyDescent="0.2">
      <c r="A3" t="s">
        <v>13</v>
      </c>
      <c r="B3">
        <v>11.11</v>
      </c>
      <c r="C3">
        <v>13.41</v>
      </c>
      <c r="D3">
        <f>C3-B3</f>
        <v>2.3000000000000007</v>
      </c>
      <c r="E3" t="s">
        <v>14</v>
      </c>
      <c r="F3" s="1" t="s">
        <v>51</v>
      </c>
    </row>
    <row r="4" spans="1:6" ht="64" x14ac:dyDescent="0.2">
      <c r="A4" t="s">
        <v>13</v>
      </c>
      <c r="B4">
        <v>10.59</v>
      </c>
      <c r="C4">
        <v>12.3</v>
      </c>
      <c r="D4">
        <v>1.04</v>
      </c>
      <c r="E4" t="s">
        <v>18</v>
      </c>
      <c r="F4" s="1" t="s">
        <v>19</v>
      </c>
    </row>
    <row r="5" spans="1:6" ht="16" x14ac:dyDescent="0.2">
      <c r="A5" t="s">
        <v>20</v>
      </c>
      <c r="B5">
        <v>9.09</v>
      </c>
      <c r="C5">
        <v>10.09</v>
      </c>
      <c r="D5">
        <f>C5-B5</f>
        <v>1</v>
      </c>
      <c r="E5" t="s">
        <v>9</v>
      </c>
      <c r="F5" s="1" t="s">
        <v>21</v>
      </c>
    </row>
    <row r="6" spans="1:6" x14ac:dyDescent="0.2">
      <c r="C6" t="s">
        <v>22</v>
      </c>
    </row>
    <row r="7" spans="1:6" ht="48" x14ac:dyDescent="0.2">
      <c r="A7" t="s">
        <v>23</v>
      </c>
      <c r="B7">
        <v>7</v>
      </c>
      <c r="C7">
        <v>10</v>
      </c>
      <c r="D7">
        <f>C7-B7</f>
        <v>3</v>
      </c>
      <c r="E7" t="s">
        <v>18</v>
      </c>
      <c r="F7" s="1" t="s">
        <v>24</v>
      </c>
    </row>
    <row r="8" spans="1:6" ht="16" x14ac:dyDescent="0.2">
      <c r="A8" t="s">
        <v>25</v>
      </c>
      <c r="B8">
        <v>2.02</v>
      </c>
      <c r="C8">
        <v>2.52</v>
      </c>
      <c r="D8">
        <f>C8-B8</f>
        <v>0.5</v>
      </c>
      <c r="F8" s="1" t="s">
        <v>21</v>
      </c>
    </row>
    <row r="9" spans="1:6" ht="16" x14ac:dyDescent="0.2">
      <c r="A9" t="s">
        <v>28</v>
      </c>
      <c r="B9">
        <v>11.3</v>
      </c>
      <c r="C9">
        <v>12</v>
      </c>
      <c r="D9">
        <v>0.3</v>
      </c>
      <c r="E9" t="s">
        <v>26</v>
      </c>
      <c r="F9" s="1" t="s">
        <v>21</v>
      </c>
    </row>
    <row r="10" spans="1:6" ht="64" x14ac:dyDescent="0.2">
      <c r="A10" t="s">
        <v>30</v>
      </c>
      <c r="B10">
        <v>7.24</v>
      </c>
      <c r="C10">
        <v>7.56</v>
      </c>
      <c r="D10">
        <f>C10-B10</f>
        <v>0.3199999999999994</v>
      </c>
      <c r="E10" t="s">
        <v>31</v>
      </c>
      <c r="F10" s="1" t="s">
        <v>32</v>
      </c>
    </row>
    <row r="11" spans="1:6" ht="48" x14ac:dyDescent="0.2">
      <c r="A11" t="s">
        <v>30</v>
      </c>
      <c r="B11">
        <v>7.22</v>
      </c>
      <c r="C11">
        <v>7.54</v>
      </c>
      <c r="D11">
        <f>C11-B11</f>
        <v>0.32000000000000028</v>
      </c>
      <c r="E11" t="s">
        <v>18</v>
      </c>
      <c r="F11" s="1" t="s">
        <v>33</v>
      </c>
    </row>
    <row r="12" spans="1:6" ht="16" x14ac:dyDescent="0.2">
      <c r="A12" t="s">
        <v>34</v>
      </c>
      <c r="B12">
        <v>3.17</v>
      </c>
      <c r="C12">
        <v>4.07</v>
      </c>
      <c r="D12">
        <v>0.5</v>
      </c>
      <c r="E12" t="s">
        <v>9</v>
      </c>
      <c r="F12" s="1" t="s">
        <v>21</v>
      </c>
    </row>
    <row r="13" spans="1:6" ht="32" x14ac:dyDescent="0.2">
      <c r="A13" t="s">
        <v>35</v>
      </c>
      <c r="B13">
        <v>11.2</v>
      </c>
      <c r="C13">
        <v>12.3</v>
      </c>
      <c r="D13">
        <f>C13-B13</f>
        <v>1.1000000000000014</v>
      </c>
      <c r="E13" t="s">
        <v>9</v>
      </c>
      <c r="F13" s="1" t="s">
        <v>36</v>
      </c>
    </row>
    <row r="14" spans="1:6" x14ac:dyDescent="0.2">
      <c r="A14" t="s">
        <v>37</v>
      </c>
      <c r="B14">
        <v>7.45</v>
      </c>
      <c r="C14">
        <v>9.01</v>
      </c>
      <c r="D14">
        <f>C14-B14</f>
        <v>1.5599999999999996</v>
      </c>
      <c r="E14" t="s">
        <v>38</v>
      </c>
      <c r="F14" t="s">
        <v>21</v>
      </c>
    </row>
    <row r="15" spans="1:6" x14ac:dyDescent="0.2">
      <c r="A15" t="s">
        <v>41</v>
      </c>
      <c r="B15">
        <v>9.25</v>
      </c>
      <c r="C15">
        <v>10.45</v>
      </c>
      <c r="D15">
        <f>C15-B15</f>
        <v>1.1999999999999993</v>
      </c>
      <c r="E15" t="s">
        <v>38</v>
      </c>
    </row>
    <row r="16" spans="1:6" ht="16" x14ac:dyDescent="0.2">
      <c r="A16" t="s">
        <v>41</v>
      </c>
      <c r="B16">
        <v>9.25</v>
      </c>
      <c r="C16">
        <v>10.48</v>
      </c>
      <c r="D16">
        <f>C16-B16</f>
        <v>1.2300000000000004</v>
      </c>
      <c r="E16" t="s">
        <v>38</v>
      </c>
      <c r="F16" s="1" t="s">
        <v>42</v>
      </c>
    </row>
    <row r="17" spans="1:6" ht="48" x14ac:dyDescent="0.2">
      <c r="A17" t="s">
        <v>43</v>
      </c>
      <c r="B17">
        <v>10.49</v>
      </c>
      <c r="C17">
        <v>11.3</v>
      </c>
      <c r="D17">
        <v>0.14000000000000001</v>
      </c>
      <c r="E17" t="s">
        <v>44</v>
      </c>
      <c r="F17" s="1" t="s">
        <v>45</v>
      </c>
    </row>
    <row r="18" spans="1:6" ht="16" x14ac:dyDescent="0.2">
      <c r="A18" t="s">
        <v>43</v>
      </c>
      <c r="B18">
        <v>11.04</v>
      </c>
      <c r="C18">
        <v>11.49</v>
      </c>
      <c r="D18">
        <f>C18-B18</f>
        <v>0.45000000000000107</v>
      </c>
      <c r="E18" t="s">
        <v>9</v>
      </c>
      <c r="F18" s="1" t="s">
        <v>21</v>
      </c>
    </row>
    <row r="19" spans="1:6" ht="128" x14ac:dyDescent="0.2">
      <c r="A19" t="s">
        <v>47</v>
      </c>
      <c r="B19">
        <v>7.57</v>
      </c>
      <c r="C19">
        <v>9.1</v>
      </c>
      <c r="D19">
        <v>1.04</v>
      </c>
      <c r="E19" t="s">
        <v>18</v>
      </c>
      <c r="F19" s="1" t="s">
        <v>48</v>
      </c>
    </row>
    <row r="21" spans="1:6" x14ac:dyDescent="0.2">
      <c r="C21" t="s">
        <v>49</v>
      </c>
      <c r="D21">
        <f>SUM(D2:D19)</f>
        <v>18.470000000000006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Pollinator vistitation</vt:lpstr>
      <vt:lpstr>Raw triggers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Wenk</cp:lastModifiedBy>
  <cp:revision/>
  <dcterms:created xsi:type="dcterms:W3CDTF">2015-06-05T18:17:20Z</dcterms:created>
  <dcterms:modified xsi:type="dcterms:W3CDTF">2026-09-03T01:18:27Z</dcterms:modified>
  <cp:category/>
  <cp:contentStatus/>
</cp:coreProperties>
</file>