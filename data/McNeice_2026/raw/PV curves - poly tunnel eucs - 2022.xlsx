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950875\local files\results\PV curves (HIE)\"/>
    </mc:Choice>
  </mc:AlternateContent>
  <xr:revisionPtr revIDLastSave="0" documentId="13_ncr:1_{5AF1F4EF-1714-4DAF-84A3-3927E205C484}" xr6:coauthVersionLast="47" xr6:coauthVersionMax="47" xr10:uidLastSave="{00000000-0000-0000-0000-000000000000}"/>
  <bookViews>
    <workbookView xWindow="-110" yWindow="-110" windowWidth="19420" windowHeight="10420" tabRatio="786" xr2:uid="{00000000-000D-0000-FFFF-FFFF00000000}"/>
  </bookViews>
  <sheets>
    <sheet name="info" sheetId="52" r:id="rId1"/>
    <sheet name="Mol_4" sheetId="27" r:id="rId2"/>
    <sheet name="Mol_6" sheetId="28" r:id="rId3"/>
    <sheet name="Mol_3" sheetId="11" r:id="rId4"/>
    <sheet name="Mol_9" sheetId="20" r:id="rId5"/>
    <sheet name="Mol_7" sheetId="36" r:id="rId6"/>
    <sheet name="Mol_8" sheetId="35" r:id="rId7"/>
    <sheet name="Fib_2" sheetId="13" r:id="rId8"/>
    <sheet name="Fib_3" sheetId="15" r:id="rId9"/>
    <sheet name="Fib_9" sheetId="16" r:id="rId10"/>
    <sheet name="Fib_5" sheetId="37" r:id="rId11"/>
    <sheet name="Fib_6" sheetId="39" r:id="rId12"/>
    <sheet name="Fib_8" sheetId="38" r:id="rId13"/>
    <sheet name="Ter_1" sheetId="17" r:id="rId14"/>
    <sheet name="Ter_3" sheetId="18" r:id="rId15"/>
    <sheet name="Ter_8" sheetId="19" r:id="rId16"/>
    <sheet name="Ter_6" sheetId="41" r:id="rId17"/>
    <sheet name="Ter_7" sheetId="40" r:id="rId18"/>
    <sheet name="Ter_9" sheetId="42" r:id="rId19"/>
    <sheet name="Sid_4" sheetId="24" r:id="rId20"/>
    <sheet name="Sid_7" sheetId="25" r:id="rId21"/>
    <sheet name="Sid_9" sheetId="26" r:id="rId22"/>
    <sheet name="Sid_1" sheetId="43" r:id="rId23"/>
    <sheet name="Sid_2" sheetId="45" r:id="rId24"/>
    <sheet name="Sid_6" sheetId="44" r:id="rId25"/>
    <sheet name="Cre_1" sheetId="29" r:id="rId26"/>
    <sheet name="Cre_6" sheetId="30" r:id="rId27"/>
    <sheet name="Cre_9" sheetId="32" r:id="rId28"/>
    <sheet name="Cre_3" sheetId="46" r:id="rId29"/>
    <sheet name="Cre_8" sheetId="50" r:id="rId30"/>
    <sheet name="Cre_10" sheetId="5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46" l="1"/>
  <c r="I25" i="51"/>
  <c r="I25" i="50"/>
  <c r="I25" i="46"/>
  <c r="I24" i="44"/>
  <c r="I24" i="45"/>
  <c r="I27" i="43"/>
  <c r="I28" i="42"/>
  <c r="I28" i="40"/>
  <c r="I29" i="41"/>
  <c r="J29" i="38"/>
  <c r="I38" i="36"/>
  <c r="D21" i="51"/>
  <c r="B21" i="51"/>
  <c r="D20" i="51"/>
  <c r="J20" i="51" s="1"/>
  <c r="B20" i="51"/>
  <c r="D19" i="51"/>
  <c r="J19" i="51" s="1"/>
  <c r="B19" i="51"/>
  <c r="D18" i="51"/>
  <c r="J18" i="51" s="1"/>
  <c r="B18" i="51"/>
  <c r="D17" i="51"/>
  <c r="J17" i="51" s="1"/>
  <c r="B17" i="51"/>
  <c r="D16" i="51"/>
  <c r="J16" i="51" s="1"/>
  <c r="B16" i="51"/>
  <c r="D15" i="51"/>
  <c r="J15" i="51" s="1"/>
  <c r="B15" i="51"/>
  <c r="D14" i="51"/>
  <c r="B14" i="51"/>
  <c r="D13" i="51"/>
  <c r="B13" i="51"/>
  <c r="D12" i="51"/>
  <c r="B12" i="51"/>
  <c r="D11" i="51"/>
  <c r="J11" i="51" s="1"/>
  <c r="B11" i="51"/>
  <c r="D10" i="51"/>
  <c r="J10" i="51" s="1"/>
  <c r="B10" i="51"/>
  <c r="D9" i="51"/>
  <c r="J9" i="51" s="1"/>
  <c r="B9" i="51"/>
  <c r="D21" i="50"/>
  <c r="B21" i="50"/>
  <c r="D20" i="50"/>
  <c r="J20" i="50" s="1"/>
  <c r="B20" i="50"/>
  <c r="D19" i="50"/>
  <c r="J19" i="50" s="1"/>
  <c r="B19" i="50"/>
  <c r="D18" i="50"/>
  <c r="J18" i="50" s="1"/>
  <c r="B18" i="50"/>
  <c r="D17" i="50"/>
  <c r="J17" i="50" s="1"/>
  <c r="B17" i="50"/>
  <c r="D16" i="50"/>
  <c r="J16" i="50" s="1"/>
  <c r="B16" i="50"/>
  <c r="D15" i="50"/>
  <c r="J15" i="50" s="1"/>
  <c r="B15" i="50"/>
  <c r="D14" i="50"/>
  <c r="B14" i="50"/>
  <c r="D13" i="50"/>
  <c r="B13" i="50"/>
  <c r="D12" i="50"/>
  <c r="J12" i="50" s="1"/>
  <c r="B12" i="50"/>
  <c r="D11" i="50"/>
  <c r="J11" i="50" s="1"/>
  <c r="B11" i="50"/>
  <c r="D10" i="50"/>
  <c r="J10" i="50" s="1"/>
  <c r="B10" i="50"/>
  <c r="D9" i="50"/>
  <c r="J9" i="50" s="1"/>
  <c r="B9" i="50"/>
  <c r="D21" i="46"/>
  <c r="J21" i="46" s="1"/>
  <c r="B21" i="46"/>
  <c r="D20" i="46"/>
  <c r="J20" i="46" s="1"/>
  <c r="B20" i="46"/>
  <c r="D19" i="46"/>
  <c r="J19" i="46" s="1"/>
  <c r="B19" i="46"/>
  <c r="D18" i="46"/>
  <c r="J18" i="46" s="1"/>
  <c r="B18" i="46"/>
  <c r="D17" i="46"/>
  <c r="J17" i="46" s="1"/>
  <c r="B17" i="46"/>
  <c r="D16" i="46"/>
  <c r="B16" i="46"/>
  <c r="D15" i="46"/>
  <c r="B15" i="46"/>
  <c r="D14" i="46"/>
  <c r="J14" i="46" s="1"/>
  <c r="B14" i="46"/>
  <c r="D13" i="46"/>
  <c r="J13" i="46" s="1"/>
  <c r="B13" i="46"/>
  <c r="D12" i="46"/>
  <c r="B12" i="46"/>
  <c r="D11" i="46"/>
  <c r="J11" i="46" s="1"/>
  <c r="B11" i="46"/>
  <c r="D10" i="46"/>
  <c r="J10" i="46" s="1"/>
  <c r="B10" i="46"/>
  <c r="D9" i="46"/>
  <c r="J9" i="46" s="1"/>
  <c r="B9" i="46"/>
  <c r="D21" i="44"/>
  <c r="J21" i="44" s="1"/>
  <c r="B21" i="44"/>
  <c r="D20" i="44"/>
  <c r="J20" i="44" s="1"/>
  <c r="B20" i="44"/>
  <c r="D19" i="44"/>
  <c r="J19" i="44" s="1"/>
  <c r="B19" i="44"/>
  <c r="D18" i="44"/>
  <c r="J18" i="44" s="1"/>
  <c r="B18" i="44"/>
  <c r="D17" i="44"/>
  <c r="J17" i="44" s="1"/>
  <c r="B17" i="44"/>
  <c r="D16" i="44"/>
  <c r="B16" i="44"/>
  <c r="D15" i="44"/>
  <c r="J15" i="44" s="1"/>
  <c r="B15" i="44"/>
  <c r="D14" i="44"/>
  <c r="B14" i="44"/>
  <c r="D13" i="44"/>
  <c r="J13" i="44" s="1"/>
  <c r="B13" i="44"/>
  <c r="D12" i="44"/>
  <c r="J12" i="44" s="1"/>
  <c r="B12" i="44"/>
  <c r="D11" i="44"/>
  <c r="J11" i="44" s="1"/>
  <c r="B11" i="44"/>
  <c r="D10" i="44"/>
  <c r="J10" i="44" s="1"/>
  <c r="B10" i="44"/>
  <c r="D9" i="44"/>
  <c r="J9" i="44" s="1"/>
  <c r="B9" i="44"/>
  <c r="D20" i="45"/>
  <c r="J20" i="45" s="1"/>
  <c r="B20" i="45"/>
  <c r="D19" i="45"/>
  <c r="J19" i="45" s="1"/>
  <c r="B19" i="45"/>
  <c r="D18" i="45"/>
  <c r="J18" i="45" s="1"/>
  <c r="B18" i="45"/>
  <c r="D17" i="45"/>
  <c r="J17" i="45" s="1"/>
  <c r="B17" i="45"/>
  <c r="D16" i="45"/>
  <c r="J16" i="45" s="1"/>
  <c r="B16" i="45"/>
  <c r="D15" i="45"/>
  <c r="B15" i="45"/>
  <c r="D14" i="45"/>
  <c r="B14" i="45"/>
  <c r="D13" i="45"/>
  <c r="J13" i="45" s="1"/>
  <c r="B13" i="45"/>
  <c r="J12" i="45"/>
  <c r="D12" i="45"/>
  <c r="B12" i="45"/>
  <c r="D11" i="45"/>
  <c r="J11" i="45" s="1"/>
  <c r="B11" i="45"/>
  <c r="D10" i="45"/>
  <c r="J10" i="45" s="1"/>
  <c r="B10" i="45"/>
  <c r="D9" i="45"/>
  <c r="J9" i="45" s="1"/>
  <c r="B9" i="45"/>
  <c r="D23" i="43"/>
  <c r="B23" i="43"/>
  <c r="D22" i="43"/>
  <c r="J22" i="43" s="1"/>
  <c r="B22" i="43"/>
  <c r="D21" i="43"/>
  <c r="B21" i="43"/>
  <c r="D20" i="43"/>
  <c r="B20" i="43"/>
  <c r="D19" i="43"/>
  <c r="J19" i="43" s="1"/>
  <c r="B19" i="43"/>
  <c r="D18" i="43"/>
  <c r="J18" i="43" s="1"/>
  <c r="B18" i="43"/>
  <c r="D17" i="43"/>
  <c r="J17" i="43" s="1"/>
  <c r="B17" i="43"/>
  <c r="D16" i="43"/>
  <c r="J16" i="43" s="1"/>
  <c r="B16" i="43"/>
  <c r="D15" i="43"/>
  <c r="B15" i="43"/>
  <c r="D14" i="43"/>
  <c r="B14" i="43"/>
  <c r="D13" i="43"/>
  <c r="B13" i="43"/>
  <c r="D12" i="43"/>
  <c r="B12" i="43"/>
  <c r="D11" i="43"/>
  <c r="J11" i="43" s="1"/>
  <c r="B11" i="43"/>
  <c r="D10" i="43"/>
  <c r="J10" i="43" s="1"/>
  <c r="B10" i="43"/>
  <c r="D9" i="43"/>
  <c r="J9" i="43" s="1"/>
  <c r="B9" i="43"/>
  <c r="D25" i="42"/>
  <c r="B25" i="42"/>
  <c r="D27" i="41"/>
  <c r="B27" i="41"/>
  <c r="D22" i="42"/>
  <c r="J22" i="42" s="1"/>
  <c r="D23" i="42"/>
  <c r="J23" i="42" s="1"/>
  <c r="D24" i="42"/>
  <c r="B24" i="42"/>
  <c r="B22" i="42"/>
  <c r="B23" i="42"/>
  <c r="D24" i="40"/>
  <c r="J24" i="40" s="1"/>
  <c r="B24" i="40"/>
  <c r="D26" i="41"/>
  <c r="J26" i="41" s="1"/>
  <c r="B26" i="41"/>
  <c r="D22" i="40"/>
  <c r="J22" i="40" s="1"/>
  <c r="D23" i="40"/>
  <c r="J23" i="40" s="1"/>
  <c r="B22" i="40"/>
  <c r="B23" i="40"/>
  <c r="D25" i="41"/>
  <c r="J25" i="41" s="1"/>
  <c r="B25" i="41"/>
  <c r="D22" i="41"/>
  <c r="J22" i="41"/>
  <c r="D23" i="41"/>
  <c r="D24" i="41"/>
  <c r="J24" i="41" s="1"/>
  <c r="B22" i="41"/>
  <c r="B23" i="41"/>
  <c r="B24" i="41"/>
  <c r="J31" i="39"/>
  <c r="D28" i="39"/>
  <c r="J28" i="39" s="1"/>
  <c r="B28" i="39"/>
  <c r="D27" i="39"/>
  <c r="B27" i="39"/>
  <c r="D21" i="42"/>
  <c r="J21" i="42" s="1"/>
  <c r="B21" i="42"/>
  <c r="D20" i="42"/>
  <c r="J20" i="42" s="1"/>
  <c r="B20" i="42"/>
  <c r="D19" i="42"/>
  <c r="J19" i="42" s="1"/>
  <c r="B19" i="42"/>
  <c r="D18" i="42"/>
  <c r="B18" i="42"/>
  <c r="D17" i="42"/>
  <c r="J17" i="42" s="1"/>
  <c r="B17" i="42"/>
  <c r="D16" i="42"/>
  <c r="B16" i="42"/>
  <c r="D15" i="42"/>
  <c r="J15" i="42" s="1"/>
  <c r="B15" i="42"/>
  <c r="D14" i="42"/>
  <c r="J14" i="42" s="1"/>
  <c r="B14" i="42"/>
  <c r="D13" i="42"/>
  <c r="J13" i="42" s="1"/>
  <c r="B13" i="42"/>
  <c r="D12" i="42"/>
  <c r="J12" i="42" s="1"/>
  <c r="B12" i="42"/>
  <c r="D11" i="42"/>
  <c r="J11" i="42" s="1"/>
  <c r="B11" i="42"/>
  <c r="D10" i="42"/>
  <c r="J10" i="42" s="1"/>
  <c r="B10" i="42"/>
  <c r="D9" i="42"/>
  <c r="J9" i="42" s="1"/>
  <c r="B9" i="42"/>
  <c r="D21" i="40"/>
  <c r="B21" i="40"/>
  <c r="D20" i="40"/>
  <c r="B20" i="40"/>
  <c r="D19" i="40"/>
  <c r="J19" i="40" s="1"/>
  <c r="B19" i="40"/>
  <c r="D18" i="40"/>
  <c r="J18" i="40" s="1"/>
  <c r="B18" i="40"/>
  <c r="D17" i="40"/>
  <c r="J17" i="40" s="1"/>
  <c r="B17" i="40"/>
  <c r="D16" i="40"/>
  <c r="B16" i="40"/>
  <c r="D15" i="40"/>
  <c r="J15" i="40" s="1"/>
  <c r="B15" i="40"/>
  <c r="D14" i="40"/>
  <c r="J14" i="40" s="1"/>
  <c r="B14" i="40"/>
  <c r="D13" i="40"/>
  <c r="J13" i="40" s="1"/>
  <c r="B13" i="40"/>
  <c r="D12" i="40"/>
  <c r="B12" i="40"/>
  <c r="D11" i="40"/>
  <c r="J11" i="40" s="1"/>
  <c r="B11" i="40"/>
  <c r="D10" i="40"/>
  <c r="J10" i="40" s="1"/>
  <c r="B10" i="40"/>
  <c r="D9" i="40"/>
  <c r="B9" i="40"/>
  <c r="D21" i="41"/>
  <c r="B21" i="41"/>
  <c r="D20" i="41"/>
  <c r="J20" i="41" s="1"/>
  <c r="B20" i="41"/>
  <c r="D19" i="41"/>
  <c r="J19" i="41" s="1"/>
  <c r="B19" i="41"/>
  <c r="D18" i="41"/>
  <c r="J18" i="41" s="1"/>
  <c r="B18" i="41"/>
  <c r="D17" i="41"/>
  <c r="J17" i="41" s="1"/>
  <c r="B17" i="41"/>
  <c r="D16" i="41"/>
  <c r="D29" i="41" s="1"/>
  <c r="B16" i="41"/>
  <c r="D15" i="41"/>
  <c r="J15" i="41" s="1"/>
  <c r="B15" i="41"/>
  <c r="D14" i="41"/>
  <c r="J14" i="41" s="1"/>
  <c r="B14" i="41"/>
  <c r="D13" i="41"/>
  <c r="B13" i="41"/>
  <c r="D12" i="41"/>
  <c r="J12" i="41" s="1"/>
  <c r="B12" i="41"/>
  <c r="D11" i="41"/>
  <c r="J11" i="41" s="1"/>
  <c r="B11" i="41"/>
  <c r="D10" i="41"/>
  <c r="J10" i="41" s="1"/>
  <c r="B10" i="41"/>
  <c r="D9" i="41"/>
  <c r="J9" i="41" s="1"/>
  <c r="B9" i="41"/>
  <c r="D26" i="38"/>
  <c r="J26" i="38" s="1"/>
  <c r="B26" i="38"/>
  <c r="D25" i="38"/>
  <c r="J25" i="38" s="1"/>
  <c r="B25" i="38"/>
  <c r="D24" i="38"/>
  <c r="J24" i="38" s="1"/>
  <c r="B24" i="38"/>
  <c r="D23" i="38"/>
  <c r="J23" i="38" s="1"/>
  <c r="B23" i="38"/>
  <c r="D22" i="38"/>
  <c r="J22" i="38" s="1"/>
  <c r="B22" i="38"/>
  <c r="D21" i="38"/>
  <c r="J21" i="38" s="1"/>
  <c r="B21" i="38"/>
  <c r="D20" i="38"/>
  <c r="B20" i="38"/>
  <c r="D19" i="38"/>
  <c r="J19" i="38" s="1"/>
  <c r="B19" i="38"/>
  <c r="D18" i="38"/>
  <c r="J18" i="38" s="1"/>
  <c r="B18" i="38"/>
  <c r="D17" i="38"/>
  <c r="J17" i="38" s="1"/>
  <c r="B17" i="38"/>
  <c r="D16" i="38"/>
  <c r="J16" i="38" s="1"/>
  <c r="B16" i="38"/>
  <c r="D15" i="38"/>
  <c r="J15" i="38" s="1"/>
  <c r="B15" i="38"/>
  <c r="D14" i="38"/>
  <c r="J14" i="38" s="1"/>
  <c r="B14" i="38"/>
  <c r="D13" i="38"/>
  <c r="J13" i="38" s="1"/>
  <c r="B13" i="38"/>
  <c r="D12" i="38"/>
  <c r="B12" i="38"/>
  <c r="D11" i="38"/>
  <c r="B11" i="38"/>
  <c r="D10" i="38"/>
  <c r="J10" i="38" s="1"/>
  <c r="B10" i="38"/>
  <c r="D9" i="38"/>
  <c r="J9" i="38" s="1"/>
  <c r="B9" i="38"/>
  <c r="D26" i="39"/>
  <c r="J26" i="39" s="1"/>
  <c r="B26" i="39"/>
  <c r="D25" i="39"/>
  <c r="J25" i="39" s="1"/>
  <c r="B25" i="39"/>
  <c r="D24" i="39"/>
  <c r="B24" i="39"/>
  <c r="D23" i="39"/>
  <c r="B23" i="39"/>
  <c r="D22" i="39"/>
  <c r="J22" i="39" s="1"/>
  <c r="B22" i="39"/>
  <c r="D21" i="39"/>
  <c r="B21" i="39"/>
  <c r="D20" i="39"/>
  <c r="J20" i="39" s="1"/>
  <c r="B20" i="39"/>
  <c r="D19" i="39"/>
  <c r="J19" i="39" s="1"/>
  <c r="B19" i="39"/>
  <c r="D18" i="39"/>
  <c r="J18" i="39" s="1"/>
  <c r="B18" i="39"/>
  <c r="D17" i="39"/>
  <c r="J17" i="39" s="1"/>
  <c r="B17" i="39"/>
  <c r="D16" i="39"/>
  <c r="B16" i="39"/>
  <c r="D15" i="39"/>
  <c r="J15" i="39" s="1"/>
  <c r="B15" i="39"/>
  <c r="D14" i="39"/>
  <c r="J14" i="39" s="1"/>
  <c r="B14" i="39"/>
  <c r="D13" i="39"/>
  <c r="B13" i="39"/>
  <c r="D12" i="39"/>
  <c r="J12" i="39" s="1"/>
  <c r="B12" i="39"/>
  <c r="D11" i="39"/>
  <c r="J11" i="39" s="1"/>
  <c r="B11" i="39"/>
  <c r="D10" i="39"/>
  <c r="J10" i="39" s="1"/>
  <c r="B10" i="39"/>
  <c r="D9" i="39"/>
  <c r="B9" i="39"/>
  <c r="D25" i="37"/>
  <c r="J25" i="37" s="1"/>
  <c r="B25" i="37"/>
  <c r="D24" i="37"/>
  <c r="J24" i="37" s="1"/>
  <c r="B24" i="37"/>
  <c r="D23" i="37"/>
  <c r="B23" i="37"/>
  <c r="D22" i="37"/>
  <c r="J22" i="37" s="1"/>
  <c r="B22" i="37"/>
  <c r="D21" i="37"/>
  <c r="B21" i="37"/>
  <c r="D20" i="37"/>
  <c r="J20" i="37" s="1"/>
  <c r="B20" i="37"/>
  <c r="D19" i="37"/>
  <c r="J19" i="37" s="1"/>
  <c r="B19" i="37"/>
  <c r="D18" i="37"/>
  <c r="J18" i="37" s="1"/>
  <c r="B18" i="37"/>
  <c r="D17" i="37"/>
  <c r="J17" i="37" s="1"/>
  <c r="B17" i="37"/>
  <c r="D16" i="37"/>
  <c r="J16" i="37" s="1"/>
  <c r="B16" i="37"/>
  <c r="D15" i="37"/>
  <c r="B15" i="37"/>
  <c r="D14" i="37"/>
  <c r="J14" i="37" s="1"/>
  <c r="B14" i="37"/>
  <c r="D13" i="37"/>
  <c r="J13" i="37" s="1"/>
  <c r="B13" i="37"/>
  <c r="D12" i="37"/>
  <c r="J12" i="37" s="1"/>
  <c r="B12" i="37"/>
  <c r="D11" i="37"/>
  <c r="J11" i="37" s="1"/>
  <c r="B11" i="37"/>
  <c r="D10" i="37"/>
  <c r="J10" i="37" s="1"/>
  <c r="B10" i="37"/>
  <c r="D9" i="37"/>
  <c r="B9" i="37"/>
  <c r="D35" i="36"/>
  <c r="J35" i="36" s="1"/>
  <c r="B35" i="36"/>
  <c r="D34" i="36"/>
  <c r="B34" i="36"/>
  <c r="D33" i="36"/>
  <c r="B33" i="36"/>
  <c r="D32" i="36"/>
  <c r="B32" i="36"/>
  <c r="D31" i="36"/>
  <c r="B31" i="36"/>
  <c r="D30" i="36"/>
  <c r="J30" i="36" s="1"/>
  <c r="B30" i="36"/>
  <c r="D29" i="36"/>
  <c r="J29" i="36" s="1"/>
  <c r="B29" i="36"/>
  <c r="D28" i="36"/>
  <c r="J28" i="36" s="1"/>
  <c r="B28" i="36"/>
  <c r="D27" i="36"/>
  <c r="J27" i="36" s="1"/>
  <c r="B27" i="36"/>
  <c r="D26" i="36"/>
  <c r="J26" i="36" s="1"/>
  <c r="B26" i="36"/>
  <c r="D25" i="36"/>
  <c r="J25" i="36" s="1"/>
  <c r="B25" i="36"/>
  <c r="D24" i="36"/>
  <c r="J24" i="36" s="1"/>
  <c r="B24" i="36"/>
  <c r="D26" i="35"/>
  <c r="J26" i="35" s="1"/>
  <c r="B26" i="35"/>
  <c r="D25" i="35"/>
  <c r="J25" i="35" s="1"/>
  <c r="B25" i="35"/>
  <c r="D24" i="35"/>
  <c r="J24" i="35" s="1"/>
  <c r="B24" i="35"/>
  <c r="D23" i="35"/>
  <c r="B23" i="35"/>
  <c r="D22" i="35"/>
  <c r="J22" i="35" s="1"/>
  <c r="B22" i="35"/>
  <c r="D21" i="35"/>
  <c r="J21" i="35" s="1"/>
  <c r="B21" i="35"/>
  <c r="D20" i="35"/>
  <c r="J20" i="35" s="1"/>
  <c r="B20" i="35"/>
  <c r="D19" i="35"/>
  <c r="J19" i="35" s="1"/>
  <c r="B19" i="35"/>
  <c r="D18" i="35"/>
  <c r="J18" i="35" s="1"/>
  <c r="B18" i="35"/>
  <c r="D17" i="35"/>
  <c r="J17" i="35" s="1"/>
  <c r="B17" i="35"/>
  <c r="D16" i="35"/>
  <c r="J16" i="35" s="1"/>
  <c r="B16" i="35"/>
  <c r="D15" i="35"/>
  <c r="B15" i="35"/>
  <c r="D14" i="35"/>
  <c r="J14" i="35" s="1"/>
  <c r="B14" i="35"/>
  <c r="D13" i="35"/>
  <c r="J13" i="35" s="1"/>
  <c r="B13" i="35"/>
  <c r="D12" i="35"/>
  <c r="J12" i="35" s="1"/>
  <c r="B12" i="35"/>
  <c r="D11" i="35"/>
  <c r="J11" i="35" s="1"/>
  <c r="B11" i="35"/>
  <c r="D10" i="35"/>
  <c r="J10" i="35" s="1"/>
  <c r="B10" i="35"/>
  <c r="D9" i="35"/>
  <c r="J9" i="35" s="1"/>
  <c r="B9" i="35"/>
  <c r="D23" i="36"/>
  <c r="B23" i="36"/>
  <c r="D22" i="36"/>
  <c r="B22" i="36"/>
  <c r="D21" i="36"/>
  <c r="J21" i="36" s="1"/>
  <c r="B21" i="36"/>
  <c r="D20" i="36"/>
  <c r="J20" i="36" s="1"/>
  <c r="B20" i="36"/>
  <c r="D19" i="36"/>
  <c r="J19" i="36" s="1"/>
  <c r="B19" i="36"/>
  <c r="D18" i="36"/>
  <c r="J18" i="36" s="1"/>
  <c r="B18" i="36"/>
  <c r="D17" i="36"/>
  <c r="J17" i="36" s="1"/>
  <c r="B17" i="36"/>
  <c r="D16" i="36"/>
  <c r="J16" i="36" s="1"/>
  <c r="B16" i="36"/>
  <c r="D15" i="36"/>
  <c r="B15" i="36"/>
  <c r="D14" i="36"/>
  <c r="B14" i="36"/>
  <c r="D13" i="36"/>
  <c r="J13" i="36" s="1"/>
  <c r="B13" i="36"/>
  <c r="D12" i="36"/>
  <c r="J12" i="36" s="1"/>
  <c r="B12" i="36"/>
  <c r="D11" i="36"/>
  <c r="J11" i="36" s="1"/>
  <c r="B11" i="36"/>
  <c r="D10" i="36"/>
  <c r="J10" i="36" s="1"/>
  <c r="B10" i="36"/>
  <c r="D9" i="36"/>
  <c r="J9" i="36" s="1"/>
  <c r="B9" i="36"/>
  <c r="B25" i="19"/>
  <c r="N14" i="16"/>
  <c r="N13" i="16"/>
  <c r="N12" i="16"/>
  <c r="N11" i="16"/>
  <c r="N10" i="16"/>
  <c r="N9" i="16"/>
  <c r="N8" i="16"/>
  <c r="N7" i="16"/>
  <c r="J30" i="16"/>
  <c r="H31" i="16"/>
  <c r="H30" i="16"/>
  <c r="D30" i="16"/>
  <c r="B31" i="16"/>
  <c r="B30" i="16"/>
  <c r="I34" i="29"/>
  <c r="G34" i="29"/>
  <c r="G35" i="29" s="1"/>
  <c r="D34" i="29"/>
  <c r="B35" i="29"/>
  <c r="B34" i="29"/>
  <c r="N13" i="11"/>
  <c r="N12" i="11"/>
  <c r="N11" i="11"/>
  <c r="N10" i="11"/>
  <c r="N9" i="11"/>
  <c r="D27" i="11"/>
  <c r="B28" i="11"/>
  <c r="B27" i="11"/>
  <c r="I27" i="11"/>
  <c r="N14" i="13"/>
  <c r="N13" i="13"/>
  <c r="N12" i="13"/>
  <c r="N11" i="13"/>
  <c r="N9" i="13"/>
  <c r="N10" i="13"/>
  <c r="J26" i="13"/>
  <c r="H27" i="13"/>
  <c r="H26" i="13"/>
  <c r="D26" i="13"/>
  <c r="B27" i="13"/>
  <c r="B26" i="13"/>
  <c r="N14" i="18"/>
  <c r="N13" i="18"/>
  <c r="N12" i="18"/>
  <c r="N11" i="18"/>
  <c r="N10" i="18"/>
  <c r="N9" i="18"/>
  <c r="N8" i="18"/>
  <c r="N7" i="18"/>
  <c r="D28" i="18"/>
  <c r="B29" i="18"/>
  <c r="B28" i="18"/>
  <c r="I29" i="35" l="1"/>
  <c r="B25" i="45"/>
  <c r="B24" i="45"/>
  <c r="D24" i="45"/>
  <c r="D25" i="51"/>
  <c r="B25" i="51"/>
  <c r="B26" i="51" s="1"/>
  <c r="D25" i="50"/>
  <c r="B25" i="50"/>
  <c r="B26" i="50"/>
  <c r="E14" i="50" s="1"/>
  <c r="F14" i="50" s="1"/>
  <c r="G14" i="50" s="1"/>
  <c r="D25" i="46"/>
  <c r="B25" i="46"/>
  <c r="E16" i="46" s="1"/>
  <c r="F16" i="46" s="1"/>
  <c r="G16" i="46" s="1"/>
  <c r="D27" i="43"/>
  <c r="B27" i="43"/>
  <c r="B28" i="43" s="1"/>
  <c r="E20" i="43" s="1"/>
  <c r="F20" i="43" s="1"/>
  <c r="G20" i="43" s="1"/>
  <c r="D29" i="38"/>
  <c r="B29" i="38"/>
  <c r="B30" i="38" s="1"/>
  <c r="E19" i="38" s="1"/>
  <c r="F19" i="38" s="1"/>
  <c r="G19" i="38" s="1"/>
  <c r="B28" i="37"/>
  <c r="B29" i="37" s="1"/>
  <c r="N7" i="37" s="1"/>
  <c r="B29" i="41"/>
  <c r="B30" i="41" s="1"/>
  <c r="B31" i="39"/>
  <c r="D31" i="39"/>
  <c r="B32" i="39"/>
  <c r="E14" i="39" s="1"/>
  <c r="F14" i="39" s="1"/>
  <c r="G14" i="39" s="1"/>
  <c r="B24" i="44"/>
  <c r="B25" i="44" s="1"/>
  <c r="E19" i="44" s="1"/>
  <c r="F19" i="44" s="1"/>
  <c r="G19" i="44" s="1"/>
  <c r="D24" i="44"/>
  <c r="B28" i="42"/>
  <c r="B29" i="42" s="1"/>
  <c r="D28" i="42"/>
  <c r="B28" i="40"/>
  <c r="B29" i="40" s="1"/>
  <c r="D28" i="40"/>
  <c r="D29" i="35"/>
  <c r="B29" i="35"/>
  <c r="B30" i="35" s="1"/>
  <c r="D38" i="36"/>
  <c r="B38" i="36"/>
  <c r="B39" i="36" s="1"/>
  <c r="E30" i="36" s="1"/>
  <c r="F30" i="36" s="1"/>
  <c r="G30" i="36" s="1"/>
  <c r="J12" i="51"/>
  <c r="J13" i="51"/>
  <c r="J21" i="51"/>
  <c r="J14" i="51"/>
  <c r="J13" i="50"/>
  <c r="J21" i="50"/>
  <c r="J14" i="50"/>
  <c r="J16" i="46"/>
  <c r="J12" i="46"/>
  <c r="J15" i="46"/>
  <c r="J14" i="44"/>
  <c r="J16" i="44"/>
  <c r="J14" i="45"/>
  <c r="J15" i="45"/>
  <c r="J14" i="43"/>
  <c r="J12" i="43"/>
  <c r="J20" i="43"/>
  <c r="J13" i="43"/>
  <c r="J21" i="43"/>
  <c r="J15" i="43"/>
  <c r="J23" i="43"/>
  <c r="J25" i="42"/>
  <c r="J27" i="41"/>
  <c r="J24" i="42"/>
  <c r="J9" i="40"/>
  <c r="J21" i="40"/>
  <c r="J23" i="41"/>
  <c r="J27" i="39"/>
  <c r="J28" i="37"/>
  <c r="D28" i="37"/>
  <c r="J9" i="39"/>
  <c r="J16" i="42"/>
  <c r="J18" i="42"/>
  <c r="J12" i="40"/>
  <c r="J20" i="40"/>
  <c r="J16" i="40"/>
  <c r="J13" i="41"/>
  <c r="J21" i="41"/>
  <c r="J16" i="41"/>
  <c r="J11" i="38"/>
  <c r="J12" i="38"/>
  <c r="J20" i="38"/>
  <c r="J13" i="39"/>
  <c r="J21" i="39"/>
  <c r="J23" i="39"/>
  <c r="J16" i="39"/>
  <c r="J24" i="39"/>
  <c r="J9" i="37"/>
  <c r="J21" i="37"/>
  <c r="J15" i="37"/>
  <c r="J23" i="37"/>
  <c r="J34" i="36"/>
  <c r="J33" i="36"/>
  <c r="J32" i="36"/>
  <c r="J31" i="36"/>
  <c r="J15" i="35"/>
  <c r="J23" i="35"/>
  <c r="J14" i="36"/>
  <c r="J22" i="36"/>
  <c r="J15" i="36"/>
  <c r="J23" i="36"/>
  <c r="N14" i="32"/>
  <c r="N13" i="32"/>
  <c r="N12" i="32"/>
  <c r="N11" i="32"/>
  <c r="N10" i="32"/>
  <c r="N9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12" i="32"/>
  <c r="J11" i="32"/>
  <c r="J10" i="32"/>
  <c r="J9" i="32"/>
  <c r="I32" i="32"/>
  <c r="G33" i="32"/>
  <c r="G32" i="32"/>
  <c r="D32" i="32"/>
  <c r="B33" i="32"/>
  <c r="B32" i="32"/>
  <c r="N13" i="30"/>
  <c r="N12" i="30"/>
  <c r="N11" i="30"/>
  <c r="N10" i="30"/>
  <c r="N7" i="30"/>
  <c r="N8" i="30"/>
  <c r="N9" i="30"/>
  <c r="I34" i="30"/>
  <c r="G35" i="30"/>
  <c r="G34" i="30"/>
  <c r="D34" i="30"/>
  <c r="B35" i="30"/>
  <c r="B34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16" i="30"/>
  <c r="J15" i="30"/>
  <c r="J14" i="30"/>
  <c r="J13" i="30"/>
  <c r="J12" i="30"/>
  <c r="J11" i="30"/>
  <c r="J10" i="30"/>
  <c r="J9" i="30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15" i="29"/>
  <c r="J14" i="29"/>
  <c r="J13" i="29"/>
  <c r="J12" i="29"/>
  <c r="J11" i="29"/>
  <c r="J10" i="29"/>
  <c r="J9" i="29"/>
  <c r="N13" i="26"/>
  <c r="N12" i="26"/>
  <c r="N11" i="26"/>
  <c r="N10" i="26"/>
  <c r="N9" i="26"/>
  <c r="N8" i="26"/>
  <c r="N7" i="26"/>
  <c r="I25" i="26"/>
  <c r="G26" i="26"/>
  <c r="G25" i="26"/>
  <c r="D25" i="26"/>
  <c r="B26" i="26"/>
  <c r="B25" i="26"/>
  <c r="J13" i="26"/>
  <c r="J14" i="26"/>
  <c r="J15" i="26"/>
  <c r="J16" i="26"/>
  <c r="J17" i="26"/>
  <c r="J18" i="26"/>
  <c r="J19" i="26"/>
  <c r="J20" i="26"/>
  <c r="J21" i="26"/>
  <c r="J12" i="26"/>
  <c r="J11" i="26"/>
  <c r="J10" i="26"/>
  <c r="J9" i="26"/>
  <c r="N13" i="25"/>
  <c r="N12" i="25"/>
  <c r="N11" i="25"/>
  <c r="N10" i="25"/>
  <c r="N9" i="25"/>
  <c r="D32" i="25"/>
  <c r="I32" i="25"/>
  <c r="G33" i="25"/>
  <c r="G32" i="25"/>
  <c r="B33" i="25"/>
  <c r="B32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16" i="25"/>
  <c r="J15" i="25"/>
  <c r="J14" i="25"/>
  <c r="J13" i="25"/>
  <c r="J12" i="25"/>
  <c r="J11" i="25"/>
  <c r="J10" i="25"/>
  <c r="J9" i="25"/>
  <c r="N13" i="24"/>
  <c r="N12" i="24"/>
  <c r="N11" i="24"/>
  <c r="N10" i="24"/>
  <c r="N9" i="24"/>
  <c r="I31" i="24"/>
  <c r="G32" i="24"/>
  <c r="G31" i="24"/>
  <c r="B32" i="24"/>
  <c r="D31" i="24"/>
  <c r="B31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12" i="24"/>
  <c r="J13" i="24"/>
  <c r="J11" i="24"/>
  <c r="J10" i="24"/>
  <c r="J9" i="24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O6" i="51" l="1"/>
  <c r="E13" i="51"/>
  <c r="F13" i="51" s="1"/>
  <c r="G13" i="51" s="1"/>
  <c r="E23" i="41"/>
  <c r="F23" i="41" s="1"/>
  <c r="G23" i="41" s="1"/>
  <c r="E27" i="41"/>
  <c r="F27" i="41" s="1"/>
  <c r="G27" i="41" s="1"/>
  <c r="E11" i="42"/>
  <c r="F11" i="42" s="1"/>
  <c r="G11" i="42" s="1"/>
  <c r="N7" i="42"/>
  <c r="N7" i="40"/>
  <c r="E24" i="40"/>
  <c r="F24" i="40" s="1"/>
  <c r="G24" i="40" s="1"/>
  <c r="N7" i="35"/>
  <c r="E10" i="35"/>
  <c r="F10" i="35" s="1"/>
  <c r="G10" i="35" s="1"/>
  <c r="E25" i="35"/>
  <c r="F25" i="35" s="1"/>
  <c r="G25" i="35" s="1"/>
  <c r="E26" i="35"/>
  <c r="F26" i="35" s="1"/>
  <c r="G26" i="35" s="1"/>
  <c r="E35" i="36"/>
  <c r="F35" i="36" s="1"/>
  <c r="G35" i="36" s="1"/>
  <c r="E9" i="50"/>
  <c r="E13" i="50"/>
  <c r="F13" i="50" s="1"/>
  <c r="G13" i="50" s="1"/>
  <c r="E9" i="51"/>
  <c r="F9" i="51" s="1"/>
  <c r="G9" i="51" s="1"/>
  <c r="E20" i="51"/>
  <c r="F20" i="51" s="1"/>
  <c r="G20" i="51" s="1"/>
  <c r="E19" i="50"/>
  <c r="F19" i="50" s="1"/>
  <c r="G19" i="50" s="1"/>
  <c r="E16" i="50"/>
  <c r="F16" i="50" s="1"/>
  <c r="G16" i="50" s="1"/>
  <c r="E21" i="50"/>
  <c r="F21" i="50" s="1"/>
  <c r="G21" i="50" s="1"/>
  <c r="N7" i="50"/>
  <c r="E18" i="50"/>
  <c r="F18" i="50" s="1"/>
  <c r="G18" i="50" s="1"/>
  <c r="E17" i="50"/>
  <c r="F17" i="50" s="1"/>
  <c r="G17" i="50" s="1"/>
  <c r="E10" i="50"/>
  <c r="F10" i="50" s="1"/>
  <c r="G10" i="50" s="1"/>
  <c r="E12" i="50"/>
  <c r="F12" i="50" s="1"/>
  <c r="G12" i="50" s="1"/>
  <c r="E15" i="50"/>
  <c r="E11" i="50"/>
  <c r="F11" i="50" s="1"/>
  <c r="G11" i="50" s="1"/>
  <c r="E20" i="50"/>
  <c r="F20" i="50" s="1"/>
  <c r="G20" i="50" s="1"/>
  <c r="E19" i="51"/>
  <c r="F19" i="51" s="1"/>
  <c r="G19" i="51" s="1"/>
  <c r="E10" i="51"/>
  <c r="E14" i="51"/>
  <c r="F14" i="51" s="1"/>
  <c r="G14" i="51" s="1"/>
  <c r="E11" i="51"/>
  <c r="F11" i="51" s="1"/>
  <c r="G11" i="51" s="1"/>
  <c r="E16" i="51"/>
  <c r="E21" i="51"/>
  <c r="F21" i="51" s="1"/>
  <c r="G21" i="51" s="1"/>
  <c r="E15" i="51"/>
  <c r="F15" i="51" s="1"/>
  <c r="G15" i="51" s="1"/>
  <c r="E17" i="51"/>
  <c r="F17" i="51" s="1"/>
  <c r="G17" i="51" s="1"/>
  <c r="E18" i="51"/>
  <c r="F18" i="51" s="1"/>
  <c r="G18" i="51" s="1"/>
  <c r="E12" i="51"/>
  <c r="E18" i="44"/>
  <c r="F18" i="44" s="1"/>
  <c r="G18" i="44" s="1"/>
  <c r="E14" i="46"/>
  <c r="E11" i="46"/>
  <c r="F11" i="46" s="1"/>
  <c r="G11" i="46" s="1"/>
  <c r="E13" i="46"/>
  <c r="F13" i="46" s="1"/>
  <c r="G13" i="46" s="1"/>
  <c r="E10" i="46"/>
  <c r="F10" i="46" s="1"/>
  <c r="G10" i="46" s="1"/>
  <c r="E21" i="46"/>
  <c r="F21" i="46" s="1"/>
  <c r="G21" i="46" s="1"/>
  <c r="E17" i="46"/>
  <c r="F17" i="46" s="1"/>
  <c r="G17" i="46" s="1"/>
  <c r="E20" i="46"/>
  <c r="F20" i="46" s="1"/>
  <c r="G20" i="46" s="1"/>
  <c r="E18" i="46"/>
  <c r="F18" i="46" s="1"/>
  <c r="G18" i="46" s="1"/>
  <c r="N7" i="46"/>
  <c r="E19" i="46"/>
  <c r="F19" i="46" s="1"/>
  <c r="G19" i="46" s="1"/>
  <c r="E15" i="46"/>
  <c r="F15" i="46" s="1"/>
  <c r="G15" i="46" s="1"/>
  <c r="E9" i="46"/>
  <c r="E12" i="46"/>
  <c r="F12" i="46" s="1"/>
  <c r="G12" i="46" s="1"/>
  <c r="E15" i="44"/>
  <c r="F15" i="44" s="1"/>
  <c r="G15" i="44" s="1"/>
  <c r="E13" i="44"/>
  <c r="F13" i="44" s="1"/>
  <c r="G13" i="44" s="1"/>
  <c r="E21" i="44"/>
  <c r="N7" i="44"/>
  <c r="E17" i="44"/>
  <c r="E9" i="44"/>
  <c r="F9" i="44" s="1"/>
  <c r="G9" i="44" s="1"/>
  <c r="E10" i="44"/>
  <c r="E16" i="44"/>
  <c r="F16" i="44" s="1"/>
  <c r="G16" i="44" s="1"/>
  <c r="E11" i="44"/>
  <c r="F11" i="44" s="1"/>
  <c r="G11" i="44" s="1"/>
  <c r="E12" i="44"/>
  <c r="F12" i="44" s="1"/>
  <c r="G12" i="44" s="1"/>
  <c r="E20" i="44"/>
  <c r="F20" i="44" s="1"/>
  <c r="G20" i="44" s="1"/>
  <c r="E14" i="44"/>
  <c r="E13" i="45"/>
  <c r="F13" i="45" s="1"/>
  <c r="G13" i="45" s="1"/>
  <c r="N7" i="45"/>
  <c r="E20" i="45"/>
  <c r="F20" i="45" s="1"/>
  <c r="G20" i="45" s="1"/>
  <c r="E12" i="45"/>
  <c r="F12" i="45" s="1"/>
  <c r="G12" i="45" s="1"/>
  <c r="E19" i="45"/>
  <c r="F19" i="45" s="1"/>
  <c r="G19" i="45" s="1"/>
  <c r="E11" i="45"/>
  <c r="F11" i="45" s="1"/>
  <c r="G11" i="45" s="1"/>
  <c r="E17" i="45"/>
  <c r="F17" i="45" s="1"/>
  <c r="G17" i="45" s="1"/>
  <c r="E9" i="45"/>
  <c r="E16" i="45"/>
  <c r="F16" i="45" s="1"/>
  <c r="G16" i="45" s="1"/>
  <c r="E15" i="45"/>
  <c r="F15" i="45" s="1"/>
  <c r="G15" i="45" s="1"/>
  <c r="E14" i="45"/>
  <c r="N13" i="45" s="1"/>
  <c r="E18" i="45"/>
  <c r="F18" i="45" s="1"/>
  <c r="G18" i="45" s="1"/>
  <c r="E10" i="45"/>
  <c r="F10" i="45" s="1"/>
  <c r="G10" i="45" s="1"/>
  <c r="E21" i="43"/>
  <c r="F21" i="43" s="1"/>
  <c r="E12" i="43"/>
  <c r="F12" i="43" s="1"/>
  <c r="G12" i="43" s="1"/>
  <c r="E13" i="43"/>
  <c r="F13" i="43" s="1"/>
  <c r="G13" i="43" s="1"/>
  <c r="E15" i="43"/>
  <c r="F15" i="43" s="1"/>
  <c r="G15" i="43" s="1"/>
  <c r="E18" i="43"/>
  <c r="E10" i="43"/>
  <c r="F10" i="43" s="1"/>
  <c r="G10" i="43" s="1"/>
  <c r="E23" i="43"/>
  <c r="F23" i="43" s="1"/>
  <c r="G23" i="43" s="1"/>
  <c r="E22" i="43"/>
  <c r="F22" i="43" s="1"/>
  <c r="G22" i="43" s="1"/>
  <c r="E14" i="43"/>
  <c r="N7" i="43"/>
  <c r="E11" i="43"/>
  <c r="E19" i="43"/>
  <c r="F19" i="43" s="1"/>
  <c r="G19" i="43" s="1"/>
  <c r="E17" i="43"/>
  <c r="F17" i="43" s="1"/>
  <c r="G17" i="43" s="1"/>
  <c r="E9" i="43"/>
  <c r="F9" i="43" s="1"/>
  <c r="G9" i="43" s="1"/>
  <c r="E16" i="43"/>
  <c r="F16" i="43" s="1"/>
  <c r="G16" i="43" s="1"/>
  <c r="E25" i="42"/>
  <c r="F25" i="42" s="1"/>
  <c r="G25" i="42" s="1"/>
  <c r="E22" i="42"/>
  <c r="F22" i="42" s="1"/>
  <c r="G22" i="42" s="1"/>
  <c r="E23" i="42"/>
  <c r="F23" i="42" s="1"/>
  <c r="G23" i="42" s="1"/>
  <c r="E24" i="42"/>
  <c r="F24" i="42" s="1"/>
  <c r="G24" i="42" s="1"/>
  <c r="E9" i="40"/>
  <c r="F9" i="40" s="1"/>
  <c r="G9" i="40" s="1"/>
  <c r="E22" i="40"/>
  <c r="F22" i="40" s="1"/>
  <c r="G22" i="40" s="1"/>
  <c r="E23" i="40"/>
  <c r="F23" i="40" s="1"/>
  <c r="G23" i="40" s="1"/>
  <c r="E24" i="41"/>
  <c r="F24" i="41" s="1"/>
  <c r="G24" i="41" s="1"/>
  <c r="E25" i="41"/>
  <c r="F25" i="41" s="1"/>
  <c r="G25" i="41" s="1"/>
  <c r="E26" i="41"/>
  <c r="F26" i="41" s="1"/>
  <c r="G26" i="41" s="1"/>
  <c r="E18" i="40"/>
  <c r="E19" i="40"/>
  <c r="F19" i="40" s="1"/>
  <c r="G19" i="40" s="1"/>
  <c r="E17" i="40"/>
  <c r="F17" i="40" s="1"/>
  <c r="G17" i="40" s="1"/>
  <c r="E13" i="40"/>
  <c r="F13" i="40" s="1"/>
  <c r="G13" i="40" s="1"/>
  <c r="E12" i="40"/>
  <c r="E10" i="40"/>
  <c r="F10" i="40" s="1"/>
  <c r="G10" i="40" s="1"/>
  <c r="E20" i="40"/>
  <c r="F20" i="40" s="1"/>
  <c r="G20" i="40" s="1"/>
  <c r="E11" i="40"/>
  <c r="F11" i="40" s="1"/>
  <c r="G11" i="40" s="1"/>
  <c r="E14" i="40"/>
  <c r="F14" i="40" s="1"/>
  <c r="G14" i="40" s="1"/>
  <c r="E15" i="40"/>
  <c r="F15" i="40" s="1"/>
  <c r="G15" i="40" s="1"/>
  <c r="E21" i="40"/>
  <c r="F21" i="40" s="1"/>
  <c r="G21" i="40" s="1"/>
  <c r="E16" i="40"/>
  <c r="E22" i="41"/>
  <c r="E27" i="39"/>
  <c r="F27" i="39" s="1"/>
  <c r="G27" i="39" s="1"/>
  <c r="E28" i="39"/>
  <c r="F28" i="39" s="1"/>
  <c r="G28" i="39" s="1"/>
  <c r="E22" i="39"/>
  <c r="F22" i="39" s="1"/>
  <c r="G22" i="39" s="1"/>
  <c r="E10" i="39"/>
  <c r="F10" i="39" s="1"/>
  <c r="G10" i="39" s="1"/>
  <c r="E17" i="39"/>
  <c r="F17" i="39" s="1"/>
  <c r="G17" i="39" s="1"/>
  <c r="E13" i="39"/>
  <c r="F13" i="39" s="1"/>
  <c r="G13" i="39" s="1"/>
  <c r="E26" i="39"/>
  <c r="F26" i="39" s="1"/>
  <c r="G26" i="39" s="1"/>
  <c r="E21" i="39"/>
  <c r="F21" i="39" s="1"/>
  <c r="E12" i="39"/>
  <c r="E19" i="39"/>
  <c r="F19" i="39" s="1"/>
  <c r="G19" i="39" s="1"/>
  <c r="E24" i="39"/>
  <c r="E20" i="39"/>
  <c r="F20" i="39" s="1"/>
  <c r="G20" i="39" s="1"/>
  <c r="E23" i="39"/>
  <c r="F23" i="39" s="1"/>
  <c r="G23" i="39" s="1"/>
  <c r="E25" i="39"/>
  <c r="F25" i="39" s="1"/>
  <c r="G25" i="39" s="1"/>
  <c r="E16" i="39"/>
  <c r="F16" i="39" s="1"/>
  <c r="G16" i="39" s="1"/>
  <c r="E11" i="39"/>
  <c r="F11" i="39" s="1"/>
  <c r="G11" i="39" s="1"/>
  <c r="E18" i="39"/>
  <c r="F18" i="39" s="1"/>
  <c r="G18" i="39" s="1"/>
  <c r="E15" i="39"/>
  <c r="F15" i="39" s="1"/>
  <c r="G15" i="39" s="1"/>
  <c r="N7" i="39"/>
  <c r="E9" i="39"/>
  <c r="F9" i="39" s="1"/>
  <c r="G9" i="39" s="1"/>
  <c r="E16" i="37"/>
  <c r="F16" i="37" s="1"/>
  <c r="G16" i="37" s="1"/>
  <c r="E17" i="37"/>
  <c r="F17" i="37" s="1"/>
  <c r="G17" i="37" s="1"/>
  <c r="E25" i="37"/>
  <c r="F25" i="37" s="1"/>
  <c r="G25" i="37" s="1"/>
  <c r="E21" i="37"/>
  <c r="F21" i="37" s="1"/>
  <c r="G21" i="37" s="1"/>
  <c r="E12" i="37"/>
  <c r="F12" i="37" s="1"/>
  <c r="G12" i="37" s="1"/>
  <c r="E11" i="37"/>
  <c r="F11" i="37" s="1"/>
  <c r="G11" i="37" s="1"/>
  <c r="E20" i="37"/>
  <c r="E13" i="37"/>
  <c r="F13" i="37" s="1"/>
  <c r="G13" i="37" s="1"/>
  <c r="E18" i="37"/>
  <c r="F18" i="37" s="1"/>
  <c r="G18" i="37" s="1"/>
  <c r="E14" i="37"/>
  <c r="E10" i="37"/>
  <c r="F10" i="37" s="1"/>
  <c r="G10" i="37" s="1"/>
  <c r="E24" i="37"/>
  <c r="F24" i="37" s="1"/>
  <c r="G24" i="37" s="1"/>
  <c r="E15" i="37"/>
  <c r="F15" i="37" s="1"/>
  <c r="G15" i="37" s="1"/>
  <c r="E17" i="42"/>
  <c r="F17" i="42" s="1"/>
  <c r="G17" i="42" s="1"/>
  <c r="E15" i="42"/>
  <c r="E9" i="42"/>
  <c r="F9" i="42" s="1"/>
  <c r="G9" i="42" s="1"/>
  <c r="E14" i="42"/>
  <c r="F14" i="42" s="1"/>
  <c r="G14" i="42" s="1"/>
  <c r="E16" i="42"/>
  <c r="E21" i="42"/>
  <c r="F21" i="42" s="1"/>
  <c r="G21" i="42" s="1"/>
  <c r="E10" i="42"/>
  <c r="F10" i="42" s="1"/>
  <c r="G10" i="42" s="1"/>
  <c r="E18" i="42"/>
  <c r="F18" i="42" s="1"/>
  <c r="G18" i="42" s="1"/>
  <c r="E12" i="42"/>
  <c r="E13" i="42"/>
  <c r="F13" i="42" s="1"/>
  <c r="G13" i="42" s="1"/>
  <c r="E19" i="42"/>
  <c r="F19" i="42" s="1"/>
  <c r="G19" i="42" s="1"/>
  <c r="E20" i="42"/>
  <c r="E15" i="41"/>
  <c r="F15" i="41" s="1"/>
  <c r="G15" i="41" s="1"/>
  <c r="E14" i="41"/>
  <c r="F14" i="41" s="1"/>
  <c r="G14" i="41" s="1"/>
  <c r="E17" i="41"/>
  <c r="F17" i="41" s="1"/>
  <c r="G17" i="41" s="1"/>
  <c r="N7" i="41"/>
  <c r="E19" i="41"/>
  <c r="F19" i="41" s="1"/>
  <c r="G19" i="41" s="1"/>
  <c r="E11" i="41"/>
  <c r="F11" i="41" s="1"/>
  <c r="G11" i="41" s="1"/>
  <c r="E9" i="41"/>
  <c r="F9" i="41" s="1"/>
  <c r="G9" i="41" s="1"/>
  <c r="E20" i="41"/>
  <c r="F20" i="41" s="1"/>
  <c r="G20" i="41" s="1"/>
  <c r="E13" i="41"/>
  <c r="F13" i="41" s="1"/>
  <c r="G13" i="41" s="1"/>
  <c r="E16" i="41"/>
  <c r="E21" i="41"/>
  <c r="F21" i="41" s="1"/>
  <c r="G21" i="41" s="1"/>
  <c r="E10" i="41"/>
  <c r="F10" i="41" s="1"/>
  <c r="G10" i="41" s="1"/>
  <c r="E18" i="41"/>
  <c r="F18" i="41" s="1"/>
  <c r="G18" i="41" s="1"/>
  <c r="E12" i="41"/>
  <c r="E18" i="38"/>
  <c r="F18" i="38" s="1"/>
  <c r="G18" i="38" s="1"/>
  <c r="E22" i="38"/>
  <c r="E14" i="38"/>
  <c r="F14" i="38" s="1"/>
  <c r="G14" i="38" s="1"/>
  <c r="N7" i="38"/>
  <c r="E24" i="38"/>
  <c r="F24" i="38" s="1"/>
  <c r="G24" i="38" s="1"/>
  <c r="E16" i="38"/>
  <c r="F16" i="38" s="1"/>
  <c r="G16" i="38" s="1"/>
  <c r="E26" i="38"/>
  <c r="F26" i="38" s="1"/>
  <c r="G26" i="38" s="1"/>
  <c r="E10" i="38"/>
  <c r="F10" i="38" s="1"/>
  <c r="G10" i="38" s="1"/>
  <c r="E9" i="38"/>
  <c r="E11" i="38"/>
  <c r="F11" i="38" s="1"/>
  <c r="G11" i="38" s="1"/>
  <c r="E23" i="38"/>
  <c r="F23" i="38" s="1"/>
  <c r="G23" i="38" s="1"/>
  <c r="E15" i="38"/>
  <c r="F15" i="38" s="1"/>
  <c r="G15" i="38" s="1"/>
  <c r="E13" i="38"/>
  <c r="E25" i="38"/>
  <c r="F25" i="38" s="1"/>
  <c r="G25" i="38" s="1"/>
  <c r="E21" i="38"/>
  <c r="E17" i="38"/>
  <c r="F17" i="38" s="1"/>
  <c r="G17" i="38" s="1"/>
  <c r="E20" i="38"/>
  <c r="F20" i="38" s="1"/>
  <c r="G20" i="38" s="1"/>
  <c r="E12" i="38"/>
  <c r="F12" i="38" s="1"/>
  <c r="G12" i="38" s="1"/>
  <c r="E9" i="37"/>
  <c r="E22" i="37"/>
  <c r="F22" i="37" s="1"/>
  <c r="G22" i="37" s="1"/>
  <c r="E19" i="37"/>
  <c r="F19" i="37" s="1"/>
  <c r="G19" i="37" s="1"/>
  <c r="E23" i="37"/>
  <c r="F23" i="37" s="1"/>
  <c r="G23" i="37" s="1"/>
  <c r="E34" i="36"/>
  <c r="F34" i="36" s="1"/>
  <c r="G34" i="36" s="1"/>
  <c r="E33" i="36"/>
  <c r="F33" i="36" s="1"/>
  <c r="G33" i="36" s="1"/>
  <c r="E32" i="36"/>
  <c r="F32" i="36" s="1"/>
  <c r="G32" i="36" s="1"/>
  <c r="E31" i="36"/>
  <c r="E29" i="36"/>
  <c r="F29" i="36" s="1"/>
  <c r="G29" i="36" s="1"/>
  <c r="E27" i="36"/>
  <c r="F27" i="36" s="1"/>
  <c r="G27" i="36" s="1"/>
  <c r="E28" i="36"/>
  <c r="F28" i="36" s="1"/>
  <c r="G28" i="36" s="1"/>
  <c r="E26" i="36"/>
  <c r="F26" i="36" s="1"/>
  <c r="G26" i="36" s="1"/>
  <c r="E16" i="36"/>
  <c r="F16" i="36" s="1"/>
  <c r="G16" i="36" s="1"/>
  <c r="E24" i="36"/>
  <c r="F24" i="36" s="1"/>
  <c r="G24" i="36" s="1"/>
  <c r="E25" i="36"/>
  <c r="F25" i="36" s="1"/>
  <c r="G25" i="36" s="1"/>
  <c r="E10" i="36"/>
  <c r="F10" i="36" s="1"/>
  <c r="G10" i="36" s="1"/>
  <c r="E23" i="36"/>
  <c r="F23" i="36" s="1"/>
  <c r="G23" i="36" s="1"/>
  <c r="E14" i="36"/>
  <c r="F14" i="36" s="1"/>
  <c r="G14" i="36" s="1"/>
  <c r="E12" i="36"/>
  <c r="F12" i="36" s="1"/>
  <c r="G12" i="36" s="1"/>
  <c r="E17" i="36"/>
  <c r="F17" i="36" s="1"/>
  <c r="G17" i="36" s="1"/>
  <c r="E13" i="36"/>
  <c r="F13" i="36" s="1"/>
  <c r="G13" i="36" s="1"/>
  <c r="E19" i="36"/>
  <c r="F19" i="36" s="1"/>
  <c r="G19" i="36" s="1"/>
  <c r="E21" i="36"/>
  <c r="E9" i="36"/>
  <c r="F9" i="36" s="1"/>
  <c r="G9" i="36" s="1"/>
  <c r="E22" i="36"/>
  <c r="F22" i="36" s="1"/>
  <c r="G22" i="36" s="1"/>
  <c r="E18" i="36"/>
  <c r="E15" i="36"/>
  <c r="F15" i="36" s="1"/>
  <c r="G15" i="36" s="1"/>
  <c r="E20" i="36"/>
  <c r="F20" i="36" s="1"/>
  <c r="G20" i="36" s="1"/>
  <c r="E11" i="36"/>
  <c r="N7" i="36"/>
  <c r="E24" i="35"/>
  <c r="F24" i="35" s="1"/>
  <c r="G24" i="35" s="1"/>
  <c r="E23" i="35"/>
  <c r="F23" i="35" s="1"/>
  <c r="G23" i="35" s="1"/>
  <c r="E15" i="35"/>
  <c r="F15" i="35" s="1"/>
  <c r="G15" i="35" s="1"/>
  <c r="E20" i="35"/>
  <c r="F20" i="35" s="1"/>
  <c r="G20" i="35" s="1"/>
  <c r="E16" i="35"/>
  <c r="F16" i="35" s="1"/>
  <c r="G16" i="35" s="1"/>
  <c r="E22" i="35"/>
  <c r="F22" i="35" s="1"/>
  <c r="G22" i="35" s="1"/>
  <c r="E14" i="35"/>
  <c r="F14" i="35" s="1"/>
  <c r="G14" i="35" s="1"/>
  <c r="E21" i="35"/>
  <c r="F21" i="35" s="1"/>
  <c r="G21" i="35" s="1"/>
  <c r="E13" i="35"/>
  <c r="F13" i="35" s="1"/>
  <c r="G13" i="35" s="1"/>
  <c r="E19" i="35"/>
  <c r="F19" i="35" s="1"/>
  <c r="G19" i="35" s="1"/>
  <c r="E17" i="35"/>
  <c r="F17" i="35" s="1"/>
  <c r="G17" i="35" s="1"/>
  <c r="E9" i="35"/>
  <c r="E11" i="35"/>
  <c r="E18" i="35"/>
  <c r="E12" i="35"/>
  <c r="F12" i="35" s="1"/>
  <c r="G12" i="35" s="1"/>
  <c r="I28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10" i="18"/>
  <c r="J9" i="18"/>
  <c r="N13" i="17"/>
  <c r="N12" i="17"/>
  <c r="N11" i="17"/>
  <c r="N10" i="17"/>
  <c r="N9" i="17"/>
  <c r="I35" i="17"/>
  <c r="G36" i="17"/>
  <c r="G35" i="17"/>
  <c r="D35" i="17"/>
  <c r="B36" i="17"/>
  <c r="B35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9" i="17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10" i="16"/>
  <c r="J9" i="16"/>
  <c r="N13" i="15"/>
  <c r="N12" i="15"/>
  <c r="N11" i="15"/>
  <c r="N10" i="15"/>
  <c r="N9" i="15"/>
  <c r="J32" i="15"/>
  <c r="H33" i="15"/>
  <c r="H32" i="15"/>
  <c r="D32" i="15"/>
  <c r="B33" i="15"/>
  <c r="B32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10" i="15"/>
  <c r="J9" i="15"/>
  <c r="J12" i="13"/>
  <c r="J13" i="13"/>
  <c r="J14" i="13"/>
  <c r="J15" i="13"/>
  <c r="J16" i="13"/>
  <c r="J17" i="13"/>
  <c r="J18" i="13"/>
  <c r="J19" i="13"/>
  <c r="J20" i="13"/>
  <c r="J21" i="13"/>
  <c r="J22" i="13"/>
  <c r="J11" i="13"/>
  <c r="J10" i="13"/>
  <c r="J9" i="13"/>
  <c r="N13" i="20"/>
  <c r="N12" i="20"/>
  <c r="N11" i="20"/>
  <c r="N10" i="20"/>
  <c r="N9" i="20"/>
  <c r="J25" i="20"/>
  <c r="H26" i="20"/>
  <c r="H25" i="20"/>
  <c r="D25" i="20"/>
  <c r="B26" i="20"/>
  <c r="B25" i="20"/>
  <c r="J11" i="20"/>
  <c r="J12" i="20"/>
  <c r="J13" i="20"/>
  <c r="J14" i="20"/>
  <c r="J15" i="20"/>
  <c r="J16" i="20"/>
  <c r="J17" i="20"/>
  <c r="J18" i="20"/>
  <c r="J19" i="20"/>
  <c r="J20" i="20"/>
  <c r="J21" i="20"/>
  <c r="J10" i="20"/>
  <c r="J9" i="20"/>
  <c r="N13" i="28"/>
  <c r="N12" i="28"/>
  <c r="N11" i="28"/>
  <c r="N10" i="28"/>
  <c r="N9" i="28"/>
  <c r="N8" i="28"/>
  <c r="N7" i="28"/>
  <c r="J34" i="28"/>
  <c r="H35" i="28"/>
  <c r="H34" i="28"/>
  <c r="D34" i="28"/>
  <c r="B35" i="28"/>
  <c r="B34" i="28"/>
  <c r="J28" i="28"/>
  <c r="J29" i="28"/>
  <c r="J30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N7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9" i="11"/>
  <c r="F9" i="45" l="1"/>
  <c r="G9" i="45" s="1"/>
  <c r="N12" i="45"/>
  <c r="N14" i="45" s="1"/>
  <c r="F16" i="51"/>
  <c r="O12" i="51"/>
  <c r="F10" i="51"/>
  <c r="G10" i="51" s="1"/>
  <c r="O11" i="51"/>
  <c r="F9" i="50"/>
  <c r="G9" i="50" s="1"/>
  <c r="N12" i="50"/>
  <c r="N14" i="50" s="1"/>
  <c r="F15" i="50"/>
  <c r="N13" i="50"/>
  <c r="F17" i="44"/>
  <c r="N13" i="44"/>
  <c r="F10" i="44"/>
  <c r="G10" i="44" s="1"/>
  <c r="N12" i="44"/>
  <c r="N14" i="44" s="1"/>
  <c r="F14" i="46"/>
  <c r="N13" i="46"/>
  <c r="F9" i="46"/>
  <c r="G9" i="46" s="1"/>
  <c r="N12" i="46"/>
  <c r="N14" i="46" s="1"/>
  <c r="F18" i="43"/>
  <c r="N13" i="43"/>
  <c r="F11" i="43"/>
  <c r="G11" i="43" s="1"/>
  <c r="N12" i="43"/>
  <c r="F22" i="38"/>
  <c r="N13" i="38"/>
  <c r="F13" i="38"/>
  <c r="G13" i="38" s="1"/>
  <c r="N12" i="38"/>
  <c r="F20" i="37"/>
  <c r="N13" i="37"/>
  <c r="F14" i="37"/>
  <c r="G14" i="37" s="1"/>
  <c r="N12" i="37"/>
  <c r="N14" i="37" s="1"/>
  <c r="F12" i="40"/>
  <c r="G12" i="40" s="1"/>
  <c r="N12" i="40"/>
  <c r="N14" i="40" s="1"/>
  <c r="F18" i="40"/>
  <c r="N13" i="40"/>
  <c r="N12" i="41"/>
  <c r="F22" i="41"/>
  <c r="N13" i="41"/>
  <c r="F20" i="42"/>
  <c r="N13" i="42"/>
  <c r="F15" i="42"/>
  <c r="G15" i="42" s="1"/>
  <c r="N12" i="42"/>
  <c r="F24" i="39"/>
  <c r="N13" i="39"/>
  <c r="F12" i="39"/>
  <c r="G12" i="39" s="1"/>
  <c r="N12" i="39"/>
  <c r="N14" i="39" s="1"/>
  <c r="F9" i="35"/>
  <c r="G9" i="35" s="1"/>
  <c r="N12" i="35"/>
  <c r="N14" i="35" s="1"/>
  <c r="N13" i="35"/>
  <c r="F31" i="36"/>
  <c r="N13" i="36"/>
  <c r="F21" i="36"/>
  <c r="G21" i="36" s="1"/>
  <c r="N12" i="36"/>
  <c r="N14" i="36" s="1"/>
  <c r="O13" i="51"/>
  <c r="F12" i="51"/>
  <c r="G12" i="51" s="1"/>
  <c r="F14" i="44"/>
  <c r="G14" i="44" s="1"/>
  <c r="F21" i="44"/>
  <c r="F14" i="45"/>
  <c r="G21" i="43"/>
  <c r="F14" i="43"/>
  <c r="G14" i="43" s="1"/>
  <c r="N14" i="43"/>
  <c r="F16" i="40"/>
  <c r="G16" i="40" s="1"/>
  <c r="N14" i="42"/>
  <c r="F12" i="42"/>
  <c r="G12" i="42" s="1"/>
  <c r="F16" i="42"/>
  <c r="F16" i="41"/>
  <c r="F12" i="41"/>
  <c r="G12" i="41" s="1"/>
  <c r="N14" i="41"/>
  <c r="N14" i="38"/>
  <c r="F9" i="38"/>
  <c r="G9" i="38" s="1"/>
  <c r="F21" i="38"/>
  <c r="G21" i="39"/>
  <c r="F9" i="37"/>
  <c r="G9" i="37" s="1"/>
  <c r="F18" i="36"/>
  <c r="F11" i="36"/>
  <c r="G11" i="36" s="1"/>
  <c r="F11" i="35"/>
  <c r="G11" i="35" s="1"/>
  <c r="F18" i="35"/>
  <c r="N10" i="35" s="1"/>
  <c r="B12" i="27"/>
  <c r="D12" i="27"/>
  <c r="J12" i="27" s="1"/>
  <c r="D28" i="32"/>
  <c r="B28" i="32"/>
  <c r="D30" i="30"/>
  <c r="B30" i="30"/>
  <c r="D30" i="29"/>
  <c r="B30" i="29"/>
  <c r="D27" i="32"/>
  <c r="B27" i="32"/>
  <c r="D29" i="30"/>
  <c r="B29" i="30"/>
  <c r="D29" i="29"/>
  <c r="B29" i="29"/>
  <c r="D26" i="32"/>
  <c r="B26" i="32"/>
  <c r="D28" i="30"/>
  <c r="B28" i="30"/>
  <c r="D28" i="29"/>
  <c r="B28" i="29"/>
  <c r="D25" i="32"/>
  <c r="B25" i="32"/>
  <c r="D27" i="30"/>
  <c r="B27" i="30"/>
  <c r="D27" i="29"/>
  <c r="B27" i="29"/>
  <c r="D24" i="32"/>
  <c r="B24" i="32"/>
  <c r="D26" i="30"/>
  <c r="B26" i="30"/>
  <c r="D26" i="29"/>
  <c r="B26" i="29"/>
  <c r="D25" i="29"/>
  <c r="B25" i="29"/>
  <c r="D23" i="32"/>
  <c r="B23" i="32"/>
  <c r="D25" i="30"/>
  <c r="B25" i="30"/>
  <c r="D24" i="29"/>
  <c r="B24" i="29"/>
  <c r="D23" i="29"/>
  <c r="B23" i="29"/>
  <c r="D22" i="32"/>
  <c r="B22" i="32"/>
  <c r="D24" i="30"/>
  <c r="B24" i="30"/>
  <c r="D22" i="29"/>
  <c r="B22" i="29"/>
  <c r="D23" i="30"/>
  <c r="B23" i="30"/>
  <c r="D21" i="29"/>
  <c r="B21" i="29"/>
  <c r="D22" i="30"/>
  <c r="B22" i="30"/>
  <c r="D20" i="29"/>
  <c r="B20" i="29"/>
  <c r="B21" i="32"/>
  <c r="B20" i="32"/>
  <c r="B19" i="32"/>
  <c r="B18" i="32"/>
  <c r="D17" i="32"/>
  <c r="B17" i="32"/>
  <c r="B16" i="32"/>
  <c r="B15" i="32"/>
  <c r="B14" i="32"/>
  <c r="B13" i="32"/>
  <c r="B12" i="32"/>
  <c r="B11" i="32"/>
  <c r="B10" i="32"/>
  <c r="B9" i="32"/>
  <c r="D18" i="32"/>
  <c r="D21" i="30"/>
  <c r="B21" i="30"/>
  <c r="B20" i="30"/>
  <c r="B19" i="30"/>
  <c r="B18" i="30"/>
  <c r="D17" i="30"/>
  <c r="B17" i="30"/>
  <c r="B16" i="30"/>
  <c r="B15" i="30"/>
  <c r="D14" i="30"/>
  <c r="B14" i="30"/>
  <c r="D13" i="30"/>
  <c r="B13" i="30"/>
  <c r="B12" i="30"/>
  <c r="B11" i="30"/>
  <c r="D10" i="30"/>
  <c r="B10" i="30"/>
  <c r="D9" i="30"/>
  <c r="B9" i="30"/>
  <c r="D18" i="30"/>
  <c r="B19" i="29"/>
  <c r="B18" i="29"/>
  <c r="B17" i="29"/>
  <c r="B16" i="29"/>
  <c r="B15" i="29"/>
  <c r="B14" i="29"/>
  <c r="B13" i="29"/>
  <c r="B12" i="29"/>
  <c r="B11" i="29"/>
  <c r="B10" i="29"/>
  <c r="B9" i="29"/>
  <c r="D17" i="29"/>
  <c r="B9" i="28"/>
  <c r="D9" i="28"/>
  <c r="B10" i="28"/>
  <c r="D10" i="28"/>
  <c r="B11" i="28"/>
  <c r="D11" i="28"/>
  <c r="B12" i="28"/>
  <c r="D12" i="28"/>
  <c r="B13" i="28"/>
  <c r="D13" i="28"/>
  <c r="B14" i="28"/>
  <c r="D14" i="28"/>
  <c r="B15" i="28"/>
  <c r="D15" i="28"/>
  <c r="B16" i="28"/>
  <c r="D16" i="28"/>
  <c r="B17" i="28"/>
  <c r="D17" i="28"/>
  <c r="B18" i="28"/>
  <c r="D18" i="28"/>
  <c r="B19" i="28"/>
  <c r="D19" i="28"/>
  <c r="B20" i="28"/>
  <c r="D20" i="28"/>
  <c r="B21" i="28"/>
  <c r="D21" i="28"/>
  <c r="B22" i="28"/>
  <c r="D22" i="28"/>
  <c r="B23" i="28"/>
  <c r="D23" i="28"/>
  <c r="B24" i="28"/>
  <c r="D24" i="28"/>
  <c r="B25" i="28"/>
  <c r="D25" i="28"/>
  <c r="B26" i="28"/>
  <c r="D26" i="28"/>
  <c r="B27" i="28"/>
  <c r="D27" i="28"/>
  <c r="B28" i="28"/>
  <c r="D28" i="28"/>
  <c r="B29" i="28"/>
  <c r="D29" i="28"/>
  <c r="B30" i="28"/>
  <c r="D30" i="28"/>
  <c r="B8" i="27"/>
  <c r="D8" i="27"/>
  <c r="B9" i="27"/>
  <c r="D9" i="27"/>
  <c r="J9" i="27" s="1"/>
  <c r="B10" i="27"/>
  <c r="D10" i="27"/>
  <c r="J10" i="27" s="1"/>
  <c r="B11" i="27"/>
  <c r="D11" i="27"/>
  <c r="J11" i="27" s="1"/>
  <c r="B13" i="27"/>
  <c r="D13" i="27"/>
  <c r="J13" i="27" s="1"/>
  <c r="B14" i="27"/>
  <c r="D14" i="27"/>
  <c r="J14" i="27" s="1"/>
  <c r="B15" i="27"/>
  <c r="D15" i="27"/>
  <c r="J15" i="27" s="1"/>
  <c r="B16" i="27"/>
  <c r="D16" i="27"/>
  <c r="J16" i="27" s="1"/>
  <c r="B17" i="27"/>
  <c r="D17" i="27"/>
  <c r="J17" i="27" s="1"/>
  <c r="B18" i="27"/>
  <c r="D18" i="27"/>
  <c r="J18" i="27" s="1"/>
  <c r="B19" i="27"/>
  <c r="D19" i="27"/>
  <c r="J19" i="27" s="1"/>
  <c r="B20" i="27"/>
  <c r="D20" i="27"/>
  <c r="J20" i="27" s="1"/>
  <c r="B21" i="27"/>
  <c r="D21" i="27"/>
  <c r="J21" i="27" s="1"/>
  <c r="B22" i="27"/>
  <c r="D22" i="27"/>
  <c r="J22" i="27" s="1"/>
  <c r="B23" i="27"/>
  <c r="D23" i="27"/>
  <c r="J23" i="27" s="1"/>
  <c r="B24" i="27"/>
  <c r="D24" i="27"/>
  <c r="J24" i="27" s="1"/>
  <c r="B25" i="27"/>
  <c r="D25" i="27"/>
  <c r="J25" i="27" s="1"/>
  <c r="B26" i="27"/>
  <c r="D26" i="27"/>
  <c r="J26" i="27" s="1"/>
  <c r="B17" i="26"/>
  <c r="B21" i="26"/>
  <c r="B20" i="26"/>
  <c r="B19" i="26"/>
  <c r="B18" i="26"/>
  <c r="B16" i="26"/>
  <c r="B15" i="26"/>
  <c r="B14" i="26"/>
  <c r="B13" i="26"/>
  <c r="B12" i="26"/>
  <c r="B11" i="26"/>
  <c r="B10" i="26"/>
  <c r="B9" i="26"/>
  <c r="B28" i="25"/>
  <c r="B27" i="25"/>
  <c r="B26" i="25"/>
  <c r="B25" i="25"/>
  <c r="B24" i="25"/>
  <c r="B23" i="25"/>
  <c r="B22" i="25"/>
  <c r="B21" i="25"/>
  <c r="B20" i="25"/>
  <c r="B19" i="25"/>
  <c r="D18" i="25"/>
  <c r="B18" i="25"/>
  <c r="B17" i="25"/>
  <c r="B16" i="25"/>
  <c r="B15" i="25"/>
  <c r="B14" i="25"/>
  <c r="B13" i="25"/>
  <c r="B12" i="25"/>
  <c r="B11" i="25"/>
  <c r="B10" i="25"/>
  <c r="B9" i="25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D32" i="17"/>
  <c r="B32" i="17"/>
  <c r="D31" i="17"/>
  <c r="B31" i="17"/>
  <c r="B14" i="18"/>
  <c r="B21" i="17"/>
  <c r="D28" i="15"/>
  <c r="B9" i="17"/>
  <c r="D19" i="20"/>
  <c r="D17" i="11"/>
  <c r="D21" i="20"/>
  <c r="B21" i="20"/>
  <c r="D20" i="20"/>
  <c r="B20" i="20"/>
  <c r="B19" i="20"/>
  <c r="D18" i="20"/>
  <c r="B18" i="20"/>
  <c r="D17" i="20"/>
  <c r="B17" i="20"/>
  <c r="D16" i="20"/>
  <c r="B16" i="20"/>
  <c r="B15" i="20"/>
  <c r="D14" i="20"/>
  <c r="B14" i="20"/>
  <c r="D13" i="20"/>
  <c r="B13" i="20"/>
  <c r="D12" i="20"/>
  <c r="B12" i="20"/>
  <c r="B11" i="20"/>
  <c r="D10" i="20"/>
  <c r="B10" i="20"/>
  <c r="D9" i="20"/>
  <c r="B9" i="20"/>
  <c r="B22" i="18"/>
  <c r="B9" i="13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D24" i="18"/>
  <c r="B24" i="18"/>
  <c r="D23" i="18"/>
  <c r="B23" i="18"/>
  <c r="D22" i="18"/>
  <c r="D21" i="18"/>
  <c r="B21" i="18"/>
  <c r="D20" i="18"/>
  <c r="B20" i="18"/>
  <c r="D19" i="18"/>
  <c r="B19" i="18"/>
  <c r="D18" i="18"/>
  <c r="B18" i="18"/>
  <c r="D17" i="18"/>
  <c r="B17" i="18"/>
  <c r="D16" i="18"/>
  <c r="B16" i="18"/>
  <c r="D15" i="18"/>
  <c r="B15" i="18"/>
  <c r="D14" i="18"/>
  <c r="D13" i="18"/>
  <c r="B13" i="18"/>
  <c r="D12" i="18"/>
  <c r="B12" i="18"/>
  <c r="D11" i="18"/>
  <c r="B11" i="18"/>
  <c r="D10" i="18"/>
  <c r="B10" i="18"/>
  <c r="D9" i="18"/>
  <c r="B9" i="18"/>
  <c r="D30" i="17"/>
  <c r="B30" i="17"/>
  <c r="D29" i="17"/>
  <c r="B29" i="17"/>
  <c r="D28" i="17"/>
  <c r="B28" i="17"/>
  <c r="D27" i="17"/>
  <c r="B27" i="17"/>
  <c r="D26" i="17"/>
  <c r="B26" i="17"/>
  <c r="D25" i="17"/>
  <c r="B25" i="17"/>
  <c r="D24" i="17"/>
  <c r="B24" i="17"/>
  <c r="D23" i="17"/>
  <c r="B23" i="17"/>
  <c r="D22" i="17"/>
  <c r="B22" i="17"/>
  <c r="D21" i="17"/>
  <c r="D20" i="17"/>
  <c r="B20" i="17"/>
  <c r="D19" i="17"/>
  <c r="B19" i="17"/>
  <c r="D18" i="17"/>
  <c r="B18" i="17"/>
  <c r="D17" i="17"/>
  <c r="B17" i="17"/>
  <c r="D16" i="17"/>
  <c r="B16" i="17"/>
  <c r="D15" i="17"/>
  <c r="B15" i="17"/>
  <c r="D14" i="17"/>
  <c r="B14" i="17"/>
  <c r="D13" i="17"/>
  <c r="B13" i="17"/>
  <c r="D12" i="17"/>
  <c r="B12" i="17"/>
  <c r="D11" i="17"/>
  <c r="B11" i="17"/>
  <c r="D10" i="17"/>
  <c r="B10" i="17"/>
  <c r="D9" i="17"/>
  <c r="D26" i="16"/>
  <c r="B26" i="16"/>
  <c r="D25" i="16"/>
  <c r="B25" i="16"/>
  <c r="B24" i="16"/>
  <c r="D23" i="16"/>
  <c r="B23" i="16"/>
  <c r="D22" i="16"/>
  <c r="B22" i="16"/>
  <c r="D21" i="16"/>
  <c r="B21" i="16"/>
  <c r="B20" i="16"/>
  <c r="D19" i="16"/>
  <c r="B19" i="16"/>
  <c r="D18" i="16"/>
  <c r="B18" i="16"/>
  <c r="D17" i="16"/>
  <c r="B17" i="16"/>
  <c r="B16" i="16"/>
  <c r="D15" i="16"/>
  <c r="B15" i="16"/>
  <c r="D14" i="16"/>
  <c r="B14" i="16"/>
  <c r="D13" i="16"/>
  <c r="B13" i="16"/>
  <c r="B12" i="16"/>
  <c r="D11" i="16"/>
  <c r="B11" i="16"/>
  <c r="D10" i="16"/>
  <c r="B10" i="16"/>
  <c r="D9" i="16"/>
  <c r="B9" i="16"/>
  <c r="B28" i="15"/>
  <c r="B27" i="15"/>
  <c r="D26" i="15"/>
  <c r="B26" i="15"/>
  <c r="D25" i="15"/>
  <c r="B25" i="15"/>
  <c r="B24" i="15"/>
  <c r="B23" i="15"/>
  <c r="B22" i="15"/>
  <c r="D21" i="15"/>
  <c r="B21" i="15"/>
  <c r="B20" i="15"/>
  <c r="B19" i="15"/>
  <c r="D18" i="15"/>
  <c r="B18" i="15"/>
  <c r="B17" i="15"/>
  <c r="B16" i="15"/>
  <c r="B15" i="15"/>
  <c r="D14" i="15"/>
  <c r="B14" i="15"/>
  <c r="D13" i="15"/>
  <c r="B13" i="15"/>
  <c r="B12" i="15"/>
  <c r="B11" i="15"/>
  <c r="D10" i="15"/>
  <c r="B10" i="15"/>
  <c r="D9" i="15"/>
  <c r="B9" i="15"/>
  <c r="D22" i="13"/>
  <c r="B22" i="13"/>
  <c r="D21" i="13"/>
  <c r="B21" i="13"/>
  <c r="D20" i="13"/>
  <c r="B20" i="13"/>
  <c r="D19" i="13"/>
  <c r="B19" i="13"/>
  <c r="D18" i="13"/>
  <c r="B18" i="13"/>
  <c r="D17" i="13"/>
  <c r="B17" i="13"/>
  <c r="D16" i="13"/>
  <c r="B16" i="13"/>
  <c r="D15" i="13"/>
  <c r="B15" i="13"/>
  <c r="D14" i="13"/>
  <c r="B14" i="13"/>
  <c r="D13" i="13"/>
  <c r="B13" i="13"/>
  <c r="D12" i="13"/>
  <c r="B12" i="13"/>
  <c r="D11" i="13"/>
  <c r="B11" i="13"/>
  <c r="D10" i="13"/>
  <c r="B10" i="13"/>
  <c r="D9" i="13"/>
  <c r="B17" i="11"/>
  <c r="B10" i="11"/>
  <c r="B13" i="11"/>
  <c r="B14" i="11"/>
  <c r="B15" i="11"/>
  <c r="B16" i="11"/>
  <c r="B18" i="11"/>
  <c r="B21" i="11"/>
  <c r="B22" i="11"/>
  <c r="B23" i="11"/>
  <c r="B19" i="11"/>
  <c r="B12" i="11"/>
  <c r="B11" i="11"/>
  <c r="B20" i="11"/>
  <c r="B9" i="11"/>
  <c r="D11" i="20"/>
  <c r="D15" i="20"/>
  <c r="D22" i="11"/>
  <c r="D14" i="11"/>
  <c r="D20" i="11"/>
  <c r="D11" i="11"/>
  <c r="D16" i="11"/>
  <c r="D9" i="11"/>
  <c r="D21" i="11"/>
  <c r="D12" i="11"/>
  <c r="D19" i="11"/>
  <c r="D23" i="11"/>
  <c r="D15" i="11"/>
  <c r="D13" i="11"/>
  <c r="D18" i="11"/>
  <c r="D10" i="11"/>
  <c r="D14" i="25"/>
  <c r="D10" i="25"/>
  <c r="D15" i="25"/>
  <c r="D21" i="25"/>
  <c r="D24" i="25"/>
  <c r="D11" i="25"/>
  <c r="D28" i="25"/>
  <c r="D23" i="25"/>
  <c r="D17" i="15"/>
  <c r="D22" i="15"/>
  <c r="E22" i="15" s="1"/>
  <c r="F22" i="15" s="1"/>
  <c r="G22" i="15" s="1"/>
  <c r="D10" i="26"/>
  <c r="D14" i="26"/>
  <c r="D18" i="26"/>
  <c r="D11" i="26"/>
  <c r="D15" i="26"/>
  <c r="D20" i="26"/>
  <c r="D12" i="26"/>
  <c r="D16" i="26"/>
  <c r="D9" i="26"/>
  <c r="D13" i="26"/>
  <c r="D17" i="26"/>
  <c r="D20" i="25"/>
  <c r="D12" i="25"/>
  <c r="D16" i="25"/>
  <c r="D25" i="25"/>
  <c r="D9" i="25"/>
  <c r="D13" i="25"/>
  <c r="D17" i="25"/>
  <c r="D26" i="25"/>
  <c r="D13" i="24"/>
  <c r="D11" i="24"/>
  <c r="D15" i="24"/>
  <c r="D20" i="24"/>
  <c r="D25" i="24"/>
  <c r="D12" i="24"/>
  <c r="D16" i="24"/>
  <c r="D9" i="24"/>
  <c r="D17" i="24"/>
  <c r="D23" i="24"/>
  <c r="D10" i="24"/>
  <c r="D14" i="24"/>
  <c r="D24" i="24"/>
  <c r="D19" i="26"/>
  <c r="D21" i="26"/>
  <c r="D19" i="25"/>
  <c r="D27" i="25"/>
  <c r="D22" i="25"/>
  <c r="D19" i="24"/>
  <c r="D27" i="24"/>
  <c r="D18" i="24"/>
  <c r="D26" i="24"/>
  <c r="D22" i="24"/>
  <c r="D21" i="24"/>
  <c r="D15" i="19"/>
  <c r="D12" i="19"/>
  <c r="D20" i="19"/>
  <c r="D10" i="19"/>
  <c r="D14" i="19"/>
  <c r="D18" i="19"/>
  <c r="D11" i="19"/>
  <c r="D19" i="19"/>
  <c r="D16" i="19"/>
  <c r="D9" i="19"/>
  <c r="D13" i="19"/>
  <c r="D17" i="19"/>
  <c r="D21" i="19"/>
  <c r="D11" i="15"/>
  <c r="D15" i="15"/>
  <c r="D19" i="15"/>
  <c r="D23" i="15"/>
  <c r="D27" i="15"/>
  <c r="D12" i="15"/>
  <c r="D16" i="15"/>
  <c r="E16" i="15" s="1"/>
  <c r="F16" i="15" s="1"/>
  <c r="G16" i="15" s="1"/>
  <c r="D20" i="15"/>
  <c r="D24" i="15"/>
  <c r="D12" i="16"/>
  <c r="D16" i="16"/>
  <c r="D20" i="16"/>
  <c r="D24" i="16"/>
  <c r="D9" i="29"/>
  <c r="D12" i="29"/>
  <c r="D16" i="29"/>
  <c r="D11" i="29"/>
  <c r="D12" i="30"/>
  <c r="D16" i="30"/>
  <c r="D11" i="30"/>
  <c r="D15" i="30"/>
  <c r="D13" i="29"/>
  <c r="D10" i="29"/>
  <c r="N7" i="29" s="1"/>
  <c r="D18" i="29"/>
  <c r="D16" i="32"/>
  <c r="D9" i="32"/>
  <c r="D10" i="32"/>
  <c r="D11" i="32"/>
  <c r="D12" i="32"/>
  <c r="D13" i="32"/>
  <c r="D14" i="32"/>
  <c r="D15" i="32"/>
  <c r="D21" i="32"/>
  <c r="D20" i="32"/>
  <c r="D19" i="32"/>
  <c r="D20" i="30"/>
  <c r="D19" i="30"/>
  <c r="D14" i="29"/>
  <c r="D19" i="29"/>
  <c r="D15" i="29"/>
  <c r="I29" i="27" l="1"/>
  <c r="B29" i="27"/>
  <c r="B30" i="27" s="1"/>
  <c r="E12" i="27" s="1"/>
  <c r="F12" i="27" s="1"/>
  <c r="G12" i="27" s="1"/>
  <c r="J8" i="27"/>
  <c r="G14" i="45"/>
  <c r="G24" i="45" s="1"/>
  <c r="G25" i="45" s="1"/>
  <c r="N10" i="45"/>
  <c r="G16" i="51"/>
  <c r="G25" i="51" s="1"/>
  <c r="G26" i="51" s="1"/>
  <c r="H16" i="51" s="1"/>
  <c r="O9" i="51"/>
  <c r="G15" i="50"/>
  <c r="G25" i="50" s="1"/>
  <c r="G26" i="50" s="1"/>
  <c r="H19" i="50" s="1"/>
  <c r="I19" i="50" s="1"/>
  <c r="N10" i="50"/>
  <c r="G17" i="44"/>
  <c r="N10" i="44"/>
  <c r="G14" i="46"/>
  <c r="G25" i="46" s="1"/>
  <c r="G26" i="46" s="1"/>
  <c r="H20" i="46" s="1"/>
  <c r="I20" i="46" s="1"/>
  <c r="N10" i="46"/>
  <c r="G18" i="43"/>
  <c r="G27" i="43" s="1"/>
  <c r="G28" i="43" s="1"/>
  <c r="H20" i="43" s="1"/>
  <c r="I20" i="43" s="1"/>
  <c r="N10" i="43"/>
  <c r="G22" i="38"/>
  <c r="H29" i="38" s="1"/>
  <c r="H30" i="38" s="1"/>
  <c r="N10" i="38"/>
  <c r="G20" i="37"/>
  <c r="H28" i="37" s="1"/>
  <c r="H29" i="37" s="1"/>
  <c r="H11" i="37" s="1"/>
  <c r="I11" i="37" s="1"/>
  <c r="N10" i="37"/>
  <c r="G18" i="40"/>
  <c r="G28" i="40" s="1"/>
  <c r="G29" i="40" s="1"/>
  <c r="H22" i="40" s="1"/>
  <c r="I22" i="40" s="1"/>
  <c r="N10" i="40"/>
  <c r="G22" i="41"/>
  <c r="G29" i="41" s="1"/>
  <c r="G30" i="41" s="1"/>
  <c r="N10" i="41"/>
  <c r="G20" i="42"/>
  <c r="G28" i="42" s="1"/>
  <c r="G29" i="42" s="1"/>
  <c r="N10" i="42"/>
  <c r="G24" i="39"/>
  <c r="H31" i="39" s="1"/>
  <c r="H32" i="39" s="1"/>
  <c r="H28" i="39" s="1"/>
  <c r="I28" i="39" s="1"/>
  <c r="N10" i="39"/>
  <c r="G31" i="36"/>
  <c r="G38" i="36" s="1"/>
  <c r="G39" i="36" s="1"/>
  <c r="N8" i="36" s="1"/>
  <c r="N10" i="36"/>
  <c r="H18" i="46"/>
  <c r="I18" i="46" s="1"/>
  <c r="H11" i="46"/>
  <c r="I11" i="46" s="1"/>
  <c r="H19" i="46"/>
  <c r="I19" i="46" s="1"/>
  <c r="H13" i="46"/>
  <c r="I13" i="46" s="1"/>
  <c r="H15" i="51"/>
  <c r="I15" i="51" s="1"/>
  <c r="H14" i="51"/>
  <c r="I14" i="51" s="1"/>
  <c r="H12" i="51"/>
  <c r="I12" i="51" s="1"/>
  <c r="H21" i="51"/>
  <c r="I21" i="51" s="1"/>
  <c r="H9" i="51"/>
  <c r="I9" i="51" s="1"/>
  <c r="H17" i="51"/>
  <c r="I17" i="51" s="1"/>
  <c r="H18" i="51"/>
  <c r="I18" i="51" s="1"/>
  <c r="H14" i="46"/>
  <c r="H10" i="46"/>
  <c r="I10" i="46" s="1"/>
  <c r="G21" i="44"/>
  <c r="G24" i="44" s="1"/>
  <c r="G25" i="44" s="1"/>
  <c r="H21" i="43"/>
  <c r="H13" i="43"/>
  <c r="I13" i="43" s="1"/>
  <c r="H11" i="43"/>
  <c r="I11" i="43" s="1"/>
  <c r="N8" i="43"/>
  <c r="H18" i="43"/>
  <c r="H10" i="43"/>
  <c r="I10" i="43" s="1"/>
  <c r="H17" i="43"/>
  <c r="I17" i="43" s="1"/>
  <c r="H16" i="43"/>
  <c r="I16" i="43" s="1"/>
  <c r="H23" i="43"/>
  <c r="I23" i="43" s="1"/>
  <c r="H15" i="43"/>
  <c r="I15" i="43" s="1"/>
  <c r="H22" i="43"/>
  <c r="I22" i="43" s="1"/>
  <c r="H14" i="43"/>
  <c r="I14" i="43" s="1"/>
  <c r="H23" i="40"/>
  <c r="I23" i="40" s="1"/>
  <c r="H17" i="37"/>
  <c r="I17" i="37" s="1"/>
  <c r="H12" i="37"/>
  <c r="I12" i="37" s="1"/>
  <c r="H25" i="37"/>
  <c r="I25" i="37" s="1"/>
  <c r="H20" i="37"/>
  <c r="H14" i="37"/>
  <c r="I14" i="37" s="1"/>
  <c r="H10" i="37"/>
  <c r="I10" i="37" s="1"/>
  <c r="H13" i="37"/>
  <c r="I13" i="37" s="1"/>
  <c r="H18" i="37"/>
  <c r="I18" i="37" s="1"/>
  <c r="H23" i="37"/>
  <c r="I23" i="37" s="1"/>
  <c r="N8" i="37"/>
  <c r="H24" i="37"/>
  <c r="I24" i="37" s="1"/>
  <c r="H19" i="37"/>
  <c r="I19" i="37" s="1"/>
  <c r="H22" i="37"/>
  <c r="I22" i="37" s="1"/>
  <c r="H21" i="37"/>
  <c r="H15" i="37"/>
  <c r="I15" i="37" s="1"/>
  <c r="H9" i="37"/>
  <c r="I9" i="37" s="1"/>
  <c r="H16" i="37"/>
  <c r="I16" i="37" s="1"/>
  <c r="G16" i="42"/>
  <c r="H21" i="40"/>
  <c r="I21" i="40" s="1"/>
  <c r="H13" i="40"/>
  <c r="I13" i="40" s="1"/>
  <c r="H20" i="40"/>
  <c r="I20" i="40" s="1"/>
  <c r="H12" i="40"/>
  <c r="I12" i="40" s="1"/>
  <c r="H19" i="40"/>
  <c r="I19" i="40" s="1"/>
  <c r="H11" i="40"/>
  <c r="I11" i="40" s="1"/>
  <c r="N8" i="40"/>
  <c r="H18" i="40"/>
  <c r="H10" i="40"/>
  <c r="I10" i="40" s="1"/>
  <c r="H17" i="40"/>
  <c r="I17" i="40" s="1"/>
  <c r="H9" i="40"/>
  <c r="I9" i="40" s="1"/>
  <c r="H15" i="40"/>
  <c r="I15" i="40" s="1"/>
  <c r="H16" i="40"/>
  <c r="H14" i="40"/>
  <c r="I14" i="40" s="1"/>
  <c r="G16" i="41"/>
  <c r="G21" i="38"/>
  <c r="N8" i="39"/>
  <c r="H26" i="39"/>
  <c r="I26" i="39" s="1"/>
  <c r="H16" i="39"/>
  <c r="I16" i="39" s="1"/>
  <c r="H22" i="39"/>
  <c r="I22" i="39" s="1"/>
  <c r="G18" i="36"/>
  <c r="G18" i="35"/>
  <c r="G29" i="35" s="1"/>
  <c r="G30" i="35" s="1"/>
  <c r="N8" i="35" s="1"/>
  <c r="E12" i="30"/>
  <c r="F12" i="30" s="1"/>
  <c r="G12" i="30" s="1"/>
  <c r="E19" i="26"/>
  <c r="F19" i="26" s="1"/>
  <c r="G19" i="26" s="1"/>
  <c r="E20" i="26"/>
  <c r="F20" i="26" s="1"/>
  <c r="G20" i="26" s="1"/>
  <c r="E17" i="25"/>
  <c r="F17" i="25" s="1"/>
  <c r="G17" i="25" s="1"/>
  <c r="E13" i="24"/>
  <c r="F13" i="24" s="1"/>
  <c r="G13" i="24" s="1"/>
  <c r="E23" i="24"/>
  <c r="F23" i="24" s="1"/>
  <c r="G23" i="24" s="1"/>
  <c r="E11" i="24"/>
  <c r="F11" i="24" s="1"/>
  <c r="G11" i="24" s="1"/>
  <c r="I25" i="19"/>
  <c r="D25" i="19"/>
  <c r="B26" i="19"/>
  <c r="N7" i="19" s="1"/>
  <c r="E21" i="16"/>
  <c r="F21" i="16" s="1"/>
  <c r="G21" i="16" s="1"/>
  <c r="E24" i="16"/>
  <c r="F24" i="16" s="1"/>
  <c r="G24" i="16" s="1"/>
  <c r="E15" i="16"/>
  <c r="F15" i="16" s="1"/>
  <c r="G15" i="16" s="1"/>
  <c r="E16" i="16"/>
  <c r="F16" i="16" s="1"/>
  <c r="G16" i="16" s="1"/>
  <c r="E11" i="16"/>
  <c r="F11" i="16" s="1"/>
  <c r="G11" i="16" s="1"/>
  <c r="E25" i="16"/>
  <c r="F25" i="16" s="1"/>
  <c r="G25" i="16" s="1"/>
  <c r="E20" i="15"/>
  <c r="F20" i="15" s="1"/>
  <c r="G20" i="15" s="1"/>
  <c r="E13" i="15"/>
  <c r="F13" i="15" s="1"/>
  <c r="G13" i="15" s="1"/>
  <c r="E11" i="18"/>
  <c r="F11" i="18" s="1"/>
  <c r="G11" i="18" s="1"/>
  <c r="E20" i="11"/>
  <c r="E13" i="11"/>
  <c r="F13" i="11" s="1"/>
  <c r="G13" i="11" s="1"/>
  <c r="E16" i="11"/>
  <c r="F16" i="11" s="1"/>
  <c r="G16" i="11" s="1"/>
  <c r="E19" i="11"/>
  <c r="F19" i="11" s="1"/>
  <c r="G19" i="11" s="1"/>
  <c r="E21" i="11"/>
  <c r="F21" i="11" s="1"/>
  <c r="G21" i="11" s="1"/>
  <c r="E12" i="11"/>
  <c r="F12" i="11" s="1"/>
  <c r="G12" i="11" s="1"/>
  <c r="E14" i="11"/>
  <c r="E17" i="11"/>
  <c r="F17" i="11" s="1"/>
  <c r="G17" i="11" s="1"/>
  <c r="E9" i="11"/>
  <c r="E10" i="11"/>
  <c r="F10" i="11" s="1"/>
  <c r="G10" i="11" s="1"/>
  <c r="E23" i="11"/>
  <c r="F23" i="11" s="1"/>
  <c r="G23" i="11" s="1"/>
  <c r="E18" i="11"/>
  <c r="F18" i="11" s="1"/>
  <c r="G18" i="11" s="1"/>
  <c r="E15" i="11"/>
  <c r="F15" i="11" s="1"/>
  <c r="G15" i="11" s="1"/>
  <c r="E22" i="11"/>
  <c r="F22" i="11" s="1"/>
  <c r="G22" i="11" s="1"/>
  <c r="E11" i="11"/>
  <c r="F11" i="11" s="1"/>
  <c r="G11" i="11" s="1"/>
  <c r="D29" i="27"/>
  <c r="E12" i="28"/>
  <c r="F12" i="28" s="1"/>
  <c r="G12" i="28" s="1"/>
  <c r="E10" i="15"/>
  <c r="F10" i="15" s="1"/>
  <c r="G10" i="15" s="1"/>
  <c r="E26" i="15"/>
  <c r="F26" i="15" s="1"/>
  <c r="G26" i="15" s="1"/>
  <c r="E28" i="15"/>
  <c r="F28" i="15" s="1"/>
  <c r="G28" i="15" s="1"/>
  <c r="E25" i="15"/>
  <c r="F25" i="15" s="1"/>
  <c r="G25" i="15" s="1"/>
  <c r="E14" i="15"/>
  <c r="E17" i="15"/>
  <c r="F17" i="15" s="1"/>
  <c r="G17" i="15" s="1"/>
  <c r="E12" i="15"/>
  <c r="F12" i="15" s="1"/>
  <c r="G12" i="15" s="1"/>
  <c r="E18" i="15"/>
  <c r="F18" i="15" s="1"/>
  <c r="G18" i="15" s="1"/>
  <c r="E27" i="15"/>
  <c r="F27" i="15" s="1"/>
  <c r="G27" i="15" s="1"/>
  <c r="E15" i="15"/>
  <c r="F15" i="15" s="1"/>
  <c r="G15" i="15" s="1"/>
  <c r="E9" i="15"/>
  <c r="N7" i="15"/>
  <c r="E19" i="15"/>
  <c r="F19" i="15" s="1"/>
  <c r="G19" i="15" s="1"/>
  <c r="E24" i="15"/>
  <c r="F24" i="15" s="1"/>
  <c r="G24" i="15" s="1"/>
  <c r="E11" i="15"/>
  <c r="F11" i="15" s="1"/>
  <c r="G11" i="15" s="1"/>
  <c r="E21" i="15"/>
  <c r="F21" i="15" s="1"/>
  <c r="G21" i="15" s="1"/>
  <c r="E23" i="15"/>
  <c r="F23" i="15" s="1"/>
  <c r="G23" i="15" s="1"/>
  <c r="E13" i="16"/>
  <c r="F13" i="16" s="1"/>
  <c r="G13" i="16" s="1"/>
  <c r="E26" i="16"/>
  <c r="F26" i="16" s="1"/>
  <c r="G26" i="16" s="1"/>
  <c r="E17" i="16"/>
  <c r="F17" i="16" s="1"/>
  <c r="G17" i="16" s="1"/>
  <c r="E18" i="16"/>
  <c r="F18" i="16" s="1"/>
  <c r="G18" i="16" s="1"/>
  <c r="E9" i="16"/>
  <c r="E12" i="16"/>
  <c r="F12" i="16" s="1"/>
  <c r="G12" i="16" s="1"/>
  <c r="E20" i="16"/>
  <c r="F20" i="16" s="1"/>
  <c r="G20" i="16" s="1"/>
  <c r="E22" i="16"/>
  <c r="E14" i="16"/>
  <c r="E23" i="16"/>
  <c r="F23" i="16" s="1"/>
  <c r="G23" i="16" s="1"/>
  <c r="E10" i="16"/>
  <c r="F10" i="16" s="1"/>
  <c r="G10" i="16" s="1"/>
  <c r="E19" i="16"/>
  <c r="F19" i="16" s="1"/>
  <c r="G19" i="16" s="1"/>
  <c r="E9" i="18"/>
  <c r="E27" i="24"/>
  <c r="F27" i="24" s="1"/>
  <c r="G27" i="24" s="1"/>
  <c r="E21" i="24"/>
  <c r="F21" i="24" s="1"/>
  <c r="G21" i="24" s="1"/>
  <c r="E14" i="24"/>
  <c r="E18" i="24"/>
  <c r="F18" i="24" s="1"/>
  <c r="G18" i="24" s="1"/>
  <c r="E25" i="24"/>
  <c r="F25" i="24" s="1"/>
  <c r="G25" i="24" s="1"/>
  <c r="N7" i="24"/>
  <c r="E12" i="24"/>
  <c r="F12" i="24" s="1"/>
  <c r="G12" i="24" s="1"/>
  <c r="E15" i="24"/>
  <c r="F15" i="24" s="1"/>
  <c r="G15" i="24" s="1"/>
  <c r="E17" i="24"/>
  <c r="F17" i="24" s="1"/>
  <c r="G17" i="24" s="1"/>
  <c r="E19" i="24"/>
  <c r="F19" i="24" s="1"/>
  <c r="G19" i="24" s="1"/>
  <c r="E22" i="24"/>
  <c r="F22" i="24" s="1"/>
  <c r="G22" i="24" s="1"/>
  <c r="E20" i="24"/>
  <c r="F20" i="24" s="1"/>
  <c r="G20" i="24" s="1"/>
  <c r="E9" i="24"/>
  <c r="E10" i="24"/>
  <c r="F10" i="24" s="1"/>
  <c r="G10" i="24" s="1"/>
  <c r="E26" i="24"/>
  <c r="F26" i="24" s="1"/>
  <c r="G26" i="24" s="1"/>
  <c r="E16" i="24"/>
  <c r="F16" i="24" s="1"/>
  <c r="G16" i="24" s="1"/>
  <c r="E24" i="24"/>
  <c r="F24" i="24" s="1"/>
  <c r="G24" i="24" s="1"/>
  <c r="E14" i="25"/>
  <c r="E19" i="25"/>
  <c r="F19" i="25" s="1"/>
  <c r="G19" i="25" s="1"/>
  <c r="E20" i="25"/>
  <c r="F20" i="25" s="1"/>
  <c r="G20" i="25" s="1"/>
  <c r="E26" i="25"/>
  <c r="F26" i="25" s="1"/>
  <c r="G26" i="25" s="1"/>
  <c r="E28" i="25"/>
  <c r="F28" i="25" s="1"/>
  <c r="G28" i="25" s="1"/>
  <c r="E10" i="25"/>
  <c r="F10" i="25" s="1"/>
  <c r="G10" i="25" s="1"/>
  <c r="E13" i="25"/>
  <c r="F13" i="25" s="1"/>
  <c r="G13" i="25" s="1"/>
  <c r="E15" i="25"/>
  <c r="F15" i="25" s="1"/>
  <c r="G15" i="25" s="1"/>
  <c r="E24" i="25"/>
  <c r="F24" i="25" s="1"/>
  <c r="G24" i="25" s="1"/>
  <c r="E9" i="25"/>
  <c r="E21" i="25"/>
  <c r="F21" i="25" s="1"/>
  <c r="G21" i="25" s="1"/>
  <c r="E27" i="25"/>
  <c r="F27" i="25" s="1"/>
  <c r="G27" i="25" s="1"/>
  <c r="E22" i="25"/>
  <c r="F22" i="25" s="1"/>
  <c r="G22" i="25" s="1"/>
  <c r="E12" i="25"/>
  <c r="F12" i="25" s="1"/>
  <c r="G12" i="25" s="1"/>
  <c r="N7" i="25"/>
  <c r="E23" i="25"/>
  <c r="F23" i="25" s="1"/>
  <c r="G23" i="25" s="1"/>
  <c r="E25" i="25"/>
  <c r="F25" i="25" s="1"/>
  <c r="G25" i="25" s="1"/>
  <c r="E18" i="25"/>
  <c r="F18" i="25" s="1"/>
  <c r="G18" i="25" s="1"/>
  <c r="E16" i="25"/>
  <c r="F16" i="25" s="1"/>
  <c r="G16" i="25" s="1"/>
  <c r="E11" i="25"/>
  <c r="F11" i="25" s="1"/>
  <c r="G11" i="25" s="1"/>
  <c r="E10" i="26"/>
  <c r="F10" i="26" s="1"/>
  <c r="G10" i="26" s="1"/>
  <c r="E18" i="26"/>
  <c r="F18" i="26" s="1"/>
  <c r="G18" i="26" s="1"/>
  <c r="E11" i="26"/>
  <c r="F11" i="26" s="1"/>
  <c r="G11" i="26" s="1"/>
  <c r="E21" i="26"/>
  <c r="F21" i="26" s="1"/>
  <c r="G21" i="26" s="1"/>
  <c r="E9" i="26"/>
  <c r="E16" i="26"/>
  <c r="F16" i="26" s="1"/>
  <c r="G16" i="26" s="1"/>
  <c r="E13" i="26"/>
  <c r="F13" i="26" s="1"/>
  <c r="G13" i="26" s="1"/>
  <c r="E14" i="26"/>
  <c r="E12" i="26"/>
  <c r="F12" i="26" s="1"/>
  <c r="G12" i="26" s="1"/>
  <c r="E15" i="26"/>
  <c r="F15" i="26" s="1"/>
  <c r="G15" i="26" s="1"/>
  <c r="E17" i="26"/>
  <c r="F17" i="26" s="1"/>
  <c r="G17" i="26" s="1"/>
  <c r="E11" i="29"/>
  <c r="F11" i="29" s="1"/>
  <c r="G11" i="29" s="1"/>
  <c r="E14" i="29"/>
  <c r="F14" i="29" s="1"/>
  <c r="G14" i="29" s="1"/>
  <c r="E27" i="29"/>
  <c r="F27" i="29" s="1"/>
  <c r="G27" i="29" s="1"/>
  <c r="E29" i="29"/>
  <c r="F29" i="29" s="1"/>
  <c r="G29" i="29" s="1"/>
  <c r="E26" i="29"/>
  <c r="F26" i="29" s="1"/>
  <c r="G26" i="29" s="1"/>
  <c r="E17" i="29"/>
  <c r="F17" i="29" s="1"/>
  <c r="G17" i="29" s="1"/>
  <c r="E28" i="29"/>
  <c r="F28" i="29" s="1"/>
  <c r="G28" i="29" s="1"/>
  <c r="E16" i="29"/>
  <c r="F16" i="29" s="1"/>
  <c r="G16" i="29" s="1"/>
  <c r="E25" i="29"/>
  <c r="E10" i="29"/>
  <c r="F10" i="29" s="1"/>
  <c r="G10" i="29" s="1"/>
  <c r="E20" i="29"/>
  <c r="F20" i="29" s="1"/>
  <c r="G20" i="29" s="1"/>
  <c r="E24" i="29"/>
  <c r="F24" i="29" s="1"/>
  <c r="G24" i="29" s="1"/>
  <c r="E19" i="29"/>
  <c r="F19" i="29" s="1"/>
  <c r="G19" i="29" s="1"/>
  <c r="E22" i="29"/>
  <c r="F22" i="29" s="1"/>
  <c r="G22" i="29" s="1"/>
  <c r="E9" i="29"/>
  <c r="E13" i="29"/>
  <c r="F13" i="29" s="1"/>
  <c r="G13" i="29" s="1"/>
  <c r="E23" i="29"/>
  <c r="F23" i="29" s="1"/>
  <c r="G23" i="29" s="1"/>
  <c r="E12" i="29"/>
  <c r="E30" i="29"/>
  <c r="F30" i="29" s="1"/>
  <c r="G30" i="29" s="1"/>
  <c r="E15" i="29"/>
  <c r="F15" i="29" s="1"/>
  <c r="G15" i="29" s="1"/>
  <c r="E18" i="29"/>
  <c r="E21" i="29"/>
  <c r="F21" i="29" s="1"/>
  <c r="G21" i="29" s="1"/>
  <c r="E24" i="30"/>
  <c r="F24" i="30" s="1"/>
  <c r="G24" i="30" s="1"/>
  <c r="E29" i="30"/>
  <c r="F29" i="30" s="1"/>
  <c r="G29" i="30" s="1"/>
  <c r="E13" i="30"/>
  <c r="F13" i="30" s="1"/>
  <c r="G13" i="30" s="1"/>
  <c r="E30" i="30"/>
  <c r="F30" i="30" s="1"/>
  <c r="G30" i="30" s="1"/>
  <c r="E25" i="30"/>
  <c r="F25" i="30" s="1"/>
  <c r="G25" i="30" s="1"/>
  <c r="E26" i="30"/>
  <c r="F26" i="30" s="1"/>
  <c r="G26" i="30" s="1"/>
  <c r="E21" i="30"/>
  <c r="F21" i="30" s="1"/>
  <c r="G21" i="30" s="1"/>
  <c r="E23" i="30"/>
  <c r="F23" i="30" s="1"/>
  <c r="G23" i="30" s="1"/>
  <c r="E17" i="30"/>
  <c r="F17" i="30" s="1"/>
  <c r="G17" i="30" s="1"/>
  <c r="E19" i="30"/>
  <c r="F19" i="30" s="1"/>
  <c r="G19" i="30" s="1"/>
  <c r="E18" i="30"/>
  <c r="F18" i="30" s="1"/>
  <c r="G18" i="30" s="1"/>
  <c r="E15" i="30"/>
  <c r="F15" i="30" s="1"/>
  <c r="G15" i="30" s="1"/>
  <c r="E28" i="30"/>
  <c r="F28" i="30" s="1"/>
  <c r="G28" i="30" s="1"/>
  <c r="E27" i="30"/>
  <c r="F27" i="30" s="1"/>
  <c r="G27" i="30" s="1"/>
  <c r="E22" i="30"/>
  <c r="F22" i="30" s="1"/>
  <c r="G22" i="30" s="1"/>
  <c r="E16" i="30"/>
  <c r="F16" i="30" s="1"/>
  <c r="G16" i="30" s="1"/>
  <c r="E14" i="30"/>
  <c r="E20" i="30"/>
  <c r="F20" i="30" s="1"/>
  <c r="G20" i="30" s="1"/>
  <c r="E11" i="30"/>
  <c r="F11" i="30" s="1"/>
  <c r="G11" i="30" s="1"/>
  <c r="E10" i="30"/>
  <c r="F10" i="30" s="1"/>
  <c r="G10" i="30" s="1"/>
  <c r="E9" i="30"/>
  <c r="E15" i="32"/>
  <c r="F15" i="32" s="1"/>
  <c r="G15" i="32" s="1"/>
  <c r="H19" i="51" l="1"/>
  <c r="I19" i="51" s="1"/>
  <c r="H9" i="46"/>
  <c r="I9" i="46" s="1"/>
  <c r="H12" i="46"/>
  <c r="I12" i="46" s="1"/>
  <c r="H15" i="46"/>
  <c r="I15" i="46" s="1"/>
  <c r="H16" i="46"/>
  <c r="I16" i="46" s="1"/>
  <c r="H21" i="46"/>
  <c r="I21" i="46" s="1"/>
  <c r="I16" i="51"/>
  <c r="O8" i="51"/>
  <c r="H13" i="51"/>
  <c r="I13" i="51" s="1"/>
  <c r="H11" i="51"/>
  <c r="I11" i="51" s="1"/>
  <c r="H10" i="51"/>
  <c r="I10" i="51" s="1"/>
  <c r="O7" i="51"/>
  <c r="H20" i="51"/>
  <c r="I20" i="51" s="1"/>
  <c r="H9" i="50"/>
  <c r="I9" i="50" s="1"/>
  <c r="H10" i="50"/>
  <c r="I10" i="50" s="1"/>
  <c r="H13" i="50"/>
  <c r="I13" i="50" s="1"/>
  <c r="H12" i="50"/>
  <c r="I12" i="50" s="1"/>
  <c r="H18" i="50"/>
  <c r="I18" i="50" s="1"/>
  <c r="H21" i="50"/>
  <c r="I21" i="50" s="1"/>
  <c r="H14" i="50"/>
  <c r="I14" i="50" s="1"/>
  <c r="H20" i="50"/>
  <c r="I20" i="50" s="1"/>
  <c r="N8" i="50"/>
  <c r="H17" i="50"/>
  <c r="I17" i="50" s="1"/>
  <c r="H15" i="50"/>
  <c r="H11" i="50"/>
  <c r="I11" i="50" s="1"/>
  <c r="H16" i="50"/>
  <c r="I16" i="50" s="1"/>
  <c r="I14" i="46"/>
  <c r="N9" i="46"/>
  <c r="N11" i="46"/>
  <c r="N8" i="46"/>
  <c r="H17" i="46"/>
  <c r="I17" i="46" s="1"/>
  <c r="I18" i="43"/>
  <c r="N9" i="43"/>
  <c r="H19" i="43"/>
  <c r="I19" i="43" s="1"/>
  <c r="H12" i="43"/>
  <c r="I12" i="43" s="1"/>
  <c r="N11" i="43" s="1"/>
  <c r="H9" i="43"/>
  <c r="I9" i="43" s="1"/>
  <c r="I20" i="37"/>
  <c r="N9" i="37"/>
  <c r="N11" i="37"/>
  <c r="I18" i="40"/>
  <c r="N9" i="40"/>
  <c r="H24" i="40"/>
  <c r="I24" i="40" s="1"/>
  <c r="H27" i="41"/>
  <c r="I27" i="41" s="1"/>
  <c r="H25" i="42"/>
  <c r="I25" i="42" s="1"/>
  <c r="H24" i="39"/>
  <c r="H12" i="39"/>
  <c r="I12" i="39" s="1"/>
  <c r="H27" i="39"/>
  <c r="I27" i="39" s="1"/>
  <c r="H9" i="39"/>
  <c r="I9" i="39" s="1"/>
  <c r="H20" i="39"/>
  <c r="I20" i="39" s="1"/>
  <c r="H17" i="39"/>
  <c r="I17" i="39" s="1"/>
  <c r="H11" i="39"/>
  <c r="I11" i="39" s="1"/>
  <c r="H15" i="39"/>
  <c r="I15" i="39" s="1"/>
  <c r="H25" i="39"/>
  <c r="I25" i="39" s="1"/>
  <c r="H19" i="39"/>
  <c r="I19" i="39" s="1"/>
  <c r="H23" i="39"/>
  <c r="I23" i="39" s="1"/>
  <c r="H10" i="39"/>
  <c r="I10" i="39" s="1"/>
  <c r="H13" i="39"/>
  <c r="I13" i="39" s="1"/>
  <c r="H14" i="39"/>
  <c r="I14" i="39" s="1"/>
  <c r="H18" i="39"/>
  <c r="I18" i="39" s="1"/>
  <c r="H21" i="39"/>
  <c r="I21" i="39" s="1"/>
  <c r="H24" i="35"/>
  <c r="I24" i="35" s="1"/>
  <c r="H26" i="35"/>
  <c r="I26" i="35" s="1"/>
  <c r="H25" i="35"/>
  <c r="I25" i="35" s="1"/>
  <c r="H15" i="36"/>
  <c r="I15" i="36" s="1"/>
  <c r="H9" i="36"/>
  <c r="I9" i="36" s="1"/>
  <c r="H35" i="36"/>
  <c r="I35" i="36" s="1"/>
  <c r="H21" i="44"/>
  <c r="H13" i="44"/>
  <c r="I13" i="44" s="1"/>
  <c r="H20" i="44"/>
  <c r="I20" i="44" s="1"/>
  <c r="H12" i="44"/>
  <c r="I12" i="44" s="1"/>
  <c r="H19" i="44"/>
  <c r="I19" i="44" s="1"/>
  <c r="H11" i="44"/>
  <c r="I11" i="44" s="1"/>
  <c r="N8" i="44"/>
  <c r="H18" i="44"/>
  <c r="I18" i="44" s="1"/>
  <c r="H10" i="44"/>
  <c r="I10" i="44" s="1"/>
  <c r="H17" i="44"/>
  <c r="H9" i="44"/>
  <c r="I9" i="44" s="1"/>
  <c r="H16" i="44"/>
  <c r="I16" i="44" s="1"/>
  <c r="H15" i="44"/>
  <c r="I15" i="44" s="1"/>
  <c r="H14" i="44"/>
  <c r="I14" i="44" s="1"/>
  <c r="H13" i="45"/>
  <c r="I13" i="45" s="1"/>
  <c r="H20" i="45"/>
  <c r="I20" i="45" s="1"/>
  <c r="H12" i="45"/>
  <c r="I12" i="45" s="1"/>
  <c r="H11" i="45"/>
  <c r="I11" i="45" s="1"/>
  <c r="N8" i="45"/>
  <c r="H19" i="45"/>
  <c r="I19" i="45" s="1"/>
  <c r="H18" i="45"/>
  <c r="I18" i="45" s="1"/>
  <c r="H10" i="45"/>
  <c r="I10" i="45" s="1"/>
  <c r="H17" i="45"/>
  <c r="I17" i="45" s="1"/>
  <c r="H9" i="45"/>
  <c r="I9" i="45" s="1"/>
  <c r="H16" i="45"/>
  <c r="I16" i="45" s="1"/>
  <c r="H14" i="45"/>
  <c r="H15" i="45"/>
  <c r="I15" i="45" s="1"/>
  <c r="I21" i="43"/>
  <c r="H24" i="42"/>
  <c r="I24" i="42" s="1"/>
  <c r="H23" i="42"/>
  <c r="I23" i="42" s="1"/>
  <c r="H22" i="42"/>
  <c r="I22" i="42" s="1"/>
  <c r="H26" i="41"/>
  <c r="I26" i="41" s="1"/>
  <c r="H25" i="41"/>
  <c r="I25" i="41" s="1"/>
  <c r="H24" i="41"/>
  <c r="I24" i="41" s="1"/>
  <c r="H23" i="41"/>
  <c r="I23" i="41" s="1"/>
  <c r="H22" i="41"/>
  <c r="I21" i="37"/>
  <c r="H21" i="42"/>
  <c r="I21" i="42" s="1"/>
  <c r="H13" i="42"/>
  <c r="I13" i="42" s="1"/>
  <c r="H9" i="42"/>
  <c r="I9" i="42" s="1"/>
  <c r="H16" i="42"/>
  <c r="H14" i="42"/>
  <c r="I14" i="42" s="1"/>
  <c r="H20" i="42"/>
  <c r="H12" i="42"/>
  <c r="I12" i="42" s="1"/>
  <c r="H19" i="42"/>
  <c r="I19" i="42" s="1"/>
  <c r="H11" i="42"/>
  <c r="I11" i="42" s="1"/>
  <c r="N8" i="42"/>
  <c r="H17" i="42"/>
  <c r="I17" i="42" s="1"/>
  <c r="H15" i="42"/>
  <c r="I15" i="42" s="1"/>
  <c r="H18" i="42"/>
  <c r="I18" i="42" s="1"/>
  <c r="H10" i="42"/>
  <c r="I10" i="42" s="1"/>
  <c r="I16" i="40"/>
  <c r="N11" i="40" s="1"/>
  <c r="H21" i="41"/>
  <c r="I21" i="41" s="1"/>
  <c r="H13" i="41"/>
  <c r="I13" i="41" s="1"/>
  <c r="H20" i="41"/>
  <c r="I20" i="41" s="1"/>
  <c r="H12" i="41"/>
  <c r="I12" i="41" s="1"/>
  <c r="H19" i="41"/>
  <c r="I19" i="41" s="1"/>
  <c r="H11" i="41"/>
  <c r="I11" i="41" s="1"/>
  <c r="N8" i="41"/>
  <c r="H14" i="41"/>
  <c r="I14" i="41" s="1"/>
  <c r="H18" i="41"/>
  <c r="I18" i="41" s="1"/>
  <c r="H10" i="41"/>
  <c r="I10" i="41" s="1"/>
  <c r="H17" i="41"/>
  <c r="I17" i="41" s="1"/>
  <c r="H9" i="41"/>
  <c r="I9" i="41" s="1"/>
  <c r="H16" i="41"/>
  <c r="H15" i="41"/>
  <c r="I15" i="41" s="1"/>
  <c r="H20" i="38"/>
  <c r="I20" i="38" s="1"/>
  <c r="H12" i="38"/>
  <c r="I12" i="38" s="1"/>
  <c r="N8" i="38"/>
  <c r="H25" i="38"/>
  <c r="I25" i="38" s="1"/>
  <c r="H15" i="38"/>
  <c r="I15" i="38" s="1"/>
  <c r="H19" i="38"/>
  <c r="I19" i="38" s="1"/>
  <c r="H11" i="38"/>
  <c r="I11" i="38" s="1"/>
  <c r="H26" i="38"/>
  <c r="I26" i="38" s="1"/>
  <c r="H18" i="38"/>
  <c r="I18" i="38" s="1"/>
  <c r="H10" i="38"/>
  <c r="I10" i="38" s="1"/>
  <c r="H17" i="38"/>
  <c r="I17" i="38" s="1"/>
  <c r="H9" i="38"/>
  <c r="I9" i="38" s="1"/>
  <c r="H24" i="38"/>
  <c r="I24" i="38" s="1"/>
  <c r="H22" i="38"/>
  <c r="H14" i="38"/>
  <c r="I14" i="38" s="1"/>
  <c r="H21" i="38"/>
  <c r="H13" i="38"/>
  <c r="I13" i="38" s="1"/>
  <c r="H16" i="38"/>
  <c r="I16" i="38" s="1"/>
  <c r="H23" i="38"/>
  <c r="I23" i="38" s="1"/>
  <c r="H14" i="36"/>
  <c r="I14" i="36" s="1"/>
  <c r="H30" i="36"/>
  <c r="I30" i="36" s="1"/>
  <c r="H32" i="36"/>
  <c r="I32" i="36" s="1"/>
  <c r="H31" i="36"/>
  <c r="H33" i="36"/>
  <c r="I33" i="36" s="1"/>
  <c r="H34" i="36"/>
  <c r="I34" i="36" s="1"/>
  <c r="H23" i="36"/>
  <c r="I23" i="36" s="1"/>
  <c r="H17" i="36"/>
  <c r="I17" i="36" s="1"/>
  <c r="H13" i="36"/>
  <c r="I13" i="36" s="1"/>
  <c r="H18" i="36"/>
  <c r="I18" i="36" s="1"/>
  <c r="H19" i="36"/>
  <c r="I19" i="36" s="1"/>
  <c r="H26" i="36"/>
  <c r="I26" i="36" s="1"/>
  <c r="H28" i="36"/>
  <c r="I28" i="36" s="1"/>
  <c r="H27" i="36"/>
  <c r="I27" i="36" s="1"/>
  <c r="H29" i="36"/>
  <c r="I29" i="36" s="1"/>
  <c r="H10" i="36"/>
  <c r="I10" i="36" s="1"/>
  <c r="H25" i="36"/>
  <c r="I25" i="36" s="1"/>
  <c r="H12" i="36"/>
  <c r="I12" i="36" s="1"/>
  <c r="H11" i="36"/>
  <c r="I11" i="36" s="1"/>
  <c r="H24" i="36"/>
  <c r="I24" i="36" s="1"/>
  <c r="H16" i="36"/>
  <c r="I16" i="36" s="1"/>
  <c r="H20" i="36"/>
  <c r="I20" i="36" s="1"/>
  <c r="H22" i="36"/>
  <c r="I22" i="36" s="1"/>
  <c r="H21" i="36"/>
  <c r="I21" i="36" s="1"/>
  <c r="H21" i="35"/>
  <c r="I21" i="35" s="1"/>
  <c r="H13" i="35"/>
  <c r="I13" i="35" s="1"/>
  <c r="H19" i="35"/>
  <c r="I19" i="35" s="1"/>
  <c r="H11" i="35"/>
  <c r="I11" i="35" s="1"/>
  <c r="H20" i="35"/>
  <c r="I20" i="35" s="1"/>
  <c r="H12" i="35"/>
  <c r="I12" i="35" s="1"/>
  <c r="H18" i="35"/>
  <c r="N9" i="35" s="1"/>
  <c r="H10" i="35"/>
  <c r="I10" i="35" s="1"/>
  <c r="H17" i="35"/>
  <c r="I17" i="35" s="1"/>
  <c r="H9" i="35"/>
  <c r="I9" i="35" s="1"/>
  <c r="H16" i="35"/>
  <c r="I16" i="35" s="1"/>
  <c r="H14" i="35"/>
  <c r="I14" i="35" s="1"/>
  <c r="H23" i="35"/>
  <c r="I23" i="35" s="1"/>
  <c r="H15" i="35"/>
  <c r="I15" i="35" s="1"/>
  <c r="H22" i="35"/>
  <c r="I22" i="35" s="1"/>
  <c r="F22" i="16"/>
  <c r="F18" i="29"/>
  <c r="G18" i="29" s="1"/>
  <c r="N12" i="29"/>
  <c r="N14" i="29" s="1"/>
  <c r="F25" i="29"/>
  <c r="N13" i="29"/>
  <c r="F20" i="11"/>
  <c r="N14" i="11"/>
  <c r="E15" i="19"/>
  <c r="F15" i="19" s="1"/>
  <c r="G15" i="19" s="1"/>
  <c r="E21" i="19"/>
  <c r="F21" i="19" s="1"/>
  <c r="G21" i="19" s="1"/>
  <c r="E11" i="19"/>
  <c r="F11" i="19" s="1"/>
  <c r="G11" i="19" s="1"/>
  <c r="E9" i="19"/>
  <c r="F9" i="19" s="1"/>
  <c r="G9" i="19" s="1"/>
  <c r="E13" i="18"/>
  <c r="F13" i="18" s="1"/>
  <c r="G13" i="18" s="1"/>
  <c r="E17" i="18"/>
  <c r="F17" i="18" s="1"/>
  <c r="G17" i="18" s="1"/>
  <c r="E21" i="18"/>
  <c r="F21" i="18" s="1"/>
  <c r="G21" i="18" s="1"/>
  <c r="E23" i="18"/>
  <c r="F23" i="18" s="1"/>
  <c r="G23" i="18" s="1"/>
  <c r="E22" i="18"/>
  <c r="F22" i="18" s="1"/>
  <c r="G22" i="18" s="1"/>
  <c r="E15" i="18"/>
  <c r="F15" i="18" s="1"/>
  <c r="G15" i="18" s="1"/>
  <c r="E16" i="18"/>
  <c r="F16" i="18" s="1"/>
  <c r="G16" i="18" s="1"/>
  <c r="E20" i="18"/>
  <c r="F20" i="18" s="1"/>
  <c r="G20" i="18" s="1"/>
  <c r="E24" i="18"/>
  <c r="F24" i="18" s="1"/>
  <c r="G24" i="18" s="1"/>
  <c r="E12" i="18"/>
  <c r="E10" i="18"/>
  <c r="F10" i="18" s="1"/>
  <c r="G10" i="18" s="1"/>
  <c r="E14" i="18"/>
  <c r="E18" i="18"/>
  <c r="F18" i="18" s="1"/>
  <c r="G18" i="18" s="1"/>
  <c r="E19" i="18"/>
  <c r="E14" i="27"/>
  <c r="F14" i="27" s="1"/>
  <c r="G14" i="27" s="1"/>
  <c r="E24" i="27"/>
  <c r="F24" i="27" s="1"/>
  <c r="G24" i="27" s="1"/>
  <c r="E9" i="27"/>
  <c r="F9" i="27" s="1"/>
  <c r="G9" i="27" s="1"/>
  <c r="F14" i="11"/>
  <c r="F9" i="11"/>
  <c r="G9" i="11" s="1"/>
  <c r="E25" i="27"/>
  <c r="F25" i="27" s="1"/>
  <c r="G25" i="27" s="1"/>
  <c r="E18" i="27"/>
  <c r="F18" i="27" s="1"/>
  <c r="G18" i="27" s="1"/>
  <c r="N6" i="27"/>
  <c r="E13" i="27"/>
  <c r="F13" i="27" s="1"/>
  <c r="G13" i="27" s="1"/>
  <c r="E19" i="27"/>
  <c r="F19" i="27" s="1"/>
  <c r="G19" i="27" s="1"/>
  <c r="E11" i="27"/>
  <c r="F11" i="27" s="1"/>
  <c r="G11" i="27" s="1"/>
  <c r="E26" i="27"/>
  <c r="F26" i="27" s="1"/>
  <c r="G26" i="27" s="1"/>
  <c r="E10" i="27"/>
  <c r="F10" i="27" s="1"/>
  <c r="G10" i="27" s="1"/>
  <c r="E22" i="27"/>
  <c r="E15" i="27"/>
  <c r="F15" i="27" s="1"/>
  <c r="G15" i="27" s="1"/>
  <c r="E20" i="27"/>
  <c r="F20" i="27" s="1"/>
  <c r="G20" i="27" s="1"/>
  <c r="E17" i="27"/>
  <c r="F17" i="27" s="1"/>
  <c r="G17" i="27" s="1"/>
  <c r="E16" i="27"/>
  <c r="F16" i="27" s="1"/>
  <c r="G16" i="27" s="1"/>
  <c r="E23" i="27"/>
  <c r="F23" i="27" s="1"/>
  <c r="G23" i="27" s="1"/>
  <c r="E8" i="27"/>
  <c r="E21" i="27"/>
  <c r="F21" i="27" s="1"/>
  <c r="G21" i="27" s="1"/>
  <c r="E17" i="28"/>
  <c r="F17" i="28" s="1"/>
  <c r="G17" i="28" s="1"/>
  <c r="E18" i="28"/>
  <c r="F18" i="28" s="1"/>
  <c r="G18" i="28" s="1"/>
  <c r="E9" i="28"/>
  <c r="E25" i="28"/>
  <c r="F25" i="28" s="1"/>
  <c r="G25" i="28" s="1"/>
  <c r="E29" i="28"/>
  <c r="F29" i="28" s="1"/>
  <c r="G29" i="28" s="1"/>
  <c r="E11" i="28"/>
  <c r="F11" i="28" s="1"/>
  <c r="G11" i="28" s="1"/>
  <c r="E23" i="28"/>
  <c r="F23" i="28" s="1"/>
  <c r="G23" i="28" s="1"/>
  <c r="E22" i="28"/>
  <c r="F22" i="28" s="1"/>
  <c r="G22" i="28" s="1"/>
  <c r="E16" i="28"/>
  <c r="F16" i="28" s="1"/>
  <c r="G16" i="28" s="1"/>
  <c r="E30" i="28"/>
  <c r="F30" i="28" s="1"/>
  <c r="G30" i="28" s="1"/>
  <c r="E14" i="28"/>
  <c r="E15" i="28"/>
  <c r="F15" i="28" s="1"/>
  <c r="G15" i="28" s="1"/>
  <c r="E20" i="28"/>
  <c r="F20" i="28" s="1"/>
  <c r="G20" i="28" s="1"/>
  <c r="E21" i="28"/>
  <c r="F21" i="28" s="1"/>
  <c r="G21" i="28" s="1"/>
  <c r="E13" i="28"/>
  <c r="F13" i="28" s="1"/>
  <c r="G13" i="28" s="1"/>
  <c r="E19" i="28"/>
  <c r="F19" i="28" s="1"/>
  <c r="G19" i="28" s="1"/>
  <c r="E26" i="28"/>
  <c r="F26" i="28" s="1"/>
  <c r="G26" i="28" s="1"/>
  <c r="E10" i="28"/>
  <c r="F10" i="28" s="1"/>
  <c r="G10" i="28" s="1"/>
  <c r="E27" i="28"/>
  <c r="F27" i="28" s="1"/>
  <c r="G27" i="28" s="1"/>
  <c r="E24" i="28"/>
  <c r="F24" i="28" s="1"/>
  <c r="G24" i="28" s="1"/>
  <c r="E28" i="28"/>
  <c r="F28" i="28" s="1"/>
  <c r="G28" i="28" s="1"/>
  <c r="E15" i="20"/>
  <c r="F15" i="20" s="1"/>
  <c r="G15" i="20" s="1"/>
  <c r="E13" i="20"/>
  <c r="F13" i="20" s="1"/>
  <c r="G13" i="20" s="1"/>
  <c r="E17" i="20"/>
  <c r="F17" i="20" s="1"/>
  <c r="G17" i="20" s="1"/>
  <c r="N7" i="20"/>
  <c r="E19" i="20"/>
  <c r="F19" i="20" s="1"/>
  <c r="G19" i="20" s="1"/>
  <c r="E20" i="20"/>
  <c r="F20" i="20" s="1"/>
  <c r="G20" i="20" s="1"/>
  <c r="E21" i="20"/>
  <c r="F21" i="20" s="1"/>
  <c r="G21" i="20" s="1"/>
  <c r="E12" i="20"/>
  <c r="F12" i="20" s="1"/>
  <c r="G12" i="20" s="1"/>
  <c r="E16" i="20"/>
  <c r="F16" i="20" s="1"/>
  <c r="G16" i="20" s="1"/>
  <c r="E18" i="20"/>
  <c r="F18" i="20" s="1"/>
  <c r="G18" i="20" s="1"/>
  <c r="E11" i="20"/>
  <c r="F11" i="20" s="1"/>
  <c r="G11" i="20" s="1"/>
  <c r="E10" i="20"/>
  <c r="F10" i="20" s="1"/>
  <c r="G10" i="20" s="1"/>
  <c r="E14" i="20"/>
  <c r="E9" i="20"/>
  <c r="N7" i="13"/>
  <c r="E15" i="13"/>
  <c r="F15" i="13" s="1"/>
  <c r="G15" i="13" s="1"/>
  <c r="E12" i="13"/>
  <c r="E18" i="13"/>
  <c r="F18" i="13" s="1"/>
  <c r="G18" i="13" s="1"/>
  <c r="E11" i="13"/>
  <c r="F11" i="13" s="1"/>
  <c r="G11" i="13" s="1"/>
  <c r="E20" i="13"/>
  <c r="F20" i="13" s="1"/>
  <c r="G20" i="13" s="1"/>
  <c r="E16" i="13"/>
  <c r="F16" i="13" s="1"/>
  <c r="G16" i="13" s="1"/>
  <c r="E19" i="13"/>
  <c r="F19" i="13" s="1"/>
  <c r="G19" i="13" s="1"/>
  <c r="E9" i="13"/>
  <c r="E10" i="13"/>
  <c r="F10" i="13" s="1"/>
  <c r="G10" i="13" s="1"/>
  <c r="E21" i="13"/>
  <c r="F21" i="13" s="1"/>
  <c r="G21" i="13" s="1"/>
  <c r="E17" i="13"/>
  <c r="E13" i="13"/>
  <c r="F13" i="13" s="1"/>
  <c r="G13" i="13" s="1"/>
  <c r="E14" i="13"/>
  <c r="E22" i="13"/>
  <c r="F22" i="13" s="1"/>
  <c r="G22" i="13" s="1"/>
  <c r="F14" i="15"/>
  <c r="F9" i="15"/>
  <c r="G9" i="15" s="1"/>
  <c r="N14" i="15"/>
  <c r="F9" i="16"/>
  <c r="G9" i="16" s="1"/>
  <c r="F14" i="16"/>
  <c r="E13" i="17"/>
  <c r="F13" i="17" s="1"/>
  <c r="G13" i="17" s="1"/>
  <c r="N7" i="17"/>
  <c r="E21" i="17"/>
  <c r="F21" i="17" s="1"/>
  <c r="G21" i="17" s="1"/>
  <c r="E15" i="17"/>
  <c r="F15" i="17" s="1"/>
  <c r="G15" i="17" s="1"/>
  <c r="E31" i="17"/>
  <c r="F31" i="17" s="1"/>
  <c r="G31" i="17" s="1"/>
  <c r="E28" i="17"/>
  <c r="F28" i="17" s="1"/>
  <c r="G28" i="17" s="1"/>
  <c r="E29" i="17"/>
  <c r="F29" i="17" s="1"/>
  <c r="G29" i="17" s="1"/>
  <c r="E17" i="17"/>
  <c r="F17" i="17" s="1"/>
  <c r="G17" i="17" s="1"/>
  <c r="E25" i="17"/>
  <c r="F25" i="17" s="1"/>
  <c r="G25" i="17" s="1"/>
  <c r="E32" i="17"/>
  <c r="F32" i="17" s="1"/>
  <c r="G32" i="17" s="1"/>
  <c r="E24" i="17"/>
  <c r="F24" i="17" s="1"/>
  <c r="G24" i="17" s="1"/>
  <c r="E12" i="17"/>
  <c r="F12" i="17" s="1"/>
  <c r="G12" i="17" s="1"/>
  <c r="E22" i="17"/>
  <c r="F22" i="17" s="1"/>
  <c r="G22" i="17" s="1"/>
  <c r="E18" i="17"/>
  <c r="F18" i="17" s="1"/>
  <c r="G18" i="17" s="1"/>
  <c r="E16" i="17"/>
  <c r="F16" i="17" s="1"/>
  <c r="G16" i="17" s="1"/>
  <c r="E11" i="17"/>
  <c r="F11" i="17" s="1"/>
  <c r="G11" i="17" s="1"/>
  <c r="E9" i="17"/>
  <c r="E20" i="17"/>
  <c r="F20" i="17" s="1"/>
  <c r="G20" i="17" s="1"/>
  <c r="E10" i="17"/>
  <c r="F10" i="17" s="1"/>
  <c r="G10" i="17" s="1"/>
  <c r="E14" i="17"/>
  <c r="E30" i="17"/>
  <c r="F30" i="17" s="1"/>
  <c r="G30" i="17" s="1"/>
  <c r="E26" i="17"/>
  <c r="F26" i="17" s="1"/>
  <c r="G26" i="17" s="1"/>
  <c r="E19" i="17"/>
  <c r="F19" i="17" s="1"/>
  <c r="G19" i="17" s="1"/>
  <c r="E27" i="17"/>
  <c r="F27" i="17" s="1"/>
  <c r="G27" i="17" s="1"/>
  <c r="E23" i="17"/>
  <c r="F23" i="17" s="1"/>
  <c r="G23" i="17" s="1"/>
  <c r="F9" i="18"/>
  <c r="G9" i="18" s="1"/>
  <c r="F14" i="18"/>
  <c r="E10" i="19"/>
  <c r="F10" i="19" s="1"/>
  <c r="G10" i="19" s="1"/>
  <c r="E12" i="19"/>
  <c r="E18" i="19"/>
  <c r="F18" i="19" s="1"/>
  <c r="G18" i="19" s="1"/>
  <c r="E13" i="19"/>
  <c r="F13" i="19" s="1"/>
  <c r="G13" i="19" s="1"/>
  <c r="E17" i="19"/>
  <c r="F17" i="19" s="1"/>
  <c r="G17" i="19" s="1"/>
  <c r="E14" i="19"/>
  <c r="E20" i="19"/>
  <c r="F20" i="19" s="1"/>
  <c r="G20" i="19" s="1"/>
  <c r="E19" i="19"/>
  <c r="F19" i="19" s="1"/>
  <c r="G19" i="19" s="1"/>
  <c r="E16" i="19"/>
  <c r="N14" i="24"/>
  <c r="F9" i="24"/>
  <c r="G9" i="24" s="1"/>
  <c r="F14" i="24"/>
  <c r="N14" i="25"/>
  <c r="F9" i="25"/>
  <c r="G9" i="25" s="1"/>
  <c r="F14" i="25"/>
  <c r="F14" i="26"/>
  <c r="N14" i="26"/>
  <c r="F9" i="26"/>
  <c r="G9" i="26" s="1"/>
  <c r="F9" i="29"/>
  <c r="G9" i="29" s="1"/>
  <c r="F12" i="29"/>
  <c r="F9" i="30"/>
  <c r="G9" i="30" s="1"/>
  <c r="N14" i="30"/>
  <c r="F14" i="30"/>
  <c r="E9" i="32"/>
  <c r="F9" i="32" s="1"/>
  <c r="G9" i="32" s="1"/>
  <c r="E28" i="32"/>
  <c r="F28" i="32" s="1"/>
  <c r="G28" i="32" s="1"/>
  <c r="E10" i="32"/>
  <c r="F10" i="32" s="1"/>
  <c r="G10" i="32" s="1"/>
  <c r="E11" i="32"/>
  <c r="F11" i="32" s="1"/>
  <c r="G11" i="32" s="1"/>
  <c r="E14" i="32"/>
  <c r="F14" i="32" s="1"/>
  <c r="E22" i="32"/>
  <c r="F22" i="32" s="1"/>
  <c r="G22" i="32" s="1"/>
  <c r="E17" i="32"/>
  <c r="F17" i="32" s="1"/>
  <c r="G17" i="32" s="1"/>
  <c r="E19" i="32"/>
  <c r="F19" i="32" s="1"/>
  <c r="G19" i="32" s="1"/>
  <c r="E23" i="32"/>
  <c r="F23" i="32" s="1"/>
  <c r="G23" i="32" s="1"/>
  <c r="E24" i="32"/>
  <c r="F24" i="32" s="1"/>
  <c r="G24" i="32" s="1"/>
  <c r="E16" i="32"/>
  <c r="F16" i="32" s="1"/>
  <c r="G16" i="32" s="1"/>
  <c r="E13" i="32"/>
  <c r="F13" i="32" s="1"/>
  <c r="G13" i="32" s="1"/>
  <c r="E27" i="32"/>
  <c r="F27" i="32" s="1"/>
  <c r="G27" i="32" s="1"/>
  <c r="E25" i="32"/>
  <c r="F25" i="32" s="1"/>
  <c r="G25" i="32" s="1"/>
  <c r="E26" i="32"/>
  <c r="F26" i="32" s="1"/>
  <c r="G26" i="32" s="1"/>
  <c r="N7" i="32"/>
  <c r="E20" i="32"/>
  <c r="F20" i="32" s="1"/>
  <c r="G20" i="32" s="1"/>
  <c r="E12" i="32"/>
  <c r="F12" i="32" s="1"/>
  <c r="G12" i="32" s="1"/>
  <c r="E21" i="32"/>
  <c r="F21" i="32" s="1"/>
  <c r="G21" i="32" s="1"/>
  <c r="E18" i="32"/>
  <c r="F18" i="32" s="1"/>
  <c r="G18" i="32" s="1"/>
  <c r="N11" i="27" l="1"/>
  <c r="F22" i="27"/>
  <c r="N12" i="27"/>
  <c r="I14" i="45"/>
  <c r="N9" i="45"/>
  <c r="N11" i="45"/>
  <c r="O10" i="51"/>
  <c r="N11" i="50"/>
  <c r="I15" i="50"/>
  <c r="N9" i="50"/>
  <c r="I17" i="44"/>
  <c r="N9" i="44"/>
  <c r="N11" i="44"/>
  <c r="I22" i="38"/>
  <c r="N9" i="38"/>
  <c r="I22" i="41"/>
  <c r="N9" i="41"/>
  <c r="I20" i="42"/>
  <c r="N9" i="42"/>
  <c r="N11" i="39"/>
  <c r="I24" i="39"/>
  <c r="N9" i="39"/>
  <c r="I31" i="36"/>
  <c r="N11" i="36" s="1"/>
  <c r="N9" i="36"/>
  <c r="I21" i="44"/>
  <c r="I16" i="42"/>
  <c r="N11" i="42" s="1"/>
  <c r="I16" i="41"/>
  <c r="N11" i="41" s="1"/>
  <c r="I21" i="38"/>
  <c r="N11" i="38" s="1"/>
  <c r="I18" i="35"/>
  <c r="N11" i="35" s="1"/>
  <c r="N12" i="19"/>
  <c r="N14" i="19" s="1"/>
  <c r="N13" i="19"/>
  <c r="G22" i="16"/>
  <c r="G25" i="29"/>
  <c r="N10" i="29"/>
  <c r="G20" i="11"/>
  <c r="F12" i="13"/>
  <c r="G12" i="13" s="1"/>
  <c r="F17" i="13"/>
  <c r="F12" i="18"/>
  <c r="G12" i="18" s="1"/>
  <c r="F19" i="18"/>
  <c r="F12" i="19"/>
  <c r="G12" i="19" s="1"/>
  <c r="F16" i="19"/>
  <c r="N10" i="19" s="1"/>
  <c r="G14" i="11"/>
  <c r="N13" i="27"/>
  <c r="F8" i="27"/>
  <c r="G8" i="27" s="1"/>
  <c r="F14" i="28"/>
  <c r="N14" i="28"/>
  <c r="F9" i="28"/>
  <c r="G9" i="28" s="1"/>
  <c r="F14" i="20"/>
  <c r="F9" i="20"/>
  <c r="G9" i="20" s="1"/>
  <c r="N14" i="20"/>
  <c r="F14" i="13"/>
  <c r="F9" i="13"/>
  <c r="G9" i="13" s="1"/>
  <c r="G14" i="15"/>
  <c r="G14" i="16"/>
  <c r="F14" i="17"/>
  <c r="F9" i="17"/>
  <c r="G9" i="17" s="1"/>
  <c r="N14" i="17"/>
  <c r="G14" i="18"/>
  <c r="F14" i="19"/>
  <c r="G14" i="24"/>
  <c r="G14" i="25"/>
  <c r="G14" i="26"/>
  <c r="G12" i="29"/>
  <c r="N8" i="29" s="1"/>
  <c r="G14" i="30"/>
  <c r="G14" i="32"/>
  <c r="G22" i="27" l="1"/>
  <c r="G29" i="27" s="1"/>
  <c r="G30" i="27" s="1"/>
  <c r="H12" i="27" s="1"/>
  <c r="I12" i="27" s="1"/>
  <c r="N9" i="27"/>
  <c r="G27" i="11"/>
  <c r="G28" i="11" s="1"/>
  <c r="H16" i="11" s="1"/>
  <c r="I16" i="11" s="1"/>
  <c r="G17" i="13"/>
  <c r="G19" i="18"/>
  <c r="G28" i="18" s="1"/>
  <c r="G29" i="18" s="1"/>
  <c r="G16" i="19"/>
  <c r="G25" i="19" s="1"/>
  <c r="G26" i="19" s="1"/>
  <c r="N8" i="19" s="1"/>
  <c r="G14" i="19"/>
  <c r="H21" i="27"/>
  <c r="I21" i="27" s="1"/>
  <c r="N7" i="27"/>
  <c r="H26" i="27"/>
  <c r="I26" i="27" s="1"/>
  <c r="H13" i="27"/>
  <c r="I13" i="27" s="1"/>
  <c r="H22" i="27"/>
  <c r="H16" i="27"/>
  <c r="I16" i="27" s="1"/>
  <c r="H10" i="27"/>
  <c r="I10" i="27" s="1"/>
  <c r="H25" i="27"/>
  <c r="I25" i="27" s="1"/>
  <c r="H14" i="27"/>
  <c r="I14" i="27" s="1"/>
  <c r="H15" i="27"/>
  <c r="I15" i="27" s="1"/>
  <c r="H8" i="27"/>
  <c r="I8" i="27" s="1"/>
  <c r="G14" i="28"/>
  <c r="H10" i="20"/>
  <c r="I10" i="20" s="1"/>
  <c r="H18" i="20"/>
  <c r="I18" i="20" s="1"/>
  <c r="H16" i="20"/>
  <c r="I16" i="20" s="1"/>
  <c r="H21" i="20"/>
  <c r="I21" i="20" s="1"/>
  <c r="H11" i="20"/>
  <c r="I11" i="20" s="1"/>
  <c r="N8" i="20"/>
  <c r="H13" i="20"/>
  <c r="I13" i="20" s="1"/>
  <c r="H9" i="20"/>
  <c r="I9" i="20" s="1"/>
  <c r="H20" i="20"/>
  <c r="I20" i="20" s="1"/>
  <c r="H12" i="20"/>
  <c r="I12" i="20" s="1"/>
  <c r="H15" i="20"/>
  <c r="I15" i="20" s="1"/>
  <c r="H19" i="20"/>
  <c r="I19" i="20" s="1"/>
  <c r="H17" i="20"/>
  <c r="I17" i="20" s="1"/>
  <c r="G14" i="20"/>
  <c r="H14" i="20" s="1"/>
  <c r="G14" i="13"/>
  <c r="H15" i="15"/>
  <c r="I15" i="15" s="1"/>
  <c r="H27" i="15"/>
  <c r="I27" i="15" s="1"/>
  <c r="N8" i="15"/>
  <c r="H18" i="15"/>
  <c r="I18" i="15" s="1"/>
  <c r="H10" i="15"/>
  <c r="I10" i="15" s="1"/>
  <c r="H19" i="15"/>
  <c r="I19" i="15" s="1"/>
  <c r="H28" i="15"/>
  <c r="I28" i="15" s="1"/>
  <c r="H26" i="15"/>
  <c r="I26" i="15" s="1"/>
  <c r="H20" i="15"/>
  <c r="I20" i="15" s="1"/>
  <c r="H13" i="15"/>
  <c r="I13" i="15" s="1"/>
  <c r="H22" i="15"/>
  <c r="I22" i="15" s="1"/>
  <c r="H23" i="15"/>
  <c r="I23" i="15" s="1"/>
  <c r="H25" i="15"/>
  <c r="I25" i="15" s="1"/>
  <c r="H11" i="15"/>
  <c r="I11" i="15" s="1"/>
  <c r="H17" i="15"/>
  <c r="I17" i="15" s="1"/>
  <c r="H24" i="15"/>
  <c r="I24" i="15" s="1"/>
  <c r="H21" i="15"/>
  <c r="I21" i="15" s="1"/>
  <c r="H14" i="15"/>
  <c r="H16" i="15"/>
  <c r="I16" i="15" s="1"/>
  <c r="H12" i="15"/>
  <c r="I12" i="15" s="1"/>
  <c r="H9" i="15"/>
  <c r="I9" i="15" s="1"/>
  <c r="H25" i="16"/>
  <c r="I25" i="16" s="1"/>
  <c r="H19" i="16"/>
  <c r="I19" i="16" s="1"/>
  <c r="H20" i="16"/>
  <c r="I20" i="16" s="1"/>
  <c r="H10" i="16"/>
  <c r="I10" i="16" s="1"/>
  <c r="H11" i="16"/>
  <c r="I11" i="16" s="1"/>
  <c r="H15" i="16"/>
  <c r="I15" i="16" s="1"/>
  <c r="H9" i="16"/>
  <c r="I9" i="16" s="1"/>
  <c r="H17" i="16"/>
  <c r="I17" i="16" s="1"/>
  <c r="H16" i="16"/>
  <c r="I16" i="16" s="1"/>
  <c r="H21" i="16"/>
  <c r="I21" i="16" s="1"/>
  <c r="H13" i="16"/>
  <c r="I13" i="16" s="1"/>
  <c r="H23" i="16"/>
  <c r="I23" i="16" s="1"/>
  <c r="H22" i="16"/>
  <c r="H18" i="16"/>
  <c r="I18" i="16" s="1"/>
  <c r="H24" i="16"/>
  <c r="I24" i="16" s="1"/>
  <c r="H12" i="16"/>
  <c r="I12" i="16" s="1"/>
  <c r="H14" i="16"/>
  <c r="H26" i="16"/>
  <c r="I26" i="16" s="1"/>
  <c r="G14" i="17"/>
  <c r="H11" i="18"/>
  <c r="I11" i="18" s="1"/>
  <c r="H21" i="18"/>
  <c r="I21" i="18" s="1"/>
  <c r="H13" i="18"/>
  <c r="I13" i="18" s="1"/>
  <c r="H15" i="18"/>
  <c r="I15" i="18" s="1"/>
  <c r="H22" i="18"/>
  <c r="I22" i="18" s="1"/>
  <c r="H20" i="18"/>
  <c r="I20" i="18" s="1"/>
  <c r="H14" i="18"/>
  <c r="I14" i="18" s="1"/>
  <c r="H18" i="18"/>
  <c r="I18" i="18" s="1"/>
  <c r="H10" i="18"/>
  <c r="I10" i="18" s="1"/>
  <c r="H16" i="18"/>
  <c r="I16" i="18" s="1"/>
  <c r="H9" i="18"/>
  <c r="I9" i="18" s="1"/>
  <c r="H19" i="18"/>
  <c r="H24" i="18"/>
  <c r="I24" i="18" s="1"/>
  <c r="H17" i="18"/>
  <c r="I17" i="18" s="1"/>
  <c r="H23" i="18"/>
  <c r="I23" i="18" s="1"/>
  <c r="H12" i="18"/>
  <c r="I12" i="18" s="1"/>
  <c r="H23" i="24"/>
  <c r="I23" i="24" s="1"/>
  <c r="H15" i="24"/>
  <c r="I15" i="24" s="1"/>
  <c r="H17" i="24"/>
  <c r="I17" i="24" s="1"/>
  <c r="H25" i="24"/>
  <c r="I25" i="24" s="1"/>
  <c r="H10" i="24"/>
  <c r="I10" i="24" s="1"/>
  <c r="H11" i="24"/>
  <c r="I11" i="24" s="1"/>
  <c r="H14" i="24"/>
  <c r="H20" i="24"/>
  <c r="I20" i="24" s="1"/>
  <c r="H16" i="24"/>
  <c r="I16" i="24" s="1"/>
  <c r="H26" i="24"/>
  <c r="I26" i="24" s="1"/>
  <c r="H27" i="24"/>
  <c r="I27" i="24" s="1"/>
  <c r="H12" i="24"/>
  <c r="I12" i="24" s="1"/>
  <c r="H24" i="24"/>
  <c r="I24" i="24" s="1"/>
  <c r="H19" i="24"/>
  <c r="I19" i="24" s="1"/>
  <c r="H9" i="24"/>
  <c r="I9" i="24" s="1"/>
  <c r="H13" i="24"/>
  <c r="I13" i="24" s="1"/>
  <c r="H18" i="24"/>
  <c r="I18" i="24" s="1"/>
  <c r="N8" i="24"/>
  <c r="H22" i="24"/>
  <c r="I22" i="24" s="1"/>
  <c r="H21" i="24"/>
  <c r="I21" i="24" s="1"/>
  <c r="H22" i="25"/>
  <c r="I22" i="25" s="1"/>
  <c r="H16" i="25"/>
  <c r="I16" i="25" s="1"/>
  <c r="H9" i="25"/>
  <c r="I9" i="25" s="1"/>
  <c r="H15" i="25"/>
  <c r="I15" i="25" s="1"/>
  <c r="H27" i="25"/>
  <c r="I27" i="25" s="1"/>
  <c r="H11" i="25"/>
  <c r="I11" i="25" s="1"/>
  <c r="H10" i="25"/>
  <c r="I10" i="25" s="1"/>
  <c r="H12" i="25"/>
  <c r="I12" i="25" s="1"/>
  <c r="H24" i="25"/>
  <c r="I24" i="25" s="1"/>
  <c r="H13" i="25"/>
  <c r="I13" i="25" s="1"/>
  <c r="H20" i="25"/>
  <c r="I20" i="25" s="1"/>
  <c r="H18" i="25"/>
  <c r="I18" i="25" s="1"/>
  <c r="H28" i="25"/>
  <c r="I28" i="25" s="1"/>
  <c r="H25" i="25"/>
  <c r="I25" i="25" s="1"/>
  <c r="H21" i="25"/>
  <c r="I21" i="25" s="1"/>
  <c r="H26" i="25"/>
  <c r="I26" i="25" s="1"/>
  <c r="H14" i="25"/>
  <c r="H19" i="25"/>
  <c r="I19" i="25" s="1"/>
  <c r="H23" i="25"/>
  <c r="I23" i="25" s="1"/>
  <c r="N8" i="25"/>
  <c r="H17" i="25"/>
  <c r="I17" i="25" s="1"/>
  <c r="H18" i="26"/>
  <c r="I18" i="26" s="1"/>
  <c r="H17" i="26"/>
  <c r="I17" i="26" s="1"/>
  <c r="H20" i="26"/>
  <c r="I20" i="26" s="1"/>
  <c r="H9" i="26"/>
  <c r="I9" i="26" s="1"/>
  <c r="H15" i="26"/>
  <c r="I15" i="26" s="1"/>
  <c r="H10" i="26"/>
  <c r="I10" i="26" s="1"/>
  <c r="H13" i="26"/>
  <c r="I13" i="26" s="1"/>
  <c r="H11" i="26"/>
  <c r="I11" i="26" s="1"/>
  <c r="H21" i="26"/>
  <c r="I21" i="26" s="1"/>
  <c r="H14" i="26"/>
  <c r="H16" i="26"/>
  <c r="I16" i="26" s="1"/>
  <c r="H12" i="26"/>
  <c r="I12" i="26" s="1"/>
  <c r="H19" i="26"/>
  <c r="I19" i="26" s="1"/>
  <c r="H30" i="29"/>
  <c r="I30" i="29" s="1"/>
  <c r="H15" i="29"/>
  <c r="I15" i="29" s="1"/>
  <c r="H9" i="29"/>
  <c r="I9" i="29" s="1"/>
  <c r="H23" i="29"/>
  <c r="I23" i="29" s="1"/>
  <c r="H24" i="29"/>
  <c r="I24" i="29" s="1"/>
  <c r="H12" i="29"/>
  <c r="H10" i="29"/>
  <c r="I10" i="29" s="1"/>
  <c r="H21" i="29"/>
  <c r="I21" i="29" s="1"/>
  <c r="H27" i="29"/>
  <c r="I27" i="29" s="1"/>
  <c r="H29" i="29"/>
  <c r="I29" i="29" s="1"/>
  <c r="H11" i="29"/>
  <c r="I11" i="29" s="1"/>
  <c r="H14" i="29"/>
  <c r="I14" i="29" s="1"/>
  <c r="H20" i="29"/>
  <c r="I20" i="29" s="1"/>
  <c r="H28" i="29"/>
  <c r="I28" i="29" s="1"/>
  <c r="H13" i="29"/>
  <c r="I13" i="29" s="1"/>
  <c r="H17" i="29"/>
  <c r="I17" i="29" s="1"/>
  <c r="H26" i="29"/>
  <c r="I26" i="29" s="1"/>
  <c r="H22" i="29"/>
  <c r="I22" i="29" s="1"/>
  <c r="H18" i="29"/>
  <c r="I18" i="29" s="1"/>
  <c r="H25" i="29"/>
  <c r="H19" i="29"/>
  <c r="I19" i="29" s="1"/>
  <c r="H16" i="29"/>
  <c r="I16" i="29" s="1"/>
  <c r="H26" i="30"/>
  <c r="I26" i="30" s="1"/>
  <c r="H22" i="30"/>
  <c r="I22" i="30" s="1"/>
  <c r="H11" i="30"/>
  <c r="I11" i="30" s="1"/>
  <c r="H16" i="30"/>
  <c r="I16" i="30" s="1"/>
  <c r="H14" i="30"/>
  <c r="H21" i="30"/>
  <c r="I21" i="30" s="1"/>
  <c r="H13" i="30"/>
  <c r="I13" i="30" s="1"/>
  <c r="H23" i="30"/>
  <c r="I23" i="30" s="1"/>
  <c r="H30" i="30"/>
  <c r="I30" i="30" s="1"/>
  <c r="H29" i="30"/>
  <c r="I29" i="30" s="1"/>
  <c r="H28" i="30"/>
  <c r="I28" i="30" s="1"/>
  <c r="H27" i="30"/>
  <c r="I27" i="30" s="1"/>
  <c r="H24" i="30"/>
  <c r="I24" i="30" s="1"/>
  <c r="H9" i="30"/>
  <c r="I9" i="30" s="1"/>
  <c r="H12" i="30"/>
  <c r="I12" i="30" s="1"/>
  <c r="H15" i="30"/>
  <c r="I15" i="30" s="1"/>
  <c r="H25" i="30"/>
  <c r="I25" i="30" s="1"/>
  <c r="H20" i="30"/>
  <c r="I20" i="30" s="1"/>
  <c r="H17" i="30"/>
  <c r="I17" i="30" s="1"/>
  <c r="H10" i="30"/>
  <c r="I10" i="30" s="1"/>
  <c r="H19" i="30"/>
  <c r="I19" i="30" s="1"/>
  <c r="H18" i="30"/>
  <c r="I18" i="30" s="1"/>
  <c r="H27" i="32"/>
  <c r="I27" i="32" s="1"/>
  <c r="H24" i="32"/>
  <c r="I24" i="32" s="1"/>
  <c r="H16" i="32"/>
  <c r="I16" i="32" s="1"/>
  <c r="H21" i="32"/>
  <c r="I21" i="32" s="1"/>
  <c r="N8" i="32"/>
  <c r="H11" i="32"/>
  <c r="I11" i="32" s="1"/>
  <c r="H22" i="32"/>
  <c r="I22" i="32" s="1"/>
  <c r="H15" i="32"/>
  <c r="I15" i="32" s="1"/>
  <c r="H17" i="32"/>
  <c r="I17" i="32" s="1"/>
  <c r="H20" i="32"/>
  <c r="I20" i="32" s="1"/>
  <c r="H14" i="32"/>
  <c r="H25" i="32"/>
  <c r="I25" i="32" s="1"/>
  <c r="H28" i="32"/>
  <c r="I28" i="32" s="1"/>
  <c r="H10" i="32"/>
  <c r="I10" i="32" s="1"/>
  <c r="H23" i="32"/>
  <c r="I23" i="32" s="1"/>
  <c r="H18" i="32"/>
  <c r="I18" i="32" s="1"/>
  <c r="H12" i="32"/>
  <c r="I12" i="32" s="1"/>
  <c r="H13" i="32"/>
  <c r="I13" i="32" s="1"/>
  <c r="H9" i="32"/>
  <c r="I9" i="32" s="1"/>
  <c r="H19" i="32"/>
  <c r="I19" i="32" s="1"/>
  <c r="H26" i="32"/>
  <c r="I26" i="32" s="1"/>
  <c r="H9" i="27" l="1"/>
  <c r="I9" i="27" s="1"/>
  <c r="H11" i="27"/>
  <c r="I11" i="27" s="1"/>
  <c r="H18" i="27"/>
  <c r="I18" i="27" s="1"/>
  <c r="H23" i="27"/>
  <c r="I23" i="27" s="1"/>
  <c r="H17" i="27"/>
  <c r="I17" i="27" s="1"/>
  <c r="N10" i="27" s="1"/>
  <c r="I22" i="27"/>
  <c r="N8" i="27"/>
  <c r="H19" i="27"/>
  <c r="I19" i="27" s="1"/>
  <c r="H20" i="27"/>
  <c r="I20" i="27" s="1"/>
  <c r="H24" i="27"/>
  <c r="I24" i="27" s="1"/>
  <c r="I22" i="16"/>
  <c r="I25" i="29"/>
  <c r="N11" i="29" s="1"/>
  <c r="N9" i="29"/>
  <c r="H22" i="11"/>
  <c r="I22" i="11" s="1"/>
  <c r="H17" i="11"/>
  <c r="I17" i="11" s="1"/>
  <c r="H14" i="11"/>
  <c r="I14" i="11" s="1"/>
  <c r="H20" i="11"/>
  <c r="H19" i="11"/>
  <c r="I19" i="11" s="1"/>
  <c r="H10" i="11"/>
  <c r="I10" i="11" s="1"/>
  <c r="H15" i="11"/>
  <c r="I15" i="11" s="1"/>
  <c r="H12" i="11"/>
  <c r="I12" i="11" s="1"/>
  <c r="H11" i="11"/>
  <c r="I11" i="11" s="1"/>
  <c r="H23" i="11"/>
  <c r="I23" i="11" s="1"/>
  <c r="H13" i="11"/>
  <c r="I13" i="11" s="1"/>
  <c r="N8" i="11"/>
  <c r="H9" i="11"/>
  <c r="I9" i="11" s="1"/>
  <c r="H18" i="11"/>
  <c r="I18" i="11" s="1"/>
  <c r="H21" i="11"/>
  <c r="I21" i="11" s="1"/>
  <c r="I20" i="11"/>
  <c r="I19" i="18"/>
  <c r="H13" i="19"/>
  <c r="I13" i="19" s="1"/>
  <c r="H16" i="19"/>
  <c r="N9" i="19" s="1"/>
  <c r="H10" i="19"/>
  <c r="I10" i="19" s="1"/>
  <c r="H12" i="19"/>
  <c r="I12" i="19" s="1"/>
  <c r="H18" i="19"/>
  <c r="I18" i="19" s="1"/>
  <c r="H11" i="19"/>
  <c r="I11" i="19" s="1"/>
  <c r="H20" i="19"/>
  <c r="I20" i="19" s="1"/>
  <c r="H19" i="19"/>
  <c r="I19" i="19" s="1"/>
  <c r="H15" i="19"/>
  <c r="I15" i="19" s="1"/>
  <c r="H9" i="19"/>
  <c r="I9" i="19" s="1"/>
  <c r="H14" i="19"/>
  <c r="H17" i="19"/>
  <c r="I17" i="19" s="1"/>
  <c r="H21" i="19"/>
  <c r="I21" i="19" s="1"/>
  <c r="H22" i="28"/>
  <c r="I22" i="28" s="1"/>
  <c r="H24" i="28"/>
  <c r="I24" i="28" s="1"/>
  <c r="H17" i="28"/>
  <c r="I17" i="28" s="1"/>
  <c r="H15" i="28"/>
  <c r="I15" i="28" s="1"/>
  <c r="H19" i="28"/>
  <c r="I19" i="28" s="1"/>
  <c r="H26" i="28"/>
  <c r="I26" i="28" s="1"/>
  <c r="H14" i="28"/>
  <c r="H20" i="28"/>
  <c r="I20" i="28" s="1"/>
  <c r="H12" i="28"/>
  <c r="I12" i="28" s="1"/>
  <c r="H21" i="28"/>
  <c r="I21" i="28" s="1"/>
  <c r="H11" i="28"/>
  <c r="I11" i="28" s="1"/>
  <c r="H28" i="28"/>
  <c r="I28" i="28" s="1"/>
  <c r="H29" i="28"/>
  <c r="I29" i="28" s="1"/>
  <c r="H10" i="28"/>
  <c r="I10" i="28" s="1"/>
  <c r="H18" i="28"/>
  <c r="I18" i="28" s="1"/>
  <c r="H25" i="28"/>
  <c r="I25" i="28" s="1"/>
  <c r="H13" i="28"/>
  <c r="I13" i="28" s="1"/>
  <c r="H23" i="28"/>
  <c r="I23" i="28" s="1"/>
  <c r="H16" i="28"/>
  <c r="I16" i="28" s="1"/>
  <c r="H27" i="28"/>
  <c r="I27" i="28" s="1"/>
  <c r="H30" i="28"/>
  <c r="I30" i="28" s="1"/>
  <c r="H9" i="28"/>
  <c r="I9" i="28" s="1"/>
  <c r="I14" i="20"/>
  <c r="H10" i="13"/>
  <c r="I10" i="13" s="1"/>
  <c r="H11" i="13"/>
  <c r="I11" i="13" s="1"/>
  <c r="H17" i="13"/>
  <c r="H16" i="13"/>
  <c r="I16" i="13" s="1"/>
  <c r="H18" i="13"/>
  <c r="I18" i="13" s="1"/>
  <c r="H15" i="13"/>
  <c r="I15" i="13" s="1"/>
  <c r="H12" i="13"/>
  <c r="I12" i="13" s="1"/>
  <c r="H19" i="13"/>
  <c r="I19" i="13" s="1"/>
  <c r="N8" i="13"/>
  <c r="H9" i="13"/>
  <c r="I9" i="13" s="1"/>
  <c r="H21" i="13"/>
  <c r="I21" i="13" s="1"/>
  <c r="H22" i="13"/>
  <c r="I22" i="13" s="1"/>
  <c r="H13" i="13"/>
  <c r="I13" i="13" s="1"/>
  <c r="H20" i="13"/>
  <c r="I20" i="13" s="1"/>
  <c r="H14" i="13"/>
  <c r="I14" i="15"/>
  <c r="I14" i="16"/>
  <c r="H31" i="17"/>
  <c r="I31" i="17" s="1"/>
  <c r="H22" i="17"/>
  <c r="I22" i="17" s="1"/>
  <c r="H13" i="17"/>
  <c r="I13" i="17" s="1"/>
  <c r="H23" i="17"/>
  <c r="I23" i="17" s="1"/>
  <c r="H12" i="17"/>
  <c r="I12" i="17" s="1"/>
  <c r="H28" i="17"/>
  <c r="I28" i="17" s="1"/>
  <c r="H10" i="17"/>
  <c r="I10" i="17" s="1"/>
  <c r="H27" i="17"/>
  <c r="I27" i="17" s="1"/>
  <c r="H24" i="17"/>
  <c r="I24" i="17" s="1"/>
  <c r="H11" i="17"/>
  <c r="I11" i="17" s="1"/>
  <c r="H14" i="17"/>
  <c r="H25" i="17"/>
  <c r="I25" i="17" s="1"/>
  <c r="H16" i="17"/>
  <c r="I16" i="17" s="1"/>
  <c r="H17" i="17"/>
  <c r="I17" i="17" s="1"/>
  <c r="H9" i="17"/>
  <c r="I9" i="17" s="1"/>
  <c r="H15" i="17"/>
  <c r="I15" i="17" s="1"/>
  <c r="H30" i="17"/>
  <c r="I30" i="17" s="1"/>
  <c r="H20" i="17"/>
  <c r="I20" i="17" s="1"/>
  <c r="H21" i="17"/>
  <c r="I21" i="17" s="1"/>
  <c r="H26" i="17"/>
  <c r="I26" i="17" s="1"/>
  <c r="H32" i="17"/>
  <c r="I32" i="17" s="1"/>
  <c r="H19" i="17"/>
  <c r="I19" i="17" s="1"/>
  <c r="N8" i="17"/>
  <c r="H18" i="17"/>
  <c r="I18" i="17" s="1"/>
  <c r="H29" i="17"/>
  <c r="I29" i="17" s="1"/>
  <c r="I14" i="24"/>
  <c r="I14" i="25"/>
  <c r="I14" i="26"/>
  <c r="I12" i="29"/>
  <c r="I14" i="30"/>
  <c r="I14" i="32"/>
  <c r="I17" i="13" l="1"/>
  <c r="I16" i="19"/>
  <c r="I14" i="19"/>
  <c r="N11" i="19" s="1"/>
  <c r="I14" i="28"/>
  <c r="I14" i="13"/>
  <c r="I14" i="17"/>
</calcChain>
</file>

<file path=xl/sharedStrings.xml><?xml version="1.0" encoding="utf-8"?>
<sst xmlns="http://schemas.openxmlformats.org/spreadsheetml/2006/main" count="1159" uniqueCount="51">
  <si>
    <r>
      <t>C</t>
    </r>
    <r>
      <rPr>
        <b/>
        <vertAlign val="subscript"/>
        <sz val="10"/>
        <rFont val="Arial"/>
        <family val="2"/>
      </rPr>
      <t xml:space="preserve">TLP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</si>
  <si>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4"/>
        <rFont val="Symbol"/>
        <family val="1"/>
      </rPr>
      <t>e</t>
    </r>
    <r>
      <rPr>
        <b/>
        <sz val="12"/>
        <rFont val="Calibri"/>
        <family val="2"/>
      </rPr>
      <t xml:space="preserve"> (MPa)</t>
    </r>
  </si>
  <si>
    <t>SWC</t>
  </si>
  <si>
    <t>Intercept</t>
  </si>
  <si>
    <t>Saturated water content extrapolation</t>
  </si>
  <si>
    <t>refer to the cell with PSIo at turgor loss point (from column H)</t>
  </si>
  <si>
    <t>refer to the cell with RWC value at turgor loss point (from column F)</t>
  </si>
  <si>
    <t xml:space="preserve">  = Saturated Water Content (g)</t>
  </si>
  <si>
    <t>the slope of psiP versus RWC, above and including turgor loss point</t>
  </si>
  <si>
    <t>the slope of RWC vs psiLEAF, including points above and including turgor loss point</t>
  </si>
  <si>
    <t>the slope of RWC vs psiLEAF, including points below and including turgor loss point</t>
  </si>
  <si>
    <t>Automatically calculated from the Saturated Water Content extrapolation below</t>
  </si>
  <si>
    <t>Automatically calculated from the psiTLP slope and intercept below</t>
  </si>
  <si>
    <t>M(g)</t>
  </si>
  <si>
    <r>
      <rPr>
        <b/>
        <i/>
        <u/>
        <sz val="10"/>
        <rFont val="Symbol"/>
        <family val="1"/>
      </rPr>
      <t>Y</t>
    </r>
    <r>
      <rPr>
        <b/>
        <i/>
        <u/>
        <vertAlign val="subscript"/>
        <sz val="10"/>
        <rFont val="Arial"/>
        <family val="2"/>
      </rPr>
      <t>TLP</t>
    </r>
    <r>
      <rPr>
        <b/>
        <i/>
        <u/>
        <sz val="10"/>
        <rFont val="Arial"/>
        <family val="2"/>
      </rPr>
      <t xml:space="preserve"> estimation</t>
    </r>
  </si>
  <si>
    <t>Leaf area (cm2)</t>
  </si>
  <si>
    <r>
      <t>C</t>
    </r>
    <r>
      <rPr>
        <b/>
        <vertAlign val="subscript"/>
        <sz val="10"/>
        <rFont val="Arial"/>
        <family val="2"/>
      </rPr>
      <t>FT</t>
    </r>
    <r>
      <rPr>
        <b/>
        <sz val="10"/>
        <rFont val="Arial"/>
        <family val="2"/>
      </rPr>
      <t>*</t>
    </r>
    <r>
      <rPr>
        <b/>
        <vertAlign val="subscript"/>
        <sz val="10"/>
        <rFont val="Arial"/>
        <family val="2"/>
      </rPr>
      <t xml:space="preserve"> </t>
    </r>
    <r>
      <rPr>
        <b/>
        <sz val="10"/>
        <rFont val="Arial"/>
        <family val="2"/>
      </rPr>
      <t>(mol m-2 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</si>
  <si>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1"/>
        <color indexed="8"/>
        <rFont val="Symbol"/>
        <family val="1"/>
      </rPr>
      <t>Y</t>
    </r>
    <r>
      <rPr>
        <b/>
        <sz val="11"/>
        <color indexed="8"/>
        <rFont val="Calibri"/>
        <family val="2"/>
      </rPr>
      <t xml:space="preserve"> (MPa)</t>
    </r>
  </si>
  <si>
    <r>
      <t>(-1/</t>
    </r>
    <r>
      <rPr>
        <b/>
        <sz val="11"/>
        <color indexed="8"/>
        <rFont val="Symbol"/>
        <family val="1"/>
      </rPr>
      <t>Y)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</si>
  <si>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o</t>
    </r>
    <r>
      <rPr>
        <b/>
        <sz val="11"/>
        <color indexed="8"/>
        <rFont val="Calibri"/>
        <family val="2"/>
      </rPr>
      <t xml:space="preserve"> (MPa)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</si>
  <si>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P</t>
    </r>
    <r>
      <rPr>
        <b/>
        <sz val="11"/>
        <color indexed="8"/>
        <rFont val="Calibri"/>
        <family val="2"/>
      </rPr>
      <t xml:space="preserve"> (MPa)</t>
    </r>
  </si>
  <si>
    <t>Mass (g)</t>
  </si>
  <si>
    <t>Leaf dry mass(g)</t>
  </si>
  <si>
    <r>
      <rPr>
        <b/>
        <sz val="10"/>
        <rFont val="Symbol"/>
        <family val="1"/>
      </rPr>
      <t>Y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(MPa)</t>
    </r>
  </si>
  <si>
    <t>n</t>
  </si>
  <si>
    <t>Bag (g)</t>
  </si>
  <si>
    <t>Slope</t>
  </si>
  <si>
    <t>RWC</t>
  </si>
  <si>
    <t>Leaf water (g)</t>
  </si>
  <si>
    <t>RWC(%)</t>
  </si>
  <si>
    <t>100-RWC</t>
  </si>
  <si>
    <r>
      <t>RWC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</t>
    </r>
  </si>
  <si>
    <r>
      <rPr>
        <b/>
        <sz val="10"/>
        <rFont val="Symbol"/>
        <family val="1"/>
      </rPr>
      <t>P</t>
    </r>
    <r>
      <rPr>
        <b/>
        <vertAlign val="subscript"/>
        <sz val="10"/>
        <rFont val="Arial"/>
        <family val="2"/>
      </rPr>
      <t xml:space="preserve">o </t>
    </r>
    <r>
      <rPr>
        <b/>
        <sz val="10"/>
        <rFont val="Arial"/>
        <family val="2"/>
      </rPr>
      <t>(MPa)</t>
    </r>
  </si>
  <si>
    <r>
      <t>C</t>
    </r>
    <r>
      <rPr>
        <b/>
        <vertAlign val="subscript"/>
        <sz val="10"/>
        <rFont val="Arial"/>
        <family val="2"/>
      </rPr>
      <t xml:space="preserve">FT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</si>
  <si>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P</t>
    </r>
    <r>
      <rPr>
        <b/>
        <sz val="11"/>
        <color indexed="8"/>
        <rFont val="Calibri"/>
        <family val="2"/>
      </rPr>
      <t xml:space="preserve"> (MPa)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</si>
  <si>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o</t>
    </r>
    <r>
      <rPr>
        <b/>
        <sz val="11"/>
        <color indexed="8"/>
        <rFont val="Calibri"/>
        <family val="2"/>
      </rPr>
      <t xml:space="preserve"> (MPa)</t>
    </r>
  </si>
  <si>
    <r>
      <rPr>
        <b/>
        <sz val="11"/>
        <color indexed="8"/>
        <rFont val="Symbol"/>
        <family val="1"/>
      </rPr>
      <t>Y</t>
    </r>
    <r>
      <rPr>
        <b/>
        <sz val="11"/>
        <color indexed="8"/>
        <rFont val="Calibri"/>
        <family val="2"/>
      </rPr>
      <t xml:space="preserve"> (MPa)</t>
    </r>
  </si>
  <si>
    <t>LFMC</t>
  </si>
  <si>
    <t>date</t>
  </si>
  <si>
    <t>Mol</t>
  </si>
  <si>
    <t>Eucalyptus moluccana</t>
  </si>
  <si>
    <t>Fib</t>
  </si>
  <si>
    <t>Eucalyptus fibrosa</t>
  </si>
  <si>
    <t>Ter</t>
  </si>
  <si>
    <t>Eucalyptus tereticornis</t>
  </si>
  <si>
    <t>Sid</t>
  </si>
  <si>
    <t>Eucalyptus sideroxylon</t>
  </si>
  <si>
    <t>Cre</t>
  </si>
  <si>
    <t>Eucalyptus crebra</t>
  </si>
  <si>
    <t>1.5 - 2m saplings in 300mm pots, drip irrigated in poly tunnel</t>
  </si>
  <si>
    <t>Hawkesbury Institute for the Environment, Richmond 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</si>
</sst>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25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sz val="10"/>
      <name val="Arial"/>
      <family val="2"/>
    </font>
    <font>
      <b/>
      <sz val="10"/>
      <name val="Symbol"/>
      <family val="1"/>
    </font>
    <font>
      <b/>
      <vertAlign val="subscript"/>
      <sz val="10"/>
      <name val="Arial"/>
      <family val="2"/>
    </font>
    <font>
      <i/>
      <sz val="11"/>
      <color indexed="8"/>
      <name val="Calibri"/>
      <family val="2"/>
    </font>
    <font>
      <b/>
      <sz val="12"/>
      <name val="Symbol"/>
      <family val="1"/>
    </font>
    <font>
      <b/>
      <sz val="12"/>
      <name val="Calibri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4"/>
      <name val="Symbol"/>
      <family val="1"/>
    </font>
    <font>
      <sz val="8"/>
      <name val="Calibr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i/>
      <u/>
      <sz val="10"/>
      <name val="Arial"/>
      <family val="2"/>
    </font>
    <font>
      <b/>
      <i/>
      <u/>
      <sz val="10"/>
      <name val="Symbol"/>
      <family val="1"/>
    </font>
    <font>
      <b/>
      <i/>
      <u/>
      <vertAlign val="subscript"/>
      <sz val="10"/>
      <name val="Arial"/>
      <family val="2"/>
    </font>
    <font>
      <b/>
      <sz val="11"/>
      <color indexed="8"/>
      <name val="Symbol"/>
      <family val="1"/>
    </font>
    <font>
      <b/>
      <vertAlign val="subscript"/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170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Border="1"/>
    <xf numFmtId="164" fontId="0" fillId="0" borderId="0" xfId="0" applyNumberForma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0" applyNumberFormat="1"/>
    <xf numFmtId="165" fontId="0" fillId="0" borderId="0" xfId="0" applyNumberFormat="1" applyBorder="1" applyAlignment="1">
      <alignment horizontal="right"/>
    </xf>
    <xf numFmtId="166" fontId="0" fillId="0" borderId="0" xfId="0" applyNumberFormat="1" applyBorder="1"/>
    <xf numFmtId="0" fontId="3" fillId="0" borderId="0" xfId="0" applyFont="1" applyFill="1" applyBorder="1"/>
    <xf numFmtId="164" fontId="1" fillId="0" borderId="0" xfId="0" applyNumberFormat="1" applyFont="1" applyFill="1" applyBorder="1"/>
    <xf numFmtId="164" fontId="14" fillId="0" borderId="0" xfId="0" applyNumberFormat="1" applyFont="1"/>
    <xf numFmtId="0" fontId="15" fillId="0" borderId="0" xfId="0" applyFont="1" applyAlignment="1">
      <alignment horizontal="left"/>
    </xf>
    <xf numFmtId="164" fontId="0" fillId="0" borderId="0" xfId="0" applyNumberFormat="1" applyFill="1" applyBorder="1"/>
    <xf numFmtId="164" fontId="2" fillId="0" borderId="0" xfId="0" applyNumberFormat="1" applyFont="1" applyBorder="1" applyAlignment="1">
      <alignment horizontal="left"/>
    </xf>
    <xf numFmtId="165" fontId="0" fillId="2" borderId="0" xfId="0" applyNumberFormat="1" applyFill="1" applyBorder="1" applyAlignment="1">
      <alignment horizontal="right"/>
    </xf>
    <xf numFmtId="0" fontId="0" fillId="0" borderId="0" xfId="0" applyFill="1"/>
    <xf numFmtId="0" fontId="16" fillId="0" borderId="0" xfId="0" applyNumberFormat="1" applyFont="1" applyFill="1"/>
    <xf numFmtId="165" fontId="0" fillId="2" borderId="0" xfId="0" applyNumberFormat="1" applyFill="1" applyAlignment="1">
      <alignment horizontal="right"/>
    </xf>
    <xf numFmtId="0" fontId="0" fillId="2" borderId="0" xfId="0" applyFill="1" applyBorder="1" applyAlignment="1">
      <alignment horizontal="left"/>
    </xf>
    <xf numFmtId="164" fontId="0" fillId="3" borderId="0" xfId="0" applyNumberFormat="1" applyFill="1" applyBorder="1"/>
    <xf numFmtId="165" fontId="0" fillId="2" borderId="0" xfId="0" applyNumberFormat="1" applyFill="1"/>
    <xf numFmtId="0" fontId="0" fillId="2" borderId="0" xfId="0" applyFill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8" fillId="0" borderId="1" xfId="0" applyFont="1" applyFill="1" applyBorder="1"/>
    <xf numFmtId="0" fontId="0" fillId="0" borderId="0" xfId="0" applyFill="1" applyBorder="1"/>
    <xf numFmtId="166" fontId="1" fillId="4" borderId="2" xfId="0" applyNumberFormat="1" applyFont="1" applyFill="1" applyBorder="1" applyAlignment="1">
      <alignment horizontal="left"/>
    </xf>
    <xf numFmtId="164" fontId="1" fillId="4" borderId="3" xfId="0" applyNumberFormat="1" applyFont="1" applyFill="1" applyBorder="1" applyAlignment="1">
      <alignment horizontal="right"/>
    </xf>
    <xf numFmtId="0" fontId="3" fillId="4" borderId="4" xfId="0" applyFont="1" applyFill="1" applyBorder="1"/>
    <xf numFmtId="166" fontId="1" fillId="4" borderId="5" xfId="0" applyNumberFormat="1" applyFont="1" applyFill="1" applyBorder="1"/>
    <xf numFmtId="166" fontId="1" fillId="2" borderId="6" xfId="0" applyNumberFormat="1" applyFont="1" applyFill="1" applyBorder="1"/>
    <xf numFmtId="164" fontId="1" fillId="2" borderId="7" xfId="0" applyNumberFormat="1" applyFont="1" applyFill="1" applyBorder="1"/>
    <xf numFmtId="166" fontId="1" fillId="2" borderId="8" xfId="0" applyNumberFormat="1" applyFont="1" applyFill="1" applyBorder="1"/>
    <xf numFmtId="164" fontId="1" fillId="2" borderId="6" xfId="0" applyNumberFormat="1" applyFont="1" applyFill="1" applyBorder="1"/>
    <xf numFmtId="164" fontId="1" fillId="4" borderId="9" xfId="0" applyNumberFormat="1" applyFont="1" applyFill="1" applyBorder="1" applyAlignment="1">
      <alignment horizontal="right"/>
    </xf>
    <xf numFmtId="0" fontId="17" fillId="5" borderId="10" xfId="0" applyFont="1" applyFill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66" fontId="0" fillId="0" borderId="0" xfId="0" applyNumberFormat="1" applyFill="1" applyBorder="1"/>
    <xf numFmtId="16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166" fontId="11" fillId="0" borderId="0" xfId="0" applyNumberFormat="1" applyFont="1" applyFill="1" applyBorder="1"/>
    <xf numFmtId="0" fontId="11" fillId="0" borderId="0" xfId="0" applyFont="1" applyFill="1" applyBorder="1"/>
    <xf numFmtId="164" fontId="11" fillId="0" borderId="0" xfId="0" applyNumberFormat="1" applyFont="1" applyFill="1" applyBorder="1"/>
    <xf numFmtId="0" fontId="3" fillId="4" borderId="12" xfId="0" applyFont="1" applyFill="1" applyBorder="1"/>
    <xf numFmtId="0" fontId="3" fillId="4" borderId="13" xfId="0" applyFont="1" applyFill="1" applyBorder="1"/>
    <xf numFmtId="0" fontId="7" fillId="4" borderId="14" xfId="0" applyFont="1" applyFill="1" applyBorder="1"/>
    <xf numFmtId="0" fontId="3" fillId="4" borderId="15" xfId="0" applyFont="1" applyFill="1" applyBorder="1"/>
    <xf numFmtId="0" fontId="0" fillId="0" borderId="14" xfId="0" applyBorder="1"/>
    <xf numFmtId="2" fontId="0" fillId="0" borderId="14" xfId="0" applyNumberFormat="1" applyFill="1" applyBorder="1"/>
    <xf numFmtId="166" fontId="0" fillId="0" borderId="14" xfId="0" applyNumberFormat="1" applyFill="1" applyBorder="1"/>
    <xf numFmtId="164" fontId="0" fillId="0" borderId="14" xfId="0" applyNumberFormat="1" applyFill="1" applyBorder="1" applyAlignment="1">
      <alignment horizontal="center"/>
    </xf>
    <xf numFmtId="164" fontId="0" fillId="0" borderId="14" xfId="0" applyNumberFormat="1" applyFill="1" applyBorder="1"/>
    <xf numFmtId="164" fontId="11" fillId="0" borderId="0" xfId="0" applyNumberFormat="1" applyFont="1" applyFill="1" applyBorder="1" applyAlignment="1">
      <alignment horizontal="center"/>
    </xf>
    <xf numFmtId="2" fontId="11" fillId="0" borderId="0" xfId="0" applyNumberFormat="1" applyFont="1" applyFill="1" applyBorder="1"/>
    <xf numFmtId="166" fontId="11" fillId="0" borderId="17" xfId="0" applyNumberFormat="1" applyFont="1" applyFill="1" applyBorder="1"/>
    <xf numFmtId="0" fontId="11" fillId="0" borderId="14" xfId="0" applyFont="1" applyFill="1" applyBorder="1"/>
    <xf numFmtId="0" fontId="0" fillId="0" borderId="14" xfId="0" applyFill="1" applyBorder="1"/>
    <xf numFmtId="164" fontId="0" fillId="0" borderId="14" xfId="0" applyNumberFormat="1" applyBorder="1"/>
    <xf numFmtId="0" fontId="16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18" fillId="0" borderId="1" xfId="0" applyFont="1" applyBorder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6" fontId="0" fillId="0" borderId="14" xfId="0" applyNumberFormat="1" applyBorder="1"/>
    <xf numFmtId="2" fontId="0" fillId="0" borderId="14" xfId="0" applyNumberFormat="1" applyBorder="1"/>
    <xf numFmtId="164" fontId="0" fillId="0" borderId="14" xfId="0" applyNumberFormat="1" applyBorder="1" applyAlignment="1">
      <alignment horizontal="center"/>
    </xf>
    <xf numFmtId="0" fontId="0" fillId="0" borderId="17" xfId="0" applyBorder="1"/>
    <xf numFmtId="0" fontId="3" fillId="0" borderId="0" xfId="0" applyFont="1"/>
    <xf numFmtId="166" fontId="11" fillId="0" borderId="0" xfId="0" applyNumberFormat="1" applyFont="1"/>
    <xf numFmtId="164" fontId="11" fillId="0" borderId="0" xfId="0" applyNumberFormat="1" applyFont="1"/>
    <xf numFmtId="0" fontId="1" fillId="5" borderId="1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164" fontId="0" fillId="3" borderId="0" xfId="0" applyNumberFormat="1" applyFill="1"/>
    <xf numFmtId="0" fontId="0" fillId="0" borderId="1" xfId="0" applyBorder="1"/>
    <xf numFmtId="166" fontId="23" fillId="0" borderId="0" xfId="0" applyNumberFormat="1" applyFont="1"/>
    <xf numFmtId="164" fontId="23" fillId="0" borderId="0" xfId="0" applyNumberFormat="1" applyFont="1"/>
    <xf numFmtId="0" fontId="23" fillId="0" borderId="0" xfId="0" applyFont="1"/>
    <xf numFmtId="164" fontId="23" fillId="0" borderId="0" xfId="0" applyNumberFormat="1" applyFont="1" applyAlignment="1">
      <alignment horizontal="center"/>
    </xf>
    <xf numFmtId="2" fontId="23" fillId="0" borderId="0" xfId="0" applyNumberFormat="1" applyFont="1"/>
    <xf numFmtId="166" fontId="23" fillId="0" borderId="0" xfId="0" applyNumberFormat="1" applyFont="1" applyFill="1" applyBorder="1"/>
    <xf numFmtId="164" fontId="23" fillId="0" borderId="0" xfId="0" applyNumberFormat="1" applyFont="1" applyFill="1" applyBorder="1"/>
    <xf numFmtId="164" fontId="23" fillId="0" borderId="0" xfId="0" applyNumberFormat="1" applyFont="1" applyFill="1" applyBorder="1" applyAlignment="1">
      <alignment horizontal="center"/>
    </xf>
    <xf numFmtId="2" fontId="23" fillId="0" borderId="0" xfId="0" applyNumberFormat="1" applyFont="1" applyFill="1" applyBorder="1"/>
    <xf numFmtId="0" fontId="23" fillId="0" borderId="0" xfId="0" applyFont="1" applyBorder="1"/>
    <xf numFmtId="0" fontId="23" fillId="0" borderId="0" xfId="0" applyFont="1" applyFill="1" applyBorder="1"/>
    <xf numFmtId="0" fontId="1" fillId="5" borderId="0" xfId="0" applyFont="1" applyFill="1" applyBorder="1" applyAlignment="1">
      <alignment horizontal="center"/>
    </xf>
    <xf numFmtId="1" fontId="0" fillId="0" borderId="0" xfId="0" applyNumberFormat="1" applyFill="1" applyBorder="1"/>
    <xf numFmtId="166" fontId="0" fillId="3" borderId="0" xfId="0" applyNumberFormat="1" applyFill="1" applyBorder="1"/>
    <xf numFmtId="2" fontId="0" fillId="3" borderId="0" xfId="0" applyNumberFormat="1" applyFill="1" applyBorder="1"/>
    <xf numFmtId="166" fontId="0" fillId="3" borderId="0" xfId="0" applyNumberFormat="1" applyFill="1"/>
    <xf numFmtId="2" fontId="0" fillId="3" borderId="0" xfId="0" applyNumberFormat="1" applyFill="1"/>
    <xf numFmtId="1" fontId="23" fillId="0" borderId="0" xfId="0" applyNumberFormat="1" applyFont="1" applyFill="1" applyBorder="1"/>
    <xf numFmtId="1" fontId="0" fillId="0" borderId="16" xfId="0" applyNumberFormat="1" applyFill="1" applyBorder="1"/>
    <xf numFmtId="1" fontId="11" fillId="0" borderId="0" xfId="0" applyNumberFormat="1" applyFont="1" applyFill="1" applyBorder="1"/>
    <xf numFmtId="2" fontId="1" fillId="4" borderId="3" xfId="0" applyNumberFormat="1" applyFont="1" applyFill="1" applyBorder="1" applyAlignment="1">
      <alignment horizontal="right"/>
    </xf>
    <xf numFmtId="2" fontId="1" fillId="4" borderId="5" xfId="0" applyNumberFormat="1" applyFont="1" applyFill="1" applyBorder="1"/>
    <xf numFmtId="2" fontId="1" fillId="2" borderId="6" xfId="0" applyNumberFormat="1" applyFont="1" applyFill="1" applyBorder="1"/>
    <xf numFmtId="2" fontId="1" fillId="2" borderId="7" xfId="0" applyNumberFormat="1" applyFont="1" applyFill="1" applyBorder="1"/>
    <xf numFmtId="2" fontId="1" fillId="2" borderId="8" xfId="0" applyNumberFormat="1" applyFont="1" applyFill="1" applyBorder="1"/>
    <xf numFmtId="2" fontId="1" fillId="4" borderId="9" xfId="0" applyNumberFormat="1" applyFont="1" applyFill="1" applyBorder="1" applyAlignment="1">
      <alignment horizontal="right"/>
    </xf>
    <xf numFmtId="1" fontId="11" fillId="0" borderId="16" xfId="0" applyNumberFormat="1" applyFont="1" applyFill="1" applyBorder="1"/>
    <xf numFmtId="9" fontId="0" fillId="0" borderId="0" xfId="1" applyFont="1"/>
    <xf numFmtId="164" fontId="11" fillId="0" borderId="14" xfId="0" applyNumberFormat="1" applyFont="1" applyFill="1" applyBorder="1"/>
    <xf numFmtId="164" fontId="11" fillId="0" borderId="14" xfId="0" applyNumberFormat="1" applyFont="1" applyFill="1" applyBorder="1" applyAlignment="1">
      <alignment horizontal="center"/>
    </xf>
    <xf numFmtId="2" fontId="11" fillId="0" borderId="14" xfId="0" applyNumberFormat="1" applyFont="1" applyFill="1" applyBorder="1"/>
    <xf numFmtId="166" fontId="11" fillId="0" borderId="14" xfId="0" applyNumberFormat="1" applyFont="1" applyFill="1" applyBorder="1"/>
    <xf numFmtId="164" fontId="11" fillId="0" borderId="0" xfId="0" applyNumberFormat="1" applyFont="1" applyBorder="1"/>
    <xf numFmtId="164" fontId="11" fillId="0" borderId="0" xfId="0" applyNumberFormat="1" applyFont="1" applyBorder="1" applyAlignment="1">
      <alignment horizontal="center"/>
    </xf>
    <xf numFmtId="16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0" xfId="0" applyFill="1" applyBorder="1"/>
    <xf numFmtId="0" fontId="0" fillId="6" borderId="17" xfId="0" applyFill="1" applyBorder="1"/>
    <xf numFmtId="0" fontId="0" fillId="6" borderId="14" xfId="0" applyFill="1" applyBorder="1"/>
    <xf numFmtId="0" fontId="23" fillId="6" borderId="0" xfId="0" applyFont="1" applyFill="1"/>
    <xf numFmtId="0" fontId="23" fillId="8" borderId="0" xfId="0" applyFont="1" applyFill="1"/>
    <xf numFmtId="0" fontId="23" fillId="7" borderId="0" xfId="0" applyFont="1" applyFill="1"/>
    <xf numFmtId="0" fontId="0" fillId="7" borderId="0" xfId="0" applyFill="1" applyBorder="1"/>
    <xf numFmtId="0" fontId="0" fillId="7" borderId="17" xfId="0" applyFill="1" applyBorder="1"/>
    <xf numFmtId="0" fontId="0" fillId="7" borderId="14" xfId="0" applyFill="1" applyBorder="1"/>
    <xf numFmtId="0" fontId="0" fillId="8" borderId="0" xfId="0" applyFill="1" applyBorder="1"/>
    <xf numFmtId="0" fontId="0" fillId="8" borderId="17" xfId="0" applyFill="1" applyBorder="1"/>
    <xf numFmtId="0" fontId="0" fillId="8" borderId="14" xfId="0" applyFill="1" applyBorder="1"/>
    <xf numFmtId="0" fontId="0" fillId="9" borderId="0" xfId="0" applyFill="1"/>
    <xf numFmtId="0" fontId="0" fillId="10" borderId="0" xfId="0" applyFill="1"/>
    <xf numFmtId="0" fontId="0" fillId="9" borderId="0" xfId="0" applyFill="1" applyBorder="1"/>
    <xf numFmtId="0" fontId="23" fillId="9" borderId="0" xfId="0" applyFont="1" applyFill="1"/>
    <xf numFmtId="0" fontId="0" fillId="9" borderId="17" xfId="0" applyFill="1" applyBorder="1"/>
    <xf numFmtId="0" fontId="0" fillId="9" borderId="14" xfId="0" applyFill="1" applyBorder="1"/>
    <xf numFmtId="0" fontId="0" fillId="10" borderId="0" xfId="0" applyFill="1" applyBorder="1"/>
    <xf numFmtId="0" fontId="11" fillId="10" borderId="0" xfId="0" applyFont="1" applyFill="1"/>
    <xf numFmtId="0" fontId="23" fillId="10" borderId="0" xfId="0" applyFont="1" applyFill="1"/>
    <xf numFmtId="0" fontId="0" fillId="10" borderId="17" xfId="0" applyFill="1" applyBorder="1"/>
    <xf numFmtId="0" fontId="0" fillId="10" borderId="14" xfId="0" applyFill="1" applyBorder="1"/>
    <xf numFmtId="0" fontId="0" fillId="11" borderId="0" xfId="0" applyFill="1"/>
    <xf numFmtId="0" fontId="23" fillId="11" borderId="0" xfId="0" applyFont="1" applyFill="1"/>
    <xf numFmtId="0" fontId="0" fillId="11" borderId="17" xfId="0" applyFill="1" applyBorder="1"/>
    <xf numFmtId="0" fontId="0" fillId="11" borderId="14" xfId="0" applyFill="1" applyBorder="1"/>
    <xf numFmtId="0" fontId="0" fillId="11" borderId="0" xfId="0" applyFill="1" applyBorder="1"/>
    <xf numFmtId="0" fontId="11" fillId="7" borderId="0" xfId="0" applyFont="1" applyFill="1"/>
    <xf numFmtId="0" fontId="11" fillId="8" borderId="0" xfId="0" applyFont="1" applyFill="1"/>
    <xf numFmtId="0" fontId="11" fillId="6" borderId="0" xfId="0" applyFont="1" applyFill="1"/>
    <xf numFmtId="0" fontId="11" fillId="11" borderId="0" xfId="0" applyFont="1" applyFill="1"/>
    <xf numFmtId="0" fontId="11" fillId="0" borderId="0" xfId="0" applyFont="1" applyBorder="1"/>
    <xf numFmtId="0" fontId="11" fillId="0" borderId="0" xfId="0" applyFont="1"/>
    <xf numFmtId="0" fontId="11" fillId="9" borderId="0" xfId="0" applyFont="1" applyFill="1"/>
    <xf numFmtId="0" fontId="11" fillId="11" borderId="17" xfId="0" applyFont="1" applyFill="1" applyBorder="1"/>
    <xf numFmtId="0" fontId="11" fillId="11" borderId="14" xfId="0" applyFont="1" applyFill="1" applyBorder="1"/>
    <xf numFmtId="2" fontId="11" fillId="0" borderId="16" xfId="0" applyNumberFormat="1" applyFont="1" applyFill="1" applyBorder="1"/>
    <xf numFmtId="166" fontId="1" fillId="4" borderId="3" xfId="0" applyNumberFormat="1" applyFont="1" applyFill="1" applyBorder="1" applyAlignment="1">
      <alignment horizontal="right"/>
    </xf>
    <xf numFmtId="166" fontId="1" fillId="2" borderId="7" xfId="0" applyNumberFormat="1" applyFont="1" applyFill="1" applyBorder="1"/>
    <xf numFmtId="166" fontId="1" fillId="4" borderId="9" xfId="0" applyNumberFormat="1" applyFont="1" applyFill="1" applyBorder="1" applyAlignment="1">
      <alignment horizontal="right"/>
    </xf>
    <xf numFmtId="3" fontId="0" fillId="0" borderId="0" xfId="0" applyNumberFormat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Mol_4!$G$8:$G$25</c:f>
              <c:numCache>
                <c:formatCode>0.00</c:formatCode>
                <c:ptCount val="18"/>
                <c:pt idx="0">
                  <c:v>-0.51269921736295032</c:v>
                </c:pt>
                <c:pt idx="1">
                  <c:v>0.62424188371717548</c:v>
                </c:pt>
                <c:pt idx="2">
                  <c:v>1.2637712530747223</c:v>
                </c:pt>
                <c:pt idx="3">
                  <c:v>1.9033006224322691</c:v>
                </c:pt>
                <c:pt idx="4">
                  <c:v>2.4007123541548196</c:v>
                </c:pt>
                <c:pt idx="5">
                  <c:v>3.466594636417426</c:v>
                </c:pt>
                <c:pt idx="6">
                  <c:v>3.2178887705561721</c:v>
                </c:pt>
                <c:pt idx="7">
                  <c:v>3.466594636417426</c:v>
                </c:pt>
                <c:pt idx="8">
                  <c:v>3.821888730504952</c:v>
                </c:pt>
                <c:pt idx="9">
                  <c:v>4.6745945563150428</c:v>
                </c:pt>
                <c:pt idx="10">
                  <c:v>5.2075356974463176</c:v>
                </c:pt>
                <c:pt idx="11">
                  <c:v>5.7049474291688682</c:v>
                </c:pt>
                <c:pt idx="12">
                  <c:v>8.120947268964116</c:v>
                </c:pt>
                <c:pt idx="13">
                  <c:v>10.536947108759321</c:v>
                </c:pt>
                <c:pt idx="14">
                  <c:v>10.892241202846847</c:v>
                </c:pt>
                <c:pt idx="15">
                  <c:v>14.0543586402259</c:v>
                </c:pt>
                <c:pt idx="16">
                  <c:v>17.429652534057453</c:v>
                </c:pt>
                <c:pt idx="17">
                  <c:v>19.383770051538875</c:v>
                </c:pt>
              </c:numCache>
            </c:numRef>
          </c:xVal>
          <c:yVal>
            <c:numRef>
              <c:f>Mol_4!$B$8:$B$25</c:f>
              <c:numCache>
                <c:formatCode>0.0000</c:formatCode>
                <c:ptCount val="18"/>
                <c:pt idx="0">
                  <c:v>50</c:v>
                </c:pt>
                <c:pt idx="1">
                  <c:v>8.6956521739130448</c:v>
                </c:pt>
                <c:pt idx="2">
                  <c:v>4.3103448275862073</c:v>
                </c:pt>
                <c:pt idx="3">
                  <c:v>2.7322404371584699</c:v>
                </c:pt>
                <c:pt idx="4">
                  <c:v>2.1881838074398248</c:v>
                </c:pt>
                <c:pt idx="5">
                  <c:v>1.7825311942958999</c:v>
                </c:pt>
                <c:pt idx="6">
                  <c:v>1.3850415512465375</c:v>
                </c:pt>
                <c:pt idx="7">
                  <c:v>1.2330456226880395</c:v>
                </c:pt>
                <c:pt idx="8">
                  <c:v>1.0706638115631693</c:v>
                </c:pt>
                <c:pt idx="9">
                  <c:v>0.84961767204757854</c:v>
                </c:pt>
                <c:pt idx="10">
                  <c:v>0.78926598263614844</c:v>
                </c:pt>
                <c:pt idx="11">
                  <c:v>0.70972320794889987</c:v>
                </c:pt>
                <c:pt idx="12">
                  <c:v>0.49751243781094523</c:v>
                </c:pt>
                <c:pt idx="13">
                  <c:v>0.44563279857397498</c:v>
                </c:pt>
                <c:pt idx="14">
                  <c:v>0.41425020712510352</c:v>
                </c:pt>
                <c:pt idx="15">
                  <c:v>0.38654812524159254</c:v>
                </c:pt>
                <c:pt idx="16">
                  <c:v>0.36724201248622845</c:v>
                </c:pt>
                <c:pt idx="17">
                  <c:v>0.350140056022409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8-466A-9E1B-F6B3BA66142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Mol_4!$G$22:$G$26</c:f>
              <c:numCache>
                <c:formatCode>0.00</c:formatCode>
                <c:ptCount val="5"/>
                <c:pt idx="0">
                  <c:v>10.892241202846847</c:v>
                </c:pt>
                <c:pt idx="1">
                  <c:v>14.0543586402259</c:v>
                </c:pt>
                <c:pt idx="2">
                  <c:v>17.429652534057453</c:v>
                </c:pt>
                <c:pt idx="3">
                  <c:v>19.383770051538875</c:v>
                </c:pt>
                <c:pt idx="4">
                  <c:v>21.693181663107836</c:v>
                </c:pt>
              </c:numCache>
            </c:numRef>
          </c:xVal>
          <c:yVal>
            <c:numRef>
              <c:f>Mol_4!$B$22:$B$26</c:f>
              <c:numCache>
                <c:formatCode>0.0000</c:formatCode>
                <c:ptCount val="5"/>
                <c:pt idx="0">
                  <c:v>0.41425020712510352</c:v>
                </c:pt>
                <c:pt idx="1">
                  <c:v>0.38654812524159254</c:v>
                </c:pt>
                <c:pt idx="2">
                  <c:v>0.36724201248622845</c:v>
                </c:pt>
                <c:pt idx="3">
                  <c:v>0.350140056022409</c:v>
                </c:pt>
                <c:pt idx="4">
                  <c:v>0.34578146611341631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68-466A-9E1B-F6B3BA661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4079"/>
        <c:axId val="1"/>
      </c:scatterChart>
      <c:valAx>
        <c:axId val="131854079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  <c:min val="0.30000000000000021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407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Mol_4!$D$8:$D$22</c:f>
              <c:numCache>
                <c:formatCode>0.0000</c:formatCode>
                <c:ptCount val="15"/>
                <c:pt idx="0">
                  <c:v>2.8289999999999997</c:v>
                </c:pt>
                <c:pt idx="1">
                  <c:v>2.7969999999999997</c:v>
                </c:pt>
                <c:pt idx="2">
                  <c:v>2.7789999999999999</c:v>
                </c:pt>
                <c:pt idx="3">
                  <c:v>2.7610000000000001</c:v>
                </c:pt>
                <c:pt idx="4">
                  <c:v>2.7469999999999999</c:v>
                </c:pt>
                <c:pt idx="5">
                  <c:v>2.7169999999999996</c:v>
                </c:pt>
                <c:pt idx="6">
                  <c:v>2.7239999999999993</c:v>
                </c:pt>
                <c:pt idx="7">
                  <c:v>2.7169999999999996</c:v>
                </c:pt>
                <c:pt idx="8">
                  <c:v>2.7069999999999999</c:v>
                </c:pt>
                <c:pt idx="9">
                  <c:v>2.6829999999999998</c:v>
                </c:pt>
                <c:pt idx="10">
                  <c:v>2.6680000000000001</c:v>
                </c:pt>
                <c:pt idx="11">
                  <c:v>2.6539999999999999</c:v>
                </c:pt>
                <c:pt idx="12">
                  <c:v>2.5859999999999994</c:v>
                </c:pt>
                <c:pt idx="13">
                  <c:v>2.5179999999999998</c:v>
                </c:pt>
                <c:pt idx="14">
                  <c:v>2.508</c:v>
                </c:pt>
              </c:numCache>
            </c:numRef>
          </c:xVal>
          <c:yVal>
            <c:numRef>
              <c:f>Mol_4!$A$8:$A$22</c:f>
              <c:numCache>
                <c:formatCode>0.000</c:formatCode>
                <c:ptCount val="15"/>
                <c:pt idx="0">
                  <c:v>-0.02</c:v>
                </c:pt>
                <c:pt idx="1">
                  <c:v>-0.11499999999999999</c:v>
                </c:pt>
                <c:pt idx="2">
                  <c:v>-0.23199999999999998</c:v>
                </c:pt>
                <c:pt idx="3">
                  <c:v>-0.36599999999999999</c:v>
                </c:pt>
                <c:pt idx="4">
                  <c:v>-0.45700000000000002</c:v>
                </c:pt>
                <c:pt idx="5">
                  <c:v>-0.56100000000000005</c:v>
                </c:pt>
                <c:pt idx="6" formatCode="General">
                  <c:v>-0.72199999999999998</c:v>
                </c:pt>
                <c:pt idx="7" formatCode="General">
                  <c:v>-0.81099999999999994</c:v>
                </c:pt>
                <c:pt idx="8" formatCode="General">
                  <c:v>-0.93399999999999994</c:v>
                </c:pt>
                <c:pt idx="9" formatCode="General">
                  <c:v>-1.177</c:v>
                </c:pt>
                <c:pt idx="10" formatCode="General">
                  <c:v>-1.2669999999999999</c:v>
                </c:pt>
                <c:pt idx="11" formatCode="General">
                  <c:v>-1.409</c:v>
                </c:pt>
                <c:pt idx="12" formatCode="General">
                  <c:v>-2.0100000000000002</c:v>
                </c:pt>
                <c:pt idx="13" formatCode="General">
                  <c:v>-2.2440000000000002</c:v>
                </c:pt>
                <c:pt idx="14" formatCode="General">
                  <c:v>-2.4140000000000001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7-43A5-ABFD-5C01262D27B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Mol_4!$D$22:$D$26</c:f>
              <c:numCache>
                <c:formatCode>0.0000</c:formatCode>
                <c:ptCount val="5"/>
                <c:pt idx="0">
                  <c:v>2.508</c:v>
                </c:pt>
                <c:pt idx="1">
                  <c:v>2.4189999999999996</c:v>
                </c:pt>
                <c:pt idx="2">
                  <c:v>2.3239999999999998</c:v>
                </c:pt>
                <c:pt idx="3">
                  <c:v>2.2690000000000001</c:v>
                </c:pt>
                <c:pt idx="4">
                  <c:v>2.2039999999999997</c:v>
                </c:pt>
              </c:numCache>
            </c:numRef>
          </c:xVal>
          <c:yVal>
            <c:numRef>
              <c:f>Mol_4!$A$22:$A$26</c:f>
              <c:numCache>
                <c:formatCode>General</c:formatCode>
                <c:ptCount val="5"/>
                <c:pt idx="0">
                  <c:v>-2.4140000000000001</c:v>
                </c:pt>
                <c:pt idx="1">
                  <c:v>-2.5870000000000002</c:v>
                </c:pt>
                <c:pt idx="2">
                  <c:v>-2.7229999999999999</c:v>
                </c:pt>
                <c:pt idx="3">
                  <c:v>-2.8559999999999999</c:v>
                </c:pt>
                <c:pt idx="4">
                  <c:v>-2.8919999999999999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E7-43A5-ABFD-5C01262D2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5759"/>
        <c:axId val="1"/>
      </c:scatterChart>
      <c:valAx>
        <c:axId val="131845759"/>
        <c:scaling>
          <c:orientation val="minMax"/>
          <c:min val="1.2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58376323649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75047515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5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Mol_6!$G$12:$G$21</c:f>
              <c:numCache>
                <c:formatCode>0.00</c:formatCode>
                <c:ptCount val="10"/>
                <c:pt idx="0">
                  <c:v>0.49072874560746982</c:v>
                </c:pt>
                <c:pt idx="1">
                  <c:v>1.2295758490825364</c:v>
                </c:pt>
                <c:pt idx="2">
                  <c:v>1.6325833600689634</c:v>
                </c:pt>
                <c:pt idx="3">
                  <c:v>2.1363427488019511</c:v>
                </c:pt>
                <c:pt idx="4">
                  <c:v>2.6065181782860947</c:v>
                </c:pt>
                <c:pt idx="5">
                  <c:v>3.076693607770224</c:v>
                </c:pt>
                <c:pt idx="6">
                  <c:v>3.6812048742498433</c:v>
                </c:pt>
                <c:pt idx="7">
                  <c:v>4.4872198962226548</c:v>
                </c:pt>
                <c:pt idx="8">
                  <c:v>5.3268188774443104</c:v>
                </c:pt>
                <c:pt idx="9">
                  <c:v>9.4576458650549284</c:v>
                </c:pt>
              </c:numCache>
            </c:numRef>
          </c:xVal>
          <c:yVal>
            <c:numRef>
              <c:f>Mol_6!$B$12:$B$21</c:f>
              <c:numCache>
                <c:formatCode>0.0000</c:formatCode>
                <c:ptCount val="10"/>
                <c:pt idx="0">
                  <c:v>5.3475935828877006</c:v>
                </c:pt>
                <c:pt idx="1">
                  <c:v>3.4129692832764502</c:v>
                </c:pt>
                <c:pt idx="2">
                  <c:v>2.7100271002710028</c:v>
                </c:pt>
                <c:pt idx="3">
                  <c:v>2.0120724346076457</c:v>
                </c:pt>
                <c:pt idx="4">
                  <c:v>1.5974440894568691</c:v>
                </c:pt>
                <c:pt idx="5">
                  <c:v>1.3175230566534915</c:v>
                </c:pt>
                <c:pt idx="6">
                  <c:v>1.0040160642570279</c:v>
                </c:pt>
                <c:pt idx="7">
                  <c:v>0.81699346405228757</c:v>
                </c:pt>
                <c:pt idx="8">
                  <c:v>0.68027210884353739</c:v>
                </c:pt>
                <c:pt idx="9">
                  <c:v>0.42283298097251587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D-4836-BC13-5BCBADCB967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4.1640851636966431E-2"/>
                  <c:y val="-9.9219401030594637E-2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Mol_6!$G$21:$G$30</c:f>
              <c:numCache>
                <c:formatCode>0.00</c:formatCode>
                <c:ptCount val="10"/>
                <c:pt idx="0">
                  <c:v>9.4576458650549284</c:v>
                </c:pt>
                <c:pt idx="1">
                  <c:v>10.868172153507345</c:v>
                </c:pt>
                <c:pt idx="2">
                  <c:v>12.077194686466569</c:v>
                </c:pt>
                <c:pt idx="3">
                  <c:v>17.954387555018258</c:v>
                </c:pt>
                <c:pt idx="4">
                  <c:v>21.41353535765154</c:v>
                </c:pt>
                <c:pt idx="5">
                  <c:v>23.428572912583562</c:v>
                </c:pt>
                <c:pt idx="6">
                  <c:v>29.507269536628471</c:v>
                </c:pt>
                <c:pt idx="7">
                  <c:v>34.376943627714141</c:v>
                </c:pt>
                <c:pt idx="8">
                  <c:v>37.970427267342899</c:v>
                </c:pt>
                <c:pt idx="9">
                  <c:v>42.974437195424066</c:v>
                </c:pt>
              </c:numCache>
            </c:numRef>
          </c:xVal>
          <c:yVal>
            <c:numRef>
              <c:f>Mol_6!$B$21:$B$30</c:f>
              <c:numCache>
                <c:formatCode>0.0000</c:formatCode>
                <c:ptCount val="10"/>
                <c:pt idx="0">
                  <c:v>0.42283298097251587</c:v>
                </c:pt>
                <c:pt idx="1">
                  <c:v>0.4098360655737705</c:v>
                </c:pt>
                <c:pt idx="2">
                  <c:v>0.3892565200467108</c:v>
                </c:pt>
                <c:pt idx="3">
                  <c:v>0.3461405330564209</c:v>
                </c:pt>
                <c:pt idx="4">
                  <c:v>0.3288391976323578</c:v>
                </c:pt>
                <c:pt idx="5">
                  <c:v>0.32020493115593979</c:v>
                </c:pt>
                <c:pt idx="6">
                  <c:v>0.28563267637817769</c:v>
                </c:pt>
                <c:pt idx="7">
                  <c:v>0.25766555011594949</c:v>
                </c:pt>
                <c:pt idx="8">
                  <c:v>0.23640661938534283</c:v>
                </c:pt>
                <c:pt idx="9">
                  <c:v>0.22497187851518557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3D-4836-BC13-5BCBADCB9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1999"/>
        <c:axId val="1"/>
      </c:scatterChart>
      <c:valAx>
        <c:axId val="131851999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19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140392025464902E-2"/>
                  <c:y val="7.2796293782242741E-2"/>
                </c:manualLayout>
              </c:layout>
              <c:numFmt formatCode="General" sourceLinked="0"/>
            </c:trendlineLbl>
          </c:trendline>
          <c:xVal>
            <c:numRef>
              <c:f>Mol_6!$D$12:$D$21</c:f>
              <c:numCache>
                <c:formatCode>0.0000</c:formatCode>
                <c:ptCount val="10"/>
                <c:pt idx="0">
                  <c:v>2.9630000000000001</c:v>
                </c:pt>
                <c:pt idx="1">
                  <c:v>2.9409999999999998</c:v>
                </c:pt>
                <c:pt idx="2">
                  <c:v>2.9289999999999994</c:v>
                </c:pt>
                <c:pt idx="3">
                  <c:v>2.9139999999999997</c:v>
                </c:pt>
                <c:pt idx="4">
                  <c:v>2.8999999999999995</c:v>
                </c:pt>
                <c:pt idx="5">
                  <c:v>2.8860000000000001</c:v>
                </c:pt>
                <c:pt idx="6">
                  <c:v>2.8679999999999994</c:v>
                </c:pt>
                <c:pt idx="7">
                  <c:v>2.8439999999999994</c:v>
                </c:pt>
                <c:pt idx="8">
                  <c:v>2.819</c:v>
                </c:pt>
                <c:pt idx="9">
                  <c:v>2.6959999999999997</c:v>
                </c:pt>
              </c:numCache>
            </c:numRef>
          </c:xVal>
          <c:yVal>
            <c:numRef>
              <c:f>Mol_6!$A$12:$A$21</c:f>
              <c:numCache>
                <c:formatCode>0.000</c:formatCode>
                <c:ptCount val="10"/>
                <c:pt idx="0">
                  <c:v>-0.187</c:v>
                </c:pt>
                <c:pt idx="1">
                  <c:v>-0.29300000000000004</c:v>
                </c:pt>
                <c:pt idx="2">
                  <c:v>-0.36899999999999999</c:v>
                </c:pt>
                <c:pt idx="3">
                  <c:v>-0.497</c:v>
                </c:pt>
                <c:pt idx="4">
                  <c:v>-0.626</c:v>
                </c:pt>
                <c:pt idx="5">
                  <c:v>-0.75900000000000001</c:v>
                </c:pt>
                <c:pt idx="6" formatCode="General">
                  <c:v>-0.99600000000000011</c:v>
                </c:pt>
                <c:pt idx="7" formatCode="General">
                  <c:v>-1.224</c:v>
                </c:pt>
                <c:pt idx="8" formatCode="General">
                  <c:v>-1.47</c:v>
                </c:pt>
                <c:pt idx="9" formatCode="General">
                  <c:v>-2.3649999999999998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4-464A-9DC5-5EF3595C0C1E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0.11426896106071847"/>
                  <c:y val="0.25740361118653271"/>
                </c:manualLayout>
              </c:layout>
              <c:numFmt formatCode="General" sourceLinked="0"/>
            </c:trendlineLbl>
          </c:trendline>
          <c:xVal>
            <c:numRef>
              <c:f>Mol_6!$D$21:$D$30</c:f>
              <c:numCache>
                <c:formatCode>0.0000</c:formatCode>
                <c:ptCount val="10"/>
                <c:pt idx="0">
                  <c:v>2.6959999999999997</c:v>
                </c:pt>
                <c:pt idx="1">
                  <c:v>2.6539999999999999</c:v>
                </c:pt>
                <c:pt idx="2">
                  <c:v>2.6179999999999994</c:v>
                </c:pt>
                <c:pt idx="3">
                  <c:v>2.4429999999999996</c:v>
                </c:pt>
                <c:pt idx="4">
                  <c:v>2.34</c:v>
                </c:pt>
                <c:pt idx="5">
                  <c:v>2.2799999999999994</c:v>
                </c:pt>
                <c:pt idx="6">
                  <c:v>2.0989999999999993</c:v>
                </c:pt>
                <c:pt idx="7">
                  <c:v>1.954</c:v>
                </c:pt>
                <c:pt idx="8">
                  <c:v>1.8469999999999998</c:v>
                </c:pt>
                <c:pt idx="9">
                  <c:v>1.6979999999999997</c:v>
                </c:pt>
              </c:numCache>
            </c:numRef>
          </c:xVal>
          <c:yVal>
            <c:numRef>
              <c:f>Mol_6!$A$21:$A$30</c:f>
              <c:numCache>
                <c:formatCode>General</c:formatCode>
                <c:ptCount val="10"/>
                <c:pt idx="0">
                  <c:v>-2.3649999999999998</c:v>
                </c:pt>
                <c:pt idx="1">
                  <c:v>-2.44</c:v>
                </c:pt>
                <c:pt idx="2">
                  <c:v>-2.569</c:v>
                </c:pt>
                <c:pt idx="3">
                  <c:v>-2.8890000000000002</c:v>
                </c:pt>
                <c:pt idx="4">
                  <c:v>-3.0409999999999999</c:v>
                </c:pt>
                <c:pt idx="5">
                  <c:v>-3.1230000000000002</c:v>
                </c:pt>
                <c:pt idx="6">
                  <c:v>-3.5009999999999999</c:v>
                </c:pt>
                <c:pt idx="7">
                  <c:v>-3.8810000000000002</c:v>
                </c:pt>
                <c:pt idx="8">
                  <c:v>-4.2299999999999995</c:v>
                </c:pt>
                <c:pt idx="9">
                  <c:v>-4.4450000000000003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54-464A-9DC5-5EF3595C0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7007"/>
        <c:axId val="1"/>
      </c:scatterChart>
      <c:valAx>
        <c:axId val="131847007"/>
        <c:scaling>
          <c:orientation val="minMax"/>
          <c:max val="3.25"/>
          <c:min val="1.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58376323649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75047515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700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Mol_3!$G$9:$G$20</c:f>
              <c:numCache>
                <c:formatCode>0.00</c:formatCode>
                <c:ptCount val="12"/>
                <c:pt idx="0">
                  <c:v>-0.20692144316328154</c:v>
                </c:pt>
                <c:pt idx="1">
                  <c:v>0.22070411064822792</c:v>
                </c:pt>
                <c:pt idx="2">
                  <c:v>0.55330176361275107</c:v>
                </c:pt>
                <c:pt idx="3">
                  <c:v>1.2660110199652621</c:v>
                </c:pt>
                <c:pt idx="4">
                  <c:v>1.7411505242002647</c:v>
                </c:pt>
                <c:pt idx="5">
                  <c:v>2.7389434830937631</c:v>
                </c:pt>
                <c:pt idx="6">
                  <c:v>3.4516527394462884</c:v>
                </c:pt>
                <c:pt idx="7">
                  <c:v>3.8792782932577978</c:v>
                </c:pt>
                <c:pt idx="8">
                  <c:v>5.7798363101978225</c:v>
                </c:pt>
                <c:pt idx="9">
                  <c:v>10.483717402124427</c:v>
                </c:pt>
                <c:pt idx="10">
                  <c:v>15.092570593204002</c:v>
                </c:pt>
                <c:pt idx="11">
                  <c:v>22.599774760117128</c:v>
                </c:pt>
              </c:numCache>
            </c:numRef>
          </c:xVal>
          <c:yVal>
            <c:numRef>
              <c:f>Mol_3!$B$9:$B$20</c:f>
              <c:numCache>
                <c:formatCode>0.0000</c:formatCode>
                <c:ptCount val="12"/>
                <c:pt idx="0">
                  <c:v>17.241379310344826</c:v>
                </c:pt>
                <c:pt idx="1">
                  <c:v>9.9009900990099009</c:v>
                </c:pt>
                <c:pt idx="2">
                  <c:v>7.1942446043165464</c:v>
                </c:pt>
                <c:pt idx="3">
                  <c:v>3.6231884057971011</c:v>
                </c:pt>
                <c:pt idx="4">
                  <c:v>2.6246719160104988</c:v>
                </c:pt>
                <c:pt idx="5">
                  <c:v>1.5748031496062991</c:v>
                </c:pt>
                <c:pt idx="6">
                  <c:v>1.2406947890818858</c:v>
                </c:pt>
                <c:pt idx="7">
                  <c:v>1.0604453870625663</c:v>
                </c:pt>
                <c:pt idx="8">
                  <c:v>0.71275837491090521</c:v>
                </c:pt>
                <c:pt idx="9">
                  <c:v>0.41152263374485593</c:v>
                </c:pt>
                <c:pt idx="10">
                  <c:v>0.34722222222222221</c:v>
                </c:pt>
                <c:pt idx="11">
                  <c:v>0.28328611898016998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D-4035-81CB-ECF71756EB1E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Mol_3!$G$18:$G$23</c:f>
              <c:numCache>
                <c:formatCode>0.00</c:formatCode>
                <c:ptCount val="6"/>
                <c:pt idx="0">
                  <c:v>10.483717402124427</c:v>
                </c:pt>
                <c:pt idx="1">
                  <c:v>15.092570593204002</c:v>
                </c:pt>
                <c:pt idx="2">
                  <c:v>22.599774760117128</c:v>
                </c:pt>
                <c:pt idx="3">
                  <c:v>24.405304876210153</c:v>
                </c:pt>
                <c:pt idx="4">
                  <c:v>26.781002397385208</c:v>
                </c:pt>
                <c:pt idx="5">
                  <c:v>28.348962761360724</c:v>
                </c:pt>
              </c:numCache>
            </c:numRef>
          </c:xVal>
          <c:yVal>
            <c:numRef>
              <c:f>Mol_3!$B$18:$B$23</c:f>
              <c:numCache>
                <c:formatCode>0.0000</c:formatCode>
                <c:ptCount val="6"/>
                <c:pt idx="0">
                  <c:v>0.41152263374485593</c:v>
                </c:pt>
                <c:pt idx="1">
                  <c:v>0.34722222222222221</c:v>
                </c:pt>
                <c:pt idx="2">
                  <c:v>0.28328611898016998</c:v>
                </c:pt>
                <c:pt idx="3">
                  <c:v>0.2785515320334262</c:v>
                </c:pt>
                <c:pt idx="4">
                  <c:v>0.2693965517241379</c:v>
                </c:pt>
                <c:pt idx="5">
                  <c:v>0.26315789473684209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D-4035-81CB-ECF71756E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8671"/>
        <c:axId val="1"/>
      </c:scatterChart>
      <c:valAx>
        <c:axId val="131848671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867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6152262882033361E-2"/>
                  <c:y val="0.11989354030774615"/>
                </c:manualLayout>
              </c:layout>
              <c:numFmt formatCode="General" sourceLinked="0"/>
            </c:trendlineLbl>
          </c:trendline>
          <c:xVal>
            <c:numRef>
              <c:f>Mol_3!$D$11:$D$18</c:f>
              <c:numCache>
                <c:formatCode>0.0000</c:formatCode>
                <c:ptCount val="8"/>
                <c:pt idx="0">
                  <c:v>2.093</c:v>
                </c:pt>
                <c:pt idx="1">
                  <c:v>2.0779999999999998</c:v>
                </c:pt>
                <c:pt idx="2">
                  <c:v>2.0680000000000001</c:v>
                </c:pt>
                <c:pt idx="3">
                  <c:v>2.0470000000000002</c:v>
                </c:pt>
                <c:pt idx="4">
                  <c:v>2.032</c:v>
                </c:pt>
                <c:pt idx="5">
                  <c:v>2.0230000000000001</c:v>
                </c:pt>
                <c:pt idx="6">
                  <c:v>1.9830000000000001</c:v>
                </c:pt>
                <c:pt idx="7">
                  <c:v>1.8839999999999999</c:v>
                </c:pt>
              </c:numCache>
            </c:numRef>
          </c:xVal>
          <c:yVal>
            <c:numRef>
              <c:f>Mol_3!$A$11:$A$18</c:f>
              <c:numCache>
                <c:formatCode>0.000</c:formatCode>
                <c:ptCount val="8"/>
                <c:pt idx="0">
                  <c:v>-0.13900000000000001</c:v>
                </c:pt>
                <c:pt idx="1">
                  <c:v>-0.27600000000000002</c:v>
                </c:pt>
                <c:pt idx="2">
                  <c:v>-0.38100000000000001</c:v>
                </c:pt>
                <c:pt idx="3">
                  <c:v>-0.63500000000000001</c:v>
                </c:pt>
                <c:pt idx="4">
                  <c:v>-0.80600000000000005</c:v>
                </c:pt>
                <c:pt idx="5">
                  <c:v>-0.94299999999999995</c:v>
                </c:pt>
                <c:pt idx="6">
                  <c:v>-1.403</c:v>
                </c:pt>
                <c:pt idx="7">
                  <c:v>-2.4300000000000002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8-4A42-B14E-8C4F592E63D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9.0093818059976571E-2"/>
                  <c:y val="-2.3237016969653489E-2"/>
                </c:manualLayout>
              </c:layout>
              <c:numFmt formatCode="General" sourceLinked="0"/>
            </c:trendlineLbl>
          </c:trendline>
          <c:xVal>
            <c:numRef>
              <c:f>Mol_3!$D$18:$D$23</c:f>
              <c:numCache>
                <c:formatCode>0.0000</c:formatCode>
                <c:ptCount val="6"/>
                <c:pt idx="0">
                  <c:v>1.8839999999999999</c:v>
                </c:pt>
                <c:pt idx="1">
                  <c:v>1.7869999999999999</c:v>
                </c:pt>
                <c:pt idx="2">
                  <c:v>1.629</c:v>
                </c:pt>
                <c:pt idx="3">
                  <c:v>1.5910000000000002</c:v>
                </c:pt>
                <c:pt idx="4">
                  <c:v>1.5409999999999999</c:v>
                </c:pt>
                <c:pt idx="5">
                  <c:v>1.508</c:v>
                </c:pt>
              </c:numCache>
            </c:numRef>
          </c:xVal>
          <c:yVal>
            <c:numRef>
              <c:f>Mol_3!$A$18:$A$23</c:f>
              <c:numCache>
                <c:formatCode>0.000</c:formatCode>
                <c:ptCount val="6"/>
                <c:pt idx="0">
                  <c:v>-2.4300000000000002</c:v>
                </c:pt>
                <c:pt idx="1">
                  <c:v>-2.88</c:v>
                </c:pt>
                <c:pt idx="2">
                  <c:v>-3.53</c:v>
                </c:pt>
                <c:pt idx="3">
                  <c:v>-3.59</c:v>
                </c:pt>
                <c:pt idx="4">
                  <c:v>-3.7120000000000002</c:v>
                </c:pt>
                <c:pt idx="5">
                  <c:v>-3.8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08-4A42-B14E-8C4F592E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3679"/>
        <c:axId val="1"/>
      </c:scatterChart>
      <c:valAx>
        <c:axId val="131843679"/>
        <c:scaling>
          <c:orientation val="minMax"/>
          <c:min val="1.2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606920403609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13703137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367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Mol_9!$G$9:$G$17</c:f>
              <c:numCache>
                <c:formatCode>0.00</c:formatCode>
                <c:ptCount val="9"/>
                <c:pt idx="0">
                  <c:v>-0.3781347038437417</c:v>
                </c:pt>
                <c:pt idx="1">
                  <c:v>9.3616320874076564E-2</c:v>
                </c:pt>
                <c:pt idx="2">
                  <c:v>0.46053378454347182</c:v>
                </c:pt>
                <c:pt idx="3">
                  <c:v>0.87986802873707859</c:v>
                </c:pt>
                <c:pt idx="4">
                  <c:v>2.0330372002694901</c:v>
                </c:pt>
                <c:pt idx="5">
                  <c:v>3.081372810753507</c:v>
                </c:pt>
                <c:pt idx="6">
                  <c:v>4.4966258849068907</c:v>
                </c:pt>
                <c:pt idx="7">
                  <c:v>6.2787964227297124</c:v>
                </c:pt>
                <c:pt idx="8">
                  <c:v>8.0609669605525198</c:v>
                </c:pt>
              </c:numCache>
            </c:numRef>
          </c:xVal>
          <c:yVal>
            <c:numRef>
              <c:f>Mol_9!$B$9:$B$17</c:f>
              <c:numCache>
                <c:formatCode>0.0000</c:formatCode>
                <c:ptCount val="9"/>
                <c:pt idx="0">
                  <c:v>14.285714285714285</c:v>
                </c:pt>
                <c:pt idx="1">
                  <c:v>9.9009900990099009</c:v>
                </c:pt>
                <c:pt idx="2">
                  <c:v>7.5757575757575752</c:v>
                </c:pt>
                <c:pt idx="3">
                  <c:v>5.0761421319796955</c:v>
                </c:pt>
                <c:pt idx="4">
                  <c:v>1.8975332068311195</c:v>
                </c:pt>
                <c:pt idx="5">
                  <c:v>1.0857763300760044</c:v>
                </c:pt>
                <c:pt idx="6">
                  <c:v>0.75700227100681305</c:v>
                </c:pt>
                <c:pt idx="7">
                  <c:v>0.53219797764768495</c:v>
                </c:pt>
                <c:pt idx="8">
                  <c:v>0.46948356807511737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8-4575-89BE-029D9D864E7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Mol_9!$G$17:$G$21</c:f>
              <c:numCache>
                <c:formatCode>0.00</c:formatCode>
                <c:ptCount val="5"/>
                <c:pt idx="0">
                  <c:v>8.0609669605525198</c:v>
                </c:pt>
                <c:pt idx="1">
                  <c:v>22.318331263135036</c:v>
                </c:pt>
                <c:pt idx="2">
                  <c:v>25.410921314062847</c:v>
                </c:pt>
                <c:pt idx="3">
                  <c:v>28.818012048135884</c:v>
                </c:pt>
                <c:pt idx="4">
                  <c:v>31.071933610676496</c:v>
                </c:pt>
              </c:numCache>
            </c:numRef>
          </c:xVal>
          <c:yVal>
            <c:numRef>
              <c:f>Mol_9!$B$17:$B$21</c:f>
              <c:numCache>
                <c:formatCode>0.0000</c:formatCode>
                <c:ptCount val="5"/>
                <c:pt idx="0">
                  <c:v>0.46948356807511737</c:v>
                </c:pt>
                <c:pt idx="1">
                  <c:v>0.30211480362537763</c:v>
                </c:pt>
                <c:pt idx="2">
                  <c:v>0.28901734104046245</c:v>
                </c:pt>
                <c:pt idx="3">
                  <c:v>0.27210884353741499</c:v>
                </c:pt>
                <c:pt idx="4">
                  <c:v>0.25575447570332482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58-4575-89BE-029D9D864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4095"/>
        <c:axId val="1"/>
      </c:scatterChart>
      <c:valAx>
        <c:axId val="13184409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409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Mol_9!$D$11:$D$17</c:f>
              <c:numCache>
                <c:formatCode>0.0000</c:formatCode>
                <c:ptCount val="7"/>
                <c:pt idx="0">
                  <c:v>1.8990000000000002</c:v>
                </c:pt>
                <c:pt idx="1">
                  <c:v>1.8910000000000002</c:v>
                </c:pt>
                <c:pt idx="2">
                  <c:v>1.869</c:v>
                </c:pt>
                <c:pt idx="3">
                  <c:v>1.849</c:v>
                </c:pt>
                <c:pt idx="4">
                  <c:v>1.8220000000000003</c:v>
                </c:pt>
                <c:pt idx="5">
                  <c:v>1.788</c:v>
                </c:pt>
                <c:pt idx="6">
                  <c:v>1.7540000000000002</c:v>
                </c:pt>
              </c:numCache>
            </c:numRef>
          </c:xVal>
          <c:yVal>
            <c:numRef>
              <c:f>Mol_9!$A$11:$A$17</c:f>
              <c:numCache>
                <c:formatCode>0.000</c:formatCode>
                <c:ptCount val="7"/>
                <c:pt idx="0">
                  <c:v>-0.13200000000000001</c:v>
                </c:pt>
                <c:pt idx="1">
                  <c:v>-0.19700000000000001</c:v>
                </c:pt>
                <c:pt idx="2">
                  <c:v>-0.52700000000000002</c:v>
                </c:pt>
                <c:pt idx="3">
                  <c:v>-0.92100000000000004</c:v>
                </c:pt>
                <c:pt idx="4">
                  <c:v>-1.321</c:v>
                </c:pt>
                <c:pt idx="5">
                  <c:v>-1.879</c:v>
                </c:pt>
                <c:pt idx="6">
                  <c:v>-2.13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7-4F3D-BA7E-33BA7821B7E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Mol_9!$D$17:$D$23</c:f>
              <c:numCache>
                <c:formatCode>0.0000</c:formatCode>
                <c:ptCount val="7"/>
                <c:pt idx="0">
                  <c:v>1.7540000000000002</c:v>
                </c:pt>
                <c:pt idx="1">
                  <c:v>1.482</c:v>
                </c:pt>
                <c:pt idx="2">
                  <c:v>1.4230000000000003</c:v>
                </c:pt>
                <c:pt idx="3">
                  <c:v>1.3579999999999999</c:v>
                </c:pt>
                <c:pt idx="4">
                  <c:v>1.3150000000000002</c:v>
                </c:pt>
              </c:numCache>
            </c:numRef>
          </c:xVal>
          <c:yVal>
            <c:numRef>
              <c:f>Mol_9!$A$17:$A$23</c:f>
              <c:numCache>
                <c:formatCode>0.000</c:formatCode>
                <c:ptCount val="7"/>
                <c:pt idx="0">
                  <c:v>-2.13</c:v>
                </c:pt>
                <c:pt idx="1">
                  <c:v>-3.31</c:v>
                </c:pt>
                <c:pt idx="2">
                  <c:v>-3.46</c:v>
                </c:pt>
                <c:pt idx="3">
                  <c:v>-3.6749999999999998</c:v>
                </c:pt>
                <c:pt idx="4">
                  <c:v>-3.91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87-4F3D-BA7E-33BA7821B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0751"/>
        <c:axId val="1"/>
      </c:scatterChart>
      <c:valAx>
        <c:axId val="131850751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66516043096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8703906658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5075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2.8209151581335139E-4"/>
                  <c:y val="-0.10077209571265795"/>
                </c:manualLayout>
              </c:layout>
              <c:numFmt formatCode="General" sourceLinked="0"/>
            </c:trendlineLbl>
          </c:trendline>
          <c:xVal>
            <c:numRef>
              <c:f>Mol_7!$G$31:$G$35</c:f>
              <c:numCache>
                <c:formatCode>0.00</c:formatCode>
                <c:ptCount val="5"/>
                <c:pt idx="0">
                  <c:v>10.177404035771531</c:v>
                </c:pt>
                <c:pt idx="1">
                  <c:v>11.568733540456606</c:v>
                </c:pt>
                <c:pt idx="2">
                  <c:v>14.596921285947701</c:v>
                </c:pt>
                <c:pt idx="3">
                  <c:v>20.694218232950007</c:v>
                </c:pt>
                <c:pt idx="4">
                  <c:v>24.827285290985117</c:v>
                </c:pt>
              </c:numCache>
            </c:numRef>
          </c:xVal>
          <c:yVal>
            <c:numRef>
              <c:f>Mol_7!$B$31:$B$35</c:f>
              <c:numCache>
                <c:formatCode>0.0000</c:formatCode>
                <c:ptCount val="5"/>
                <c:pt idx="0">
                  <c:v>0.44843049327354262</c:v>
                </c:pt>
                <c:pt idx="1">
                  <c:v>0.42918454935622319</c:v>
                </c:pt>
                <c:pt idx="2">
                  <c:v>0.3968253968253968</c:v>
                </c:pt>
                <c:pt idx="3">
                  <c:v>0.35587188612099646</c:v>
                </c:pt>
                <c:pt idx="4">
                  <c:v>0.32786885245901642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B-4619-AF8D-DE53B7331C8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Mol_7!$G$21:$G$31</c:f>
              <c:numCache>
                <c:formatCode>0.00</c:formatCode>
                <c:ptCount val="11"/>
                <c:pt idx="0">
                  <c:v>1.297448079399075</c:v>
                </c:pt>
                <c:pt idx="1">
                  <c:v>1.8294270076610246</c:v>
                </c:pt>
                <c:pt idx="2">
                  <c:v>2.4023273919431034</c:v>
                </c:pt>
                <c:pt idx="3">
                  <c:v>2.934306320205053</c:v>
                </c:pt>
                <c:pt idx="4">
                  <c:v>3.3844423364267016</c:v>
                </c:pt>
                <c:pt idx="5">
                  <c:v>3.9982641767289238</c:v>
                </c:pt>
                <c:pt idx="6">
                  <c:v>5.2259078573334392</c:v>
                </c:pt>
                <c:pt idx="7">
                  <c:v>6.2489442578371666</c:v>
                </c:pt>
                <c:pt idx="8">
                  <c:v>7.435666482421496</c:v>
                </c:pt>
                <c:pt idx="9">
                  <c:v>9.1952890912879326</c:v>
                </c:pt>
                <c:pt idx="10">
                  <c:v>10.177404035771531</c:v>
                </c:pt>
              </c:numCache>
            </c:numRef>
          </c:xVal>
          <c:yVal>
            <c:numRef>
              <c:f>Mol_7!$B$21:$B$31</c:f>
              <c:numCache>
                <c:formatCode>0.0000</c:formatCode>
                <c:ptCount val="11"/>
                <c:pt idx="0">
                  <c:v>3.4482758620689657</c:v>
                </c:pt>
                <c:pt idx="1">
                  <c:v>2.7027027027027026</c:v>
                </c:pt>
                <c:pt idx="2">
                  <c:v>1.8867924528301885</c:v>
                </c:pt>
                <c:pt idx="3">
                  <c:v>1.4492753623188408</c:v>
                </c:pt>
                <c:pt idx="4">
                  <c:v>1.3333333333333333</c:v>
                </c:pt>
                <c:pt idx="5">
                  <c:v>1.0416666666666667</c:v>
                </c:pt>
                <c:pt idx="6">
                  <c:v>0.78125</c:v>
                </c:pt>
                <c:pt idx="7">
                  <c:v>0.64516129032258063</c:v>
                </c:pt>
                <c:pt idx="8">
                  <c:v>0.52910052910052918</c:v>
                </c:pt>
                <c:pt idx="9">
                  <c:v>0.47846889952153115</c:v>
                </c:pt>
                <c:pt idx="10">
                  <c:v>0.44843049327354262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3B-4619-AF8D-DE53B7331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8671"/>
        <c:axId val="1"/>
      </c:scatterChart>
      <c:valAx>
        <c:axId val="131848671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867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6152262882033361E-2"/>
                  <c:y val="0.11989354030774615"/>
                </c:manualLayout>
              </c:layout>
              <c:numFmt formatCode="General" sourceLinked="0"/>
            </c:trendlineLbl>
          </c:trendline>
          <c:xVal>
            <c:numRef>
              <c:f>Mol_7!$D$21:$D$31</c:f>
              <c:numCache>
                <c:formatCode>0.0000</c:formatCode>
                <c:ptCount val="11"/>
                <c:pt idx="0">
                  <c:v>2.4119999999999995</c:v>
                </c:pt>
                <c:pt idx="1">
                  <c:v>2.3989999999999996</c:v>
                </c:pt>
                <c:pt idx="2">
                  <c:v>2.3849999999999998</c:v>
                </c:pt>
                <c:pt idx="3">
                  <c:v>2.3719999999999999</c:v>
                </c:pt>
                <c:pt idx="4">
                  <c:v>2.3609999999999998</c:v>
                </c:pt>
                <c:pt idx="5">
                  <c:v>2.3460000000000001</c:v>
                </c:pt>
                <c:pt idx="6">
                  <c:v>2.3159999999999998</c:v>
                </c:pt>
                <c:pt idx="7">
                  <c:v>2.2909999999999999</c:v>
                </c:pt>
                <c:pt idx="8">
                  <c:v>2.262</c:v>
                </c:pt>
                <c:pt idx="9">
                  <c:v>2.2189999999999999</c:v>
                </c:pt>
                <c:pt idx="10">
                  <c:v>2.1949999999999998</c:v>
                </c:pt>
              </c:numCache>
            </c:numRef>
          </c:xVal>
          <c:yVal>
            <c:numRef>
              <c:f>Mol_7!$A$21:$A$31</c:f>
              <c:numCache>
                <c:formatCode>0.000</c:formatCode>
                <c:ptCount val="11"/>
                <c:pt idx="0">
                  <c:v>-0.28999999999999998</c:v>
                </c:pt>
                <c:pt idx="1">
                  <c:v>-0.37</c:v>
                </c:pt>
                <c:pt idx="2">
                  <c:v>-0.53</c:v>
                </c:pt>
                <c:pt idx="3">
                  <c:v>-0.69</c:v>
                </c:pt>
                <c:pt idx="4">
                  <c:v>-0.75</c:v>
                </c:pt>
                <c:pt idx="5">
                  <c:v>-0.96</c:v>
                </c:pt>
                <c:pt idx="6">
                  <c:v>-1.28</c:v>
                </c:pt>
                <c:pt idx="7">
                  <c:v>-1.55</c:v>
                </c:pt>
                <c:pt idx="8">
                  <c:v>-1.89</c:v>
                </c:pt>
                <c:pt idx="9">
                  <c:v>-2.09</c:v>
                </c:pt>
                <c:pt idx="10">
                  <c:v>-2.23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97-4E1A-8BCA-E3A8D9256D7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9.0093818059976571E-2"/>
                  <c:y val="-2.3237016969653489E-2"/>
                </c:manualLayout>
              </c:layout>
              <c:numFmt formatCode="General" sourceLinked="0"/>
            </c:trendlineLbl>
          </c:trendline>
          <c:xVal>
            <c:numRef>
              <c:f>Mol_7!$D$31:$D$35</c:f>
              <c:numCache>
                <c:formatCode>0.0000</c:formatCode>
                <c:ptCount val="5"/>
                <c:pt idx="0">
                  <c:v>2.1949999999999998</c:v>
                </c:pt>
                <c:pt idx="1">
                  <c:v>2.161</c:v>
                </c:pt>
                <c:pt idx="2">
                  <c:v>2.0869999999999997</c:v>
                </c:pt>
                <c:pt idx="3">
                  <c:v>1.9379999999999997</c:v>
                </c:pt>
                <c:pt idx="4">
                  <c:v>1.8369999999999997</c:v>
                </c:pt>
              </c:numCache>
            </c:numRef>
          </c:xVal>
          <c:yVal>
            <c:numRef>
              <c:f>Mol_7!$A$31:$A$35</c:f>
              <c:numCache>
                <c:formatCode>0.000</c:formatCode>
                <c:ptCount val="5"/>
                <c:pt idx="0">
                  <c:v>-2.23</c:v>
                </c:pt>
                <c:pt idx="1">
                  <c:v>-2.33</c:v>
                </c:pt>
                <c:pt idx="2">
                  <c:v>-2.52</c:v>
                </c:pt>
                <c:pt idx="3">
                  <c:v>-2.81</c:v>
                </c:pt>
                <c:pt idx="4">
                  <c:v>-3.05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97-4E1A-8BCA-E3A8D9256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3679"/>
        <c:axId val="1"/>
      </c:scatterChart>
      <c:valAx>
        <c:axId val="131843679"/>
        <c:scaling>
          <c:orientation val="minMax"/>
          <c:min val="1.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606920403609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13703137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367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Mol_8!$G$9:$G$20</c:f>
              <c:numCache>
                <c:formatCode>0.00</c:formatCode>
                <c:ptCount val="12"/>
                <c:pt idx="0">
                  <c:v>1.2362963183202567</c:v>
                </c:pt>
                <c:pt idx="1">
                  <c:v>2.0068843834568924</c:v>
                </c:pt>
                <c:pt idx="2">
                  <c:v>2.7132567764988238</c:v>
                </c:pt>
                <c:pt idx="3">
                  <c:v>3.4196291695407552</c:v>
                </c:pt>
                <c:pt idx="4">
                  <c:v>4.3828642509615321</c:v>
                </c:pt>
                <c:pt idx="5">
                  <c:v>5.6671776928559581</c:v>
                </c:pt>
                <c:pt idx="6">
                  <c:v>6.5661971021820449</c:v>
                </c:pt>
                <c:pt idx="7">
                  <c:v>7.3367851673186948</c:v>
                </c:pt>
                <c:pt idx="8">
                  <c:v>9.4559023464444607</c:v>
                </c:pt>
                <c:pt idx="9">
                  <c:v>10.932862804623028</c:v>
                </c:pt>
                <c:pt idx="10">
                  <c:v>11.8318822139491</c:v>
                </c:pt>
                <c:pt idx="11">
                  <c:v>12.538254606991032</c:v>
                </c:pt>
              </c:numCache>
            </c:numRef>
          </c:xVal>
          <c:yVal>
            <c:numRef>
              <c:f>Mol_8!$B$9:$B$20</c:f>
              <c:numCache>
                <c:formatCode>0.0000</c:formatCode>
                <c:ptCount val="12"/>
                <c:pt idx="0">
                  <c:v>3.3333333333333335</c:v>
                </c:pt>
                <c:pt idx="1">
                  <c:v>2.0833333333333335</c:v>
                </c:pt>
                <c:pt idx="2">
                  <c:v>1.4925373134328357</c:v>
                </c:pt>
                <c:pt idx="3">
                  <c:v>1.0638297872340425</c:v>
                </c:pt>
                <c:pt idx="4">
                  <c:v>0.92592592592592582</c:v>
                </c:pt>
                <c:pt idx="5">
                  <c:v>0.68027210884353739</c:v>
                </c:pt>
                <c:pt idx="6">
                  <c:v>0.5617977528089888</c:v>
                </c:pt>
                <c:pt idx="7">
                  <c:v>0.49261083743842371</c:v>
                </c:pt>
                <c:pt idx="8">
                  <c:v>0.40322580645161293</c:v>
                </c:pt>
                <c:pt idx="9">
                  <c:v>0.37313432835820892</c:v>
                </c:pt>
                <c:pt idx="10">
                  <c:v>0.35842293906810035</c:v>
                </c:pt>
                <c:pt idx="11">
                  <c:v>0.34843205574912889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4-4DBD-8B4D-8A414FBB49D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Mol_8!$G$18:$G$26</c:f>
              <c:numCache>
                <c:formatCode>0.00</c:formatCode>
                <c:ptCount val="9"/>
                <c:pt idx="0">
                  <c:v>10.932862804623028</c:v>
                </c:pt>
                <c:pt idx="1">
                  <c:v>11.8318822139491</c:v>
                </c:pt>
                <c:pt idx="2">
                  <c:v>12.538254606991032</c:v>
                </c:pt>
                <c:pt idx="3">
                  <c:v>13.308842672127668</c:v>
                </c:pt>
                <c:pt idx="4">
                  <c:v>14.336293425643191</c:v>
                </c:pt>
                <c:pt idx="5">
                  <c:v>15.55639119544287</c:v>
                </c:pt>
                <c:pt idx="6">
                  <c:v>19.216684504841936</c:v>
                </c:pt>
                <c:pt idx="7">
                  <c:v>21.913742732820168</c:v>
                </c:pt>
                <c:pt idx="8">
                  <c:v>23.519134535188186</c:v>
                </c:pt>
              </c:numCache>
            </c:numRef>
          </c:xVal>
          <c:yVal>
            <c:numRef>
              <c:f>Mol_8!$B$18:$B$26</c:f>
              <c:numCache>
                <c:formatCode>0.0000</c:formatCode>
                <c:ptCount val="9"/>
                <c:pt idx="0">
                  <c:v>0.37313432835820892</c:v>
                </c:pt>
                <c:pt idx="1">
                  <c:v>0.35842293906810035</c:v>
                </c:pt>
                <c:pt idx="2">
                  <c:v>0.34843205574912889</c:v>
                </c:pt>
                <c:pt idx="3">
                  <c:v>0.34246575342465752</c:v>
                </c:pt>
                <c:pt idx="4">
                  <c:v>0.32894736842105265</c:v>
                </c:pt>
                <c:pt idx="5">
                  <c:v>0.31948881789137379</c:v>
                </c:pt>
                <c:pt idx="6">
                  <c:v>0.29940119760479045</c:v>
                </c:pt>
                <c:pt idx="7">
                  <c:v>0.29411764705882354</c:v>
                </c:pt>
                <c:pt idx="8">
                  <c:v>0.2770083102493075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04-4DBD-8B4D-8A414FBB4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8671"/>
        <c:axId val="1"/>
      </c:scatterChart>
      <c:valAx>
        <c:axId val="131848671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867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6152262882033361E-2"/>
                  <c:y val="0.11989354030774615"/>
                </c:manualLayout>
              </c:layout>
              <c:numFmt formatCode="General" sourceLinked="0"/>
            </c:trendlineLbl>
          </c:trendline>
          <c:xVal>
            <c:numRef>
              <c:f>Mol_8!$D$9:$D$18</c:f>
              <c:numCache>
                <c:formatCode>0.0000</c:formatCode>
                <c:ptCount val="10"/>
                <c:pt idx="0">
                  <c:v>1.538</c:v>
                </c:pt>
                <c:pt idx="1">
                  <c:v>1.526</c:v>
                </c:pt>
                <c:pt idx="2">
                  <c:v>1.5149999999999999</c:v>
                </c:pt>
                <c:pt idx="3">
                  <c:v>1.5039999999999998</c:v>
                </c:pt>
                <c:pt idx="4">
                  <c:v>1.4890000000000001</c:v>
                </c:pt>
                <c:pt idx="5">
                  <c:v>1.4690000000000001</c:v>
                </c:pt>
                <c:pt idx="6">
                  <c:v>1.4549999999999998</c:v>
                </c:pt>
                <c:pt idx="7">
                  <c:v>1.4429999999999998</c:v>
                </c:pt>
                <c:pt idx="8">
                  <c:v>1.41</c:v>
                </c:pt>
                <c:pt idx="9">
                  <c:v>1.3869999999999998</c:v>
                </c:pt>
              </c:numCache>
            </c:numRef>
          </c:xVal>
          <c:yVal>
            <c:numRef>
              <c:f>Mol_8!$A$9:$A$18</c:f>
              <c:numCache>
                <c:formatCode>0.000</c:formatCode>
                <c:ptCount val="10"/>
                <c:pt idx="0">
                  <c:v>-0.3</c:v>
                </c:pt>
                <c:pt idx="1">
                  <c:v>-0.48</c:v>
                </c:pt>
                <c:pt idx="2">
                  <c:v>-0.67</c:v>
                </c:pt>
                <c:pt idx="3">
                  <c:v>-0.94</c:v>
                </c:pt>
                <c:pt idx="4">
                  <c:v>-1.08</c:v>
                </c:pt>
                <c:pt idx="5">
                  <c:v>-1.47</c:v>
                </c:pt>
                <c:pt idx="6">
                  <c:v>-1.78</c:v>
                </c:pt>
                <c:pt idx="7">
                  <c:v>-2.0299999999999998</c:v>
                </c:pt>
                <c:pt idx="8">
                  <c:v>-2.48</c:v>
                </c:pt>
                <c:pt idx="9">
                  <c:v>-2.68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FA-48B6-A589-1157F052094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9.0093818059976571E-2"/>
                  <c:y val="-2.3237016969653489E-2"/>
                </c:manualLayout>
              </c:layout>
              <c:numFmt formatCode="General" sourceLinked="0"/>
            </c:trendlineLbl>
          </c:trendline>
          <c:xVal>
            <c:numRef>
              <c:f>Mol_8!$D$18:$D$26</c:f>
              <c:numCache>
                <c:formatCode>0.0000</c:formatCode>
                <c:ptCount val="9"/>
                <c:pt idx="0">
                  <c:v>1.3869999999999998</c:v>
                </c:pt>
                <c:pt idx="1">
                  <c:v>1.373</c:v>
                </c:pt>
                <c:pt idx="2">
                  <c:v>1.3619999999999999</c:v>
                </c:pt>
                <c:pt idx="3">
                  <c:v>1.3499999999999999</c:v>
                </c:pt>
                <c:pt idx="4">
                  <c:v>1.3339999999999999</c:v>
                </c:pt>
                <c:pt idx="5">
                  <c:v>1.3150000000000002</c:v>
                </c:pt>
                <c:pt idx="6">
                  <c:v>1.2579999999999998</c:v>
                </c:pt>
                <c:pt idx="7">
                  <c:v>1.216</c:v>
                </c:pt>
                <c:pt idx="8">
                  <c:v>1.1910000000000001</c:v>
                </c:pt>
              </c:numCache>
            </c:numRef>
          </c:xVal>
          <c:yVal>
            <c:numRef>
              <c:f>Mol_8!$A$18:$A$26</c:f>
              <c:numCache>
                <c:formatCode>0.000</c:formatCode>
                <c:ptCount val="9"/>
                <c:pt idx="0">
                  <c:v>-2.68</c:v>
                </c:pt>
                <c:pt idx="1">
                  <c:v>-2.79</c:v>
                </c:pt>
                <c:pt idx="2">
                  <c:v>-2.87</c:v>
                </c:pt>
                <c:pt idx="3">
                  <c:v>-2.92</c:v>
                </c:pt>
                <c:pt idx="4">
                  <c:v>-3.04</c:v>
                </c:pt>
                <c:pt idx="5">
                  <c:v>-3.13</c:v>
                </c:pt>
                <c:pt idx="6">
                  <c:v>-3.34</c:v>
                </c:pt>
                <c:pt idx="7">
                  <c:v>-3.4</c:v>
                </c:pt>
                <c:pt idx="8">
                  <c:v>-3.61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FA-48B6-A589-1157F0520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3679"/>
        <c:axId val="1"/>
      </c:scatterChart>
      <c:valAx>
        <c:axId val="131843679"/>
        <c:scaling>
          <c:orientation val="minMax"/>
          <c:max val="1.6"/>
          <c:min val="1.100000000000000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606920403609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-5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13703137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367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Fib_2!$G$12:$G$17</c:f>
              <c:numCache>
                <c:formatCode>0.00</c:formatCode>
                <c:ptCount val="6"/>
                <c:pt idx="0">
                  <c:v>0.49552583174475728</c:v>
                </c:pt>
                <c:pt idx="1">
                  <c:v>1.6513328178596396</c:v>
                </c:pt>
                <c:pt idx="2">
                  <c:v>2.7020664416004649</c:v>
                </c:pt>
                <c:pt idx="3">
                  <c:v>4.3832402395857599</c:v>
                </c:pt>
                <c:pt idx="4">
                  <c:v>6.1694873999451545</c:v>
                </c:pt>
                <c:pt idx="5">
                  <c:v>12.894182591886377</c:v>
                </c:pt>
              </c:numCache>
            </c:numRef>
          </c:xVal>
          <c:yVal>
            <c:numRef>
              <c:f>Fib_2!$B$12:$B$17</c:f>
              <c:numCache>
                <c:formatCode>0.0000</c:formatCode>
                <c:ptCount val="6"/>
                <c:pt idx="0">
                  <c:v>3.3003300330033003</c:v>
                </c:pt>
                <c:pt idx="1">
                  <c:v>1.4814814814814814</c:v>
                </c:pt>
                <c:pt idx="2">
                  <c:v>0.86281276962899045</c:v>
                </c:pt>
                <c:pt idx="3">
                  <c:v>0.48685491723466412</c:v>
                </c:pt>
                <c:pt idx="4">
                  <c:v>0.35971223021582738</c:v>
                </c:pt>
                <c:pt idx="5">
                  <c:v>0.28169014084507044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2-4C23-9EAB-08F5B1B6A0B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Fib_2!$G$16:$G$22</c:f>
              <c:numCache>
                <c:formatCode>0.00</c:formatCode>
                <c:ptCount val="7"/>
                <c:pt idx="0">
                  <c:v>6.1694873999451545</c:v>
                </c:pt>
                <c:pt idx="1">
                  <c:v>12.894182591886377</c:v>
                </c:pt>
                <c:pt idx="2">
                  <c:v>15.20579656411617</c:v>
                </c:pt>
                <c:pt idx="3">
                  <c:v>16.676823637353309</c:v>
                </c:pt>
                <c:pt idx="4">
                  <c:v>19.303657696705372</c:v>
                </c:pt>
                <c:pt idx="5">
                  <c:v>22.245711843179649</c:v>
                </c:pt>
                <c:pt idx="6">
                  <c:v>28.970407035120843</c:v>
                </c:pt>
              </c:numCache>
            </c:numRef>
          </c:xVal>
          <c:yVal>
            <c:numRef>
              <c:f>Fib_2!$B$16:$B$22</c:f>
              <c:numCache>
                <c:formatCode>0.0000</c:formatCode>
                <c:ptCount val="7"/>
                <c:pt idx="0">
                  <c:v>0.35971223021582738</c:v>
                </c:pt>
                <c:pt idx="1">
                  <c:v>0.28169014084507044</c:v>
                </c:pt>
                <c:pt idx="2">
                  <c:v>0.26455026455026459</c:v>
                </c:pt>
                <c:pt idx="3">
                  <c:v>0.25839793281653745</c:v>
                </c:pt>
                <c:pt idx="4">
                  <c:v>0.24213075060532688</c:v>
                </c:pt>
                <c:pt idx="5">
                  <c:v>0.22573363431151244</c:v>
                </c:pt>
                <c:pt idx="6">
                  <c:v>0.20242914979757085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42-4C23-9EAB-08F5B1B6A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48255"/>
        <c:axId val="1"/>
      </c:scatterChart>
      <c:valAx>
        <c:axId val="37524825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24825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Fib_2!$D$12:$D$16</c:f>
              <c:numCache>
                <c:formatCode>0.0000</c:formatCode>
                <c:ptCount val="5"/>
                <c:pt idx="0">
                  <c:v>0.94699999999999995</c:v>
                </c:pt>
                <c:pt idx="1">
                  <c:v>0.93600000000000005</c:v>
                </c:pt>
                <c:pt idx="2">
                  <c:v>0.92600000000000005</c:v>
                </c:pt>
                <c:pt idx="3">
                  <c:v>0.91</c:v>
                </c:pt>
                <c:pt idx="4">
                  <c:v>0.8929999999999999</c:v>
                </c:pt>
              </c:numCache>
            </c:numRef>
          </c:xVal>
          <c:yVal>
            <c:numRef>
              <c:f>Fib_2!$A$12:$A$16</c:f>
              <c:numCache>
                <c:formatCode>0.000</c:formatCode>
                <c:ptCount val="5"/>
                <c:pt idx="0">
                  <c:v>-0.30299999999999999</c:v>
                </c:pt>
                <c:pt idx="1">
                  <c:v>-0.67500000000000004</c:v>
                </c:pt>
                <c:pt idx="2">
                  <c:v>-1.159</c:v>
                </c:pt>
                <c:pt idx="3">
                  <c:v>-2.0539999999999998</c:v>
                </c:pt>
                <c:pt idx="4">
                  <c:v>-2.78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8-46D6-A4E8-4607A2D0DF8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Fib_2!$D$16:$D$23</c:f>
              <c:numCache>
                <c:formatCode>0.0000</c:formatCode>
                <c:ptCount val="8"/>
                <c:pt idx="0">
                  <c:v>0.8929999999999999</c:v>
                </c:pt>
                <c:pt idx="1">
                  <c:v>0.82900000000000007</c:v>
                </c:pt>
                <c:pt idx="2">
                  <c:v>0.80700000000000005</c:v>
                </c:pt>
                <c:pt idx="3">
                  <c:v>0.79300000000000004</c:v>
                </c:pt>
                <c:pt idx="4">
                  <c:v>0.7679999999999999</c:v>
                </c:pt>
                <c:pt idx="5">
                  <c:v>0.73999999999999988</c:v>
                </c:pt>
                <c:pt idx="6">
                  <c:v>0.67600000000000005</c:v>
                </c:pt>
              </c:numCache>
            </c:numRef>
          </c:xVal>
          <c:yVal>
            <c:numRef>
              <c:f>Fib_2!$A$16:$A$23</c:f>
              <c:numCache>
                <c:formatCode>0.000</c:formatCode>
                <c:ptCount val="8"/>
                <c:pt idx="0">
                  <c:v>-2.78</c:v>
                </c:pt>
                <c:pt idx="1">
                  <c:v>-3.55</c:v>
                </c:pt>
                <c:pt idx="2">
                  <c:v>-3.78</c:v>
                </c:pt>
                <c:pt idx="3">
                  <c:v>-3.87</c:v>
                </c:pt>
                <c:pt idx="4">
                  <c:v>-4.13</c:v>
                </c:pt>
                <c:pt idx="5">
                  <c:v>-4.43</c:v>
                </c:pt>
                <c:pt idx="6">
                  <c:v>-4.9400000000000004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8-46D6-A4E8-4607A2D0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3247"/>
        <c:axId val="1"/>
      </c:scatterChart>
      <c:valAx>
        <c:axId val="131853247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4045949737"/>
              <c:y val="3.3950583763236494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5954769356"/>
              <c:y val="0.30864275047515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532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625362618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Fib_3!$G$12:$G$24</c:f>
              <c:numCache>
                <c:formatCode>0.00</c:formatCode>
                <c:ptCount val="13"/>
                <c:pt idx="0">
                  <c:v>-2.7654888444743619E-3</c:v>
                </c:pt>
                <c:pt idx="1">
                  <c:v>0.19784186419232697</c:v>
                </c:pt>
                <c:pt idx="2">
                  <c:v>0.29814554071073474</c:v>
                </c:pt>
                <c:pt idx="3">
                  <c:v>1.2008786293763194</c:v>
                </c:pt>
                <c:pt idx="4">
                  <c:v>1.9030043650051311</c:v>
                </c:pt>
                <c:pt idx="5">
                  <c:v>2.6051301006339287</c:v>
                </c:pt>
                <c:pt idx="6">
                  <c:v>3.1066484832259249</c:v>
                </c:pt>
                <c:pt idx="7">
                  <c:v>3.6081668658179211</c:v>
                </c:pt>
                <c:pt idx="8">
                  <c:v>4.1096852484099173</c:v>
                </c:pt>
                <c:pt idx="9">
                  <c:v>4.6112036310019135</c:v>
                </c:pt>
                <c:pt idx="10">
                  <c:v>5.8148477492227073</c:v>
                </c:pt>
                <c:pt idx="11">
                  <c:v>6.1157587787779306</c:v>
                </c:pt>
                <c:pt idx="12">
                  <c:v>7.720617603072327</c:v>
                </c:pt>
              </c:numCache>
            </c:numRef>
          </c:xVal>
          <c:yVal>
            <c:numRef>
              <c:f>Fib_3!$B$12:$B$24</c:f>
              <c:numCache>
                <c:formatCode>0.0000</c:formatCode>
                <c:ptCount val="13"/>
                <c:pt idx="0">
                  <c:v>11.494252873563219</c:v>
                </c:pt>
                <c:pt idx="1">
                  <c:v>7.5757575757575752</c:v>
                </c:pt>
                <c:pt idx="2">
                  <c:v>5.9523809523809517</c:v>
                </c:pt>
                <c:pt idx="3">
                  <c:v>3.3444816053511706</c:v>
                </c:pt>
                <c:pt idx="4">
                  <c:v>1.824817518248175</c:v>
                </c:pt>
                <c:pt idx="5">
                  <c:v>1.1709601873536299</c:v>
                </c:pt>
                <c:pt idx="6">
                  <c:v>0.86655112651646449</c:v>
                </c:pt>
                <c:pt idx="7">
                  <c:v>0.65659881812212739</c:v>
                </c:pt>
                <c:pt idx="8">
                  <c:v>0.60496067755595884</c:v>
                </c:pt>
                <c:pt idx="9">
                  <c:v>0.51759834368530022</c:v>
                </c:pt>
                <c:pt idx="10">
                  <c:v>0.44782803403493054</c:v>
                </c:pt>
                <c:pt idx="11">
                  <c:v>0.42900042900042901</c:v>
                </c:pt>
                <c:pt idx="12">
                  <c:v>0.36101083032490977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B-40A9-BD9D-6E827092ACE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Fib_3!$G$24:$G$29</c:f>
              <c:numCache>
                <c:formatCode>0.00</c:formatCode>
                <c:ptCount val="6"/>
                <c:pt idx="0">
                  <c:v>7.720617603072327</c:v>
                </c:pt>
                <c:pt idx="1">
                  <c:v>8.8239580447746988</c:v>
                </c:pt>
                <c:pt idx="2">
                  <c:v>9.1248690743299079</c:v>
                </c:pt>
                <c:pt idx="3">
                  <c:v>10.629424222105897</c:v>
                </c:pt>
                <c:pt idx="4">
                  <c:v>11.331549957734708</c:v>
                </c:pt>
              </c:numCache>
            </c:numRef>
          </c:xVal>
          <c:yVal>
            <c:numRef>
              <c:f>Fib_3!$B$24:$B$29</c:f>
              <c:numCache>
                <c:formatCode>0.0000</c:formatCode>
                <c:ptCount val="6"/>
                <c:pt idx="0">
                  <c:v>0.36101083032490977</c:v>
                </c:pt>
                <c:pt idx="1">
                  <c:v>0.34602076124567471</c:v>
                </c:pt>
                <c:pt idx="2">
                  <c:v>0.34482758620689657</c:v>
                </c:pt>
                <c:pt idx="3">
                  <c:v>0.3236245954692557</c:v>
                </c:pt>
                <c:pt idx="4">
                  <c:v>0.31347962382445144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1B-40A9-BD9D-6E827092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1583"/>
        <c:axId val="1"/>
      </c:scatterChart>
      <c:valAx>
        <c:axId val="131851583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3692498964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15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Fib_3!$D$12:$D$24</c:f>
              <c:numCache>
                <c:formatCode>0.0000</c:formatCode>
                <c:ptCount val="13"/>
                <c:pt idx="0">
                  <c:v>0.99700000000000011</c:v>
                </c:pt>
                <c:pt idx="1">
                  <c:v>0.99500000000000011</c:v>
                </c:pt>
                <c:pt idx="2">
                  <c:v>0.99399999999999999</c:v>
                </c:pt>
                <c:pt idx="3">
                  <c:v>0.9850000000000001</c:v>
                </c:pt>
                <c:pt idx="4">
                  <c:v>0.97799999999999998</c:v>
                </c:pt>
                <c:pt idx="5">
                  <c:v>0.97100000000000009</c:v>
                </c:pt>
                <c:pt idx="6">
                  <c:v>0.96599999999999997</c:v>
                </c:pt>
                <c:pt idx="7">
                  <c:v>0.96100000000000008</c:v>
                </c:pt>
                <c:pt idx="8">
                  <c:v>0.95599999999999996</c:v>
                </c:pt>
                <c:pt idx="9">
                  <c:v>0.95100000000000007</c:v>
                </c:pt>
                <c:pt idx="10">
                  <c:v>0.93900000000000006</c:v>
                </c:pt>
                <c:pt idx="11">
                  <c:v>0.93599999999999994</c:v>
                </c:pt>
                <c:pt idx="12">
                  <c:v>0.91999999999999993</c:v>
                </c:pt>
              </c:numCache>
            </c:numRef>
          </c:xVal>
          <c:yVal>
            <c:numRef>
              <c:f>Fib_3!$A$12:$A$24</c:f>
              <c:numCache>
                <c:formatCode>0.000</c:formatCode>
                <c:ptCount val="13"/>
                <c:pt idx="0">
                  <c:v>-8.6999999999999994E-2</c:v>
                </c:pt>
                <c:pt idx="1">
                  <c:v>-0.13200000000000001</c:v>
                </c:pt>
                <c:pt idx="2">
                  <c:v>-0.16800000000000001</c:v>
                </c:pt>
                <c:pt idx="3">
                  <c:v>-0.29899999999999999</c:v>
                </c:pt>
                <c:pt idx="4">
                  <c:v>-0.54800000000000004</c:v>
                </c:pt>
                <c:pt idx="5">
                  <c:v>-0.85399999999999998</c:v>
                </c:pt>
                <c:pt idx="6">
                  <c:v>-1.1539999999999999</c:v>
                </c:pt>
                <c:pt idx="7">
                  <c:v>-1.5229999999999999</c:v>
                </c:pt>
                <c:pt idx="8">
                  <c:v>-1.653</c:v>
                </c:pt>
                <c:pt idx="9">
                  <c:v>-1.9319999999999999</c:v>
                </c:pt>
                <c:pt idx="10">
                  <c:v>-2.2330000000000001</c:v>
                </c:pt>
                <c:pt idx="11">
                  <c:v>-2.331</c:v>
                </c:pt>
                <c:pt idx="12">
                  <c:v>-2.77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C-4203-B44D-C854D605FE00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Fib_3!$D$24:$D$29</c:f>
              <c:numCache>
                <c:formatCode>0.0000</c:formatCode>
                <c:ptCount val="6"/>
                <c:pt idx="0">
                  <c:v>0.91999999999999993</c:v>
                </c:pt>
                <c:pt idx="1">
                  <c:v>0.90900000000000003</c:v>
                </c:pt>
                <c:pt idx="2">
                  <c:v>0.90599999999999992</c:v>
                </c:pt>
                <c:pt idx="3">
                  <c:v>0.89100000000000001</c:v>
                </c:pt>
                <c:pt idx="4">
                  <c:v>0.8839999999999999</c:v>
                </c:pt>
              </c:numCache>
            </c:numRef>
          </c:xVal>
          <c:yVal>
            <c:numRef>
              <c:f>Fib_3!$A$24:$A$29</c:f>
              <c:numCache>
                <c:formatCode>0.000</c:formatCode>
                <c:ptCount val="6"/>
                <c:pt idx="0">
                  <c:v>-2.77</c:v>
                </c:pt>
                <c:pt idx="1">
                  <c:v>-2.89</c:v>
                </c:pt>
                <c:pt idx="2">
                  <c:v>-2.9</c:v>
                </c:pt>
                <c:pt idx="3">
                  <c:v>-3.09</c:v>
                </c:pt>
                <c:pt idx="4">
                  <c:v>-3.19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0C-4203-B44D-C854D605F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3263"/>
        <c:axId val="1"/>
      </c:scatterChart>
      <c:valAx>
        <c:axId val="131843263"/>
        <c:scaling>
          <c:orientation val="minMax"/>
          <c:min val="0.85000000000000009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6425333196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69666291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326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852565843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36856521980947"/>
          <c:y val="0.132202282453928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Fib_9!$G$9:$G$26</c:f>
              <c:numCache>
                <c:formatCode>0.00</c:formatCode>
                <c:ptCount val="18"/>
                <c:pt idx="0">
                  <c:v>-0.50399374378349648</c:v>
                </c:pt>
                <c:pt idx="1">
                  <c:v>-0.21820039664474677</c:v>
                </c:pt>
                <c:pt idx="2">
                  <c:v>-0.21820039664474677</c:v>
                </c:pt>
                <c:pt idx="3">
                  <c:v>0.16285739954020073</c:v>
                </c:pt>
                <c:pt idx="4">
                  <c:v>0.44865074667895044</c:v>
                </c:pt>
                <c:pt idx="5">
                  <c:v>0.73444409381767173</c:v>
                </c:pt>
                <c:pt idx="6">
                  <c:v>1.3060307880950859</c:v>
                </c:pt>
                <c:pt idx="7">
                  <c:v>1.8776174823725569</c:v>
                </c:pt>
                <c:pt idx="8">
                  <c:v>2.449204176649971</c:v>
                </c:pt>
                <c:pt idx="9">
                  <c:v>3.2113197690199087</c:v>
                </c:pt>
                <c:pt idx="10">
                  <c:v>4.3544931575747938</c:v>
                </c:pt>
                <c:pt idx="11">
                  <c:v>6.1645176894533478</c:v>
                </c:pt>
                <c:pt idx="12">
                  <c:v>7.59348442514694</c:v>
                </c:pt>
                <c:pt idx="13">
                  <c:v>13.499880266013847</c:v>
                </c:pt>
                <c:pt idx="14">
                  <c:v>16.738871533586021</c:v>
                </c:pt>
                <c:pt idx="15">
                  <c:v>18.072573820233387</c:v>
                </c:pt>
                <c:pt idx="16">
                  <c:v>21.502093985898043</c:v>
                </c:pt>
                <c:pt idx="17">
                  <c:v>23.312118517776597</c:v>
                </c:pt>
              </c:numCache>
            </c:numRef>
          </c:xVal>
          <c:yVal>
            <c:numRef>
              <c:f>Fib_9!$B$9:$B$26</c:f>
              <c:numCache>
                <c:formatCode>0.0000</c:formatCode>
                <c:ptCount val="18"/>
                <c:pt idx="0">
                  <c:v>38.46153846153846</c:v>
                </c:pt>
                <c:pt idx="1">
                  <c:v>14.705882352941176</c:v>
                </c:pt>
                <c:pt idx="2">
                  <c:v>9.0909090909090917</c:v>
                </c:pt>
                <c:pt idx="3">
                  <c:v>5.8139534883720936</c:v>
                </c:pt>
                <c:pt idx="4">
                  <c:v>4.5662100456621006</c:v>
                </c:pt>
                <c:pt idx="5">
                  <c:v>3.215434083601286</c:v>
                </c:pt>
                <c:pt idx="6">
                  <c:v>3.0959752321981422</c:v>
                </c:pt>
                <c:pt idx="7">
                  <c:v>2.6737967914438503</c:v>
                </c:pt>
                <c:pt idx="8">
                  <c:v>2.4096385542168677</c:v>
                </c:pt>
                <c:pt idx="9">
                  <c:v>1.9920318725099602</c:v>
                </c:pt>
                <c:pt idx="10">
                  <c:v>0.99601593625498008</c:v>
                </c:pt>
                <c:pt idx="11">
                  <c:v>0.54347826086956519</c:v>
                </c:pt>
                <c:pt idx="12">
                  <c:v>0.41322314049586778</c:v>
                </c:pt>
                <c:pt idx="13">
                  <c:v>0.32154340836012862</c:v>
                </c:pt>
                <c:pt idx="14">
                  <c:v>0.29940119760479045</c:v>
                </c:pt>
                <c:pt idx="15">
                  <c:v>0.29940119760479045</c:v>
                </c:pt>
                <c:pt idx="16">
                  <c:v>0.28328611898016998</c:v>
                </c:pt>
                <c:pt idx="17">
                  <c:v>0.27932960893854747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6-459A-9086-F7D7A619AE2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7.5159007301821887E-2"/>
                  <c:y val="-0.17801164284455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Fib_9!$G$21:$G$26</c:f>
              <c:numCache>
                <c:formatCode>0.00</c:formatCode>
                <c:ptCount val="6"/>
                <c:pt idx="0">
                  <c:v>7.59348442514694</c:v>
                </c:pt>
                <c:pt idx="1">
                  <c:v>13.499880266013847</c:v>
                </c:pt>
                <c:pt idx="2">
                  <c:v>16.738871533586021</c:v>
                </c:pt>
                <c:pt idx="3">
                  <c:v>18.072573820233387</c:v>
                </c:pt>
                <c:pt idx="4">
                  <c:v>21.502093985898043</c:v>
                </c:pt>
                <c:pt idx="5">
                  <c:v>23.312118517776597</c:v>
                </c:pt>
              </c:numCache>
            </c:numRef>
          </c:xVal>
          <c:yVal>
            <c:numRef>
              <c:f>Fib_9!$B$21:$B$26</c:f>
              <c:numCache>
                <c:formatCode>0.0000</c:formatCode>
                <c:ptCount val="6"/>
                <c:pt idx="0">
                  <c:v>0.41322314049586778</c:v>
                </c:pt>
                <c:pt idx="1">
                  <c:v>0.32154340836012862</c:v>
                </c:pt>
                <c:pt idx="2">
                  <c:v>0.29940119760479045</c:v>
                </c:pt>
                <c:pt idx="3">
                  <c:v>0.29940119760479045</c:v>
                </c:pt>
                <c:pt idx="4">
                  <c:v>0.28328611898016998</c:v>
                </c:pt>
                <c:pt idx="5">
                  <c:v>0.27932960893854747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46-459A-9086-F7D7A619A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5743"/>
        <c:axId val="1"/>
      </c:scatterChart>
      <c:valAx>
        <c:axId val="131855743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8954656529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0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574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0.11319345703941787"/>
                  <c:y val="0.14444704089408178"/>
                </c:manualLayout>
              </c:layout>
              <c:numFmt formatCode="General" sourceLinked="0"/>
            </c:trendlineLbl>
          </c:trendline>
          <c:xVal>
            <c:numRef>
              <c:f>Fib_9!$D$9:$D$21</c:f>
              <c:numCache>
                <c:formatCode>0.0000</c:formatCode>
                <c:ptCount val="13"/>
                <c:pt idx="0">
                  <c:v>1.0550000000000002</c:v>
                </c:pt>
                <c:pt idx="1">
                  <c:v>1.052</c:v>
                </c:pt>
                <c:pt idx="2">
                  <c:v>1.052</c:v>
                </c:pt>
                <c:pt idx="3">
                  <c:v>1.048</c:v>
                </c:pt>
                <c:pt idx="4">
                  <c:v>1.0449999999999999</c:v>
                </c:pt>
                <c:pt idx="5">
                  <c:v>1.0419999999999998</c:v>
                </c:pt>
                <c:pt idx="6">
                  <c:v>1.036</c:v>
                </c:pt>
                <c:pt idx="7">
                  <c:v>1.0299999999999998</c:v>
                </c:pt>
                <c:pt idx="8">
                  <c:v>1.024</c:v>
                </c:pt>
                <c:pt idx="9">
                  <c:v>1.016</c:v>
                </c:pt>
                <c:pt idx="10">
                  <c:v>1.004</c:v>
                </c:pt>
                <c:pt idx="11">
                  <c:v>0.98499999999999999</c:v>
                </c:pt>
                <c:pt idx="12">
                  <c:v>0.97000000000000008</c:v>
                </c:pt>
              </c:numCache>
            </c:numRef>
          </c:xVal>
          <c:yVal>
            <c:numRef>
              <c:f>Fib_9!$A$9:$A$21</c:f>
              <c:numCache>
                <c:formatCode>0.000</c:formatCode>
                <c:ptCount val="13"/>
                <c:pt idx="0">
                  <c:v>-2.5999999999999999E-2</c:v>
                </c:pt>
                <c:pt idx="1">
                  <c:v>-6.8000000000000005E-2</c:v>
                </c:pt>
                <c:pt idx="2">
                  <c:v>-0.11</c:v>
                </c:pt>
                <c:pt idx="3">
                  <c:v>-0.17199999999999999</c:v>
                </c:pt>
                <c:pt idx="4">
                  <c:v>-0.219</c:v>
                </c:pt>
                <c:pt idx="5">
                  <c:v>-0.311</c:v>
                </c:pt>
                <c:pt idx="6">
                  <c:v>-0.32300000000000001</c:v>
                </c:pt>
                <c:pt idx="7">
                  <c:v>-0.374</c:v>
                </c:pt>
                <c:pt idx="8">
                  <c:v>-0.41499999999999998</c:v>
                </c:pt>
                <c:pt idx="9">
                  <c:v>-0.502</c:v>
                </c:pt>
                <c:pt idx="10">
                  <c:v>-1.004</c:v>
                </c:pt>
                <c:pt idx="11">
                  <c:v>-1.84</c:v>
                </c:pt>
                <c:pt idx="12">
                  <c:v>-2.42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65-4337-9A77-D5B43B7F64F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8.4457720478415155E-2"/>
                  <c:y val="-1.4419439505545757E-2"/>
                </c:manualLayout>
              </c:layout>
              <c:numFmt formatCode="General" sourceLinked="0"/>
            </c:trendlineLbl>
          </c:trendline>
          <c:xVal>
            <c:numRef>
              <c:f>Fib_9!$D$21:$D$26</c:f>
              <c:numCache>
                <c:formatCode>0.0000</c:formatCode>
                <c:ptCount val="6"/>
                <c:pt idx="0">
                  <c:v>0.97000000000000008</c:v>
                </c:pt>
                <c:pt idx="1">
                  <c:v>0.90800000000000003</c:v>
                </c:pt>
                <c:pt idx="2">
                  <c:v>0.874</c:v>
                </c:pt>
                <c:pt idx="3">
                  <c:v>0.86</c:v>
                </c:pt>
                <c:pt idx="4">
                  <c:v>0.82399999999999995</c:v>
                </c:pt>
                <c:pt idx="5">
                  <c:v>0.80500000000000005</c:v>
                </c:pt>
              </c:numCache>
            </c:numRef>
          </c:xVal>
          <c:yVal>
            <c:numRef>
              <c:f>Fib_9!$A$21:$A$26</c:f>
              <c:numCache>
                <c:formatCode>0.000</c:formatCode>
                <c:ptCount val="6"/>
                <c:pt idx="0">
                  <c:v>-2.42</c:v>
                </c:pt>
                <c:pt idx="1">
                  <c:v>-3.11</c:v>
                </c:pt>
                <c:pt idx="2">
                  <c:v>-3.34</c:v>
                </c:pt>
                <c:pt idx="3">
                  <c:v>-3.34</c:v>
                </c:pt>
                <c:pt idx="4">
                  <c:v>-3.53</c:v>
                </c:pt>
                <c:pt idx="5">
                  <c:v>-3.58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65-4337-9A77-D5B43B7F6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8255"/>
        <c:axId val="1"/>
      </c:scatterChart>
      <c:valAx>
        <c:axId val="131848255"/>
        <c:scaling>
          <c:orientation val="minMax"/>
          <c:min val="0.70000000000000007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723901447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79061891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825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852565843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36856521980947"/>
          <c:y val="0.132202282453928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Fib_5!$G$9:$G$25</c:f>
              <c:numCache>
                <c:formatCode>0.00</c:formatCode>
                <c:ptCount val="17"/>
                <c:pt idx="0">
                  <c:v>-1.7294668903481636</c:v>
                </c:pt>
                <c:pt idx="1">
                  <c:v>-1.6005322048090846</c:v>
                </c:pt>
                <c:pt idx="2">
                  <c:v>-1.6005322048090846</c:v>
                </c:pt>
                <c:pt idx="3">
                  <c:v>-0.95585877711357625</c:v>
                </c:pt>
                <c:pt idx="4">
                  <c:v>-0.44012003495718943</c:v>
                </c:pt>
                <c:pt idx="5">
                  <c:v>0.20455339273829054</c:v>
                </c:pt>
                <c:pt idx="6">
                  <c:v>0.97816150597287788</c:v>
                </c:pt>
                <c:pt idx="7">
                  <c:v>2.1385736758247731</c:v>
                </c:pt>
                <c:pt idx="8">
                  <c:v>4.4593980155285351</c:v>
                </c:pt>
                <c:pt idx="9">
                  <c:v>6.9091570407713903</c:v>
                </c:pt>
                <c:pt idx="10">
                  <c:v>9.2299813804751523</c:v>
                </c:pt>
                <c:pt idx="11">
                  <c:v>10.519328235866126</c:v>
                </c:pt>
                <c:pt idx="12">
                  <c:v>11.679740405717993</c:v>
                </c:pt>
                <c:pt idx="13">
                  <c:v>13.355891317726275</c:v>
                </c:pt>
                <c:pt idx="14">
                  <c:v>15.80565034296913</c:v>
                </c:pt>
                <c:pt idx="15">
                  <c:v>19.286886852524788</c:v>
                </c:pt>
                <c:pt idx="16">
                  <c:v>25.733621129479658</c:v>
                </c:pt>
              </c:numCache>
            </c:numRef>
          </c:xVal>
          <c:yVal>
            <c:numRef>
              <c:f>Fib_5!$B$9:$B$25</c:f>
              <c:numCache>
                <c:formatCode>0.0000</c:formatCode>
                <c:ptCount val="17"/>
                <c:pt idx="0">
                  <c:v>8.2644628099173563</c:v>
                </c:pt>
                <c:pt idx="1">
                  <c:v>15.384615384615383</c:v>
                </c:pt>
                <c:pt idx="2">
                  <c:v>15.625</c:v>
                </c:pt>
                <c:pt idx="3">
                  <c:v>11.363636363636365</c:v>
                </c:pt>
                <c:pt idx="4">
                  <c:v>8.2644628099173563</c:v>
                </c:pt>
                <c:pt idx="5">
                  <c:v>5.9523809523809517</c:v>
                </c:pt>
                <c:pt idx="6">
                  <c:v>3.6496350364963499</c:v>
                </c:pt>
                <c:pt idx="7">
                  <c:v>1.7211703958691911</c:v>
                </c:pt>
                <c:pt idx="8">
                  <c:v>0.75585789871504161</c:v>
                </c:pt>
                <c:pt idx="9">
                  <c:v>0.42735042735042739</c:v>
                </c:pt>
                <c:pt idx="10">
                  <c:v>0.33670033670033667</c:v>
                </c:pt>
                <c:pt idx="11">
                  <c:v>0.31210986267166041</c:v>
                </c:pt>
                <c:pt idx="12">
                  <c:v>0.30293850348379275</c:v>
                </c:pt>
                <c:pt idx="13">
                  <c:v>0.29069767441860467</c:v>
                </c:pt>
                <c:pt idx="14">
                  <c:v>0.27548209366391185</c:v>
                </c:pt>
                <c:pt idx="15">
                  <c:v>0.2590673575129534</c:v>
                </c:pt>
                <c:pt idx="16">
                  <c:v>0.22883295194508008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F-44B1-98B1-81CA582DD4A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7.5159007301821887E-2"/>
                  <c:y val="-0.17801164284455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Fib_5!$G$20:$G$25</c:f>
              <c:numCache>
                <c:formatCode>0.00</c:formatCode>
                <c:ptCount val="6"/>
                <c:pt idx="0">
                  <c:v>10.519328235866126</c:v>
                </c:pt>
                <c:pt idx="1">
                  <c:v>11.679740405717993</c:v>
                </c:pt>
                <c:pt idx="2">
                  <c:v>13.355891317726275</c:v>
                </c:pt>
                <c:pt idx="3">
                  <c:v>15.80565034296913</c:v>
                </c:pt>
                <c:pt idx="4">
                  <c:v>19.286886852524788</c:v>
                </c:pt>
                <c:pt idx="5">
                  <c:v>25.733621129479658</c:v>
                </c:pt>
              </c:numCache>
            </c:numRef>
          </c:xVal>
          <c:yVal>
            <c:numRef>
              <c:f>Fib_5!$B$20:$B$25</c:f>
              <c:numCache>
                <c:formatCode>0.0000</c:formatCode>
                <c:ptCount val="6"/>
                <c:pt idx="0">
                  <c:v>0.31210986267166041</c:v>
                </c:pt>
                <c:pt idx="1">
                  <c:v>0.30293850348379275</c:v>
                </c:pt>
                <c:pt idx="2">
                  <c:v>0.29069767441860467</c:v>
                </c:pt>
                <c:pt idx="3">
                  <c:v>0.27548209366391185</c:v>
                </c:pt>
                <c:pt idx="4">
                  <c:v>0.2590673575129534</c:v>
                </c:pt>
                <c:pt idx="5">
                  <c:v>0.22883295194508008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F-44B1-98B1-81CA582DD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5743"/>
        <c:axId val="1"/>
      </c:scatterChart>
      <c:valAx>
        <c:axId val="131855743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8954656529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574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0.11319345703941787"/>
                  <c:y val="0.14444704089408178"/>
                </c:manualLayout>
              </c:layout>
              <c:numFmt formatCode="General" sourceLinked="0"/>
            </c:trendlineLbl>
          </c:trendline>
          <c:xVal>
            <c:numRef>
              <c:f>Fib_5!$D$14:$D$20</c:f>
              <c:numCache>
                <c:formatCode>0.0000</c:formatCode>
                <c:ptCount val="7"/>
                <c:pt idx="0">
                  <c:v>0.77400000000000002</c:v>
                </c:pt>
                <c:pt idx="1">
                  <c:v>0.76800000000000002</c:v>
                </c:pt>
                <c:pt idx="2">
                  <c:v>0.7589999999999999</c:v>
                </c:pt>
                <c:pt idx="3">
                  <c:v>0.74099999999999988</c:v>
                </c:pt>
                <c:pt idx="4">
                  <c:v>0.72199999999999998</c:v>
                </c:pt>
                <c:pt idx="5">
                  <c:v>0.70399999999999996</c:v>
                </c:pt>
                <c:pt idx="6">
                  <c:v>0.69399999999999995</c:v>
                </c:pt>
              </c:numCache>
            </c:numRef>
          </c:xVal>
          <c:yVal>
            <c:numRef>
              <c:f>Fib_5!$A$14:$A$20</c:f>
              <c:numCache>
                <c:formatCode>General</c:formatCode>
                <c:ptCount val="7"/>
                <c:pt idx="0">
                  <c:v>-0.16800000000000001</c:v>
                </c:pt>
                <c:pt idx="1">
                  <c:v>-0.27400000000000002</c:v>
                </c:pt>
                <c:pt idx="2">
                  <c:v>-0.58099999999999996</c:v>
                </c:pt>
                <c:pt idx="3">
                  <c:v>-1.323</c:v>
                </c:pt>
                <c:pt idx="4">
                  <c:v>-2.34</c:v>
                </c:pt>
                <c:pt idx="5">
                  <c:v>-2.97</c:v>
                </c:pt>
                <c:pt idx="6">
                  <c:v>-3.2040000000000002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2C-4BBA-A50B-A5354035FD0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8.4457720478415155E-2"/>
                  <c:y val="-1.4419439505545757E-2"/>
                </c:manualLayout>
              </c:layout>
              <c:numFmt formatCode="General" sourceLinked="0"/>
            </c:trendlineLbl>
          </c:trendline>
          <c:xVal>
            <c:numRef>
              <c:f>Fib_5!$D$20:$D$25</c:f>
              <c:numCache>
                <c:formatCode>0.0000</c:formatCode>
                <c:ptCount val="6"/>
                <c:pt idx="0">
                  <c:v>0.69399999999999995</c:v>
                </c:pt>
                <c:pt idx="1">
                  <c:v>0.68500000000000005</c:v>
                </c:pt>
                <c:pt idx="2">
                  <c:v>0.67199999999999993</c:v>
                </c:pt>
                <c:pt idx="3">
                  <c:v>0.65300000000000002</c:v>
                </c:pt>
                <c:pt idx="4">
                  <c:v>0.62599999999999989</c:v>
                </c:pt>
                <c:pt idx="5">
                  <c:v>0.57600000000000007</c:v>
                </c:pt>
              </c:numCache>
            </c:numRef>
          </c:xVal>
          <c:yVal>
            <c:numRef>
              <c:f>Fib_5!$A$20:$A$25</c:f>
              <c:numCache>
                <c:formatCode>General</c:formatCode>
                <c:ptCount val="6"/>
                <c:pt idx="0">
                  <c:v>-3.2040000000000002</c:v>
                </c:pt>
                <c:pt idx="1">
                  <c:v>-3.3010000000000002</c:v>
                </c:pt>
                <c:pt idx="2">
                  <c:v>-3.44</c:v>
                </c:pt>
                <c:pt idx="3">
                  <c:v>-3.63</c:v>
                </c:pt>
                <c:pt idx="4">
                  <c:v>-3.86</c:v>
                </c:pt>
                <c:pt idx="5">
                  <c:v>-4.37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2C-4BBA-A50B-A5354035F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8255"/>
        <c:axId val="1"/>
      </c:scatterChart>
      <c:valAx>
        <c:axId val="131848255"/>
        <c:scaling>
          <c:orientation val="minMax"/>
          <c:max val="0.8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723901447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"/>
          <c:min val="-5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79061891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825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852565843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36856521980947"/>
          <c:y val="0.132202282453928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Fib_6!$G$9:$G$27</c:f>
              <c:numCache>
                <c:formatCode>0.00</c:formatCode>
                <c:ptCount val="19"/>
                <c:pt idx="0">
                  <c:v>-5.9101187079519946E-2</c:v>
                </c:pt>
                <c:pt idx="1">
                  <c:v>0.2223590131654305</c:v>
                </c:pt>
                <c:pt idx="2">
                  <c:v>0.50381921341036673</c:v>
                </c:pt>
                <c:pt idx="3">
                  <c:v>0.64454931353283484</c:v>
                </c:pt>
                <c:pt idx="4">
                  <c:v>0.92600951377778529</c:v>
                </c:pt>
                <c:pt idx="5">
                  <c:v>1.0667396139002818</c:v>
                </c:pt>
                <c:pt idx="6">
                  <c:v>1.3481998141452181</c:v>
                </c:pt>
                <c:pt idx="7">
                  <c:v>2.0518503147575871</c:v>
                </c:pt>
                <c:pt idx="8">
                  <c:v>2.6147707152474879</c:v>
                </c:pt>
                <c:pt idx="9">
                  <c:v>3.5998814161048216</c:v>
                </c:pt>
                <c:pt idx="10">
                  <c:v>4.8664523172070773</c:v>
                </c:pt>
                <c:pt idx="11">
                  <c:v>5.8515630180644251</c:v>
                </c:pt>
                <c:pt idx="12">
                  <c:v>6.6959436187992338</c:v>
                </c:pt>
                <c:pt idx="13">
                  <c:v>7.8217844197790498</c:v>
                </c:pt>
                <c:pt idx="14">
                  <c:v>8.6661650205138869</c:v>
                </c:pt>
                <c:pt idx="15">
                  <c:v>9.932735921616171</c:v>
                </c:pt>
                <c:pt idx="16">
                  <c:v>11.762227223208328</c:v>
                </c:pt>
                <c:pt idx="17">
                  <c:v>14.436099125535378</c:v>
                </c:pt>
                <c:pt idx="18">
                  <c:v>16.969240927739918</c:v>
                </c:pt>
              </c:numCache>
            </c:numRef>
          </c:xVal>
          <c:yVal>
            <c:numRef>
              <c:f>Fib_6!$B$9:$B$27</c:f>
              <c:numCache>
                <c:formatCode>0.0000</c:formatCode>
                <c:ptCount val="19"/>
                <c:pt idx="0">
                  <c:v>11.235955056179776</c:v>
                </c:pt>
                <c:pt idx="1">
                  <c:v>12.195121951219512</c:v>
                </c:pt>
                <c:pt idx="2">
                  <c:v>5.7142857142857144</c:v>
                </c:pt>
                <c:pt idx="3">
                  <c:v>6.369426751592357</c:v>
                </c:pt>
                <c:pt idx="4">
                  <c:v>4</c:v>
                </c:pt>
                <c:pt idx="5">
                  <c:v>3.4602076124567476</c:v>
                </c:pt>
                <c:pt idx="6">
                  <c:v>2.1786492374727668</c:v>
                </c:pt>
                <c:pt idx="7">
                  <c:v>1.392757660167131</c:v>
                </c:pt>
                <c:pt idx="8">
                  <c:v>1.1764705882352942</c:v>
                </c:pt>
                <c:pt idx="9">
                  <c:v>0.77399380804953555</c:v>
                </c:pt>
                <c:pt idx="10">
                  <c:v>0.56497175141242939</c:v>
                </c:pt>
                <c:pt idx="11">
                  <c:v>0.46082949308755761</c:v>
                </c:pt>
                <c:pt idx="12">
                  <c:v>0.41152263374485593</c:v>
                </c:pt>
                <c:pt idx="13">
                  <c:v>0.36630036630036628</c:v>
                </c:pt>
                <c:pt idx="14">
                  <c:v>0.3436426116838488</c:v>
                </c:pt>
                <c:pt idx="15">
                  <c:v>0.3236245954692557</c:v>
                </c:pt>
                <c:pt idx="16">
                  <c:v>0.30864197530864196</c:v>
                </c:pt>
                <c:pt idx="17">
                  <c:v>0.29411764705882354</c:v>
                </c:pt>
                <c:pt idx="18">
                  <c:v>0.2808988764044944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D7-4DC5-8249-6AEFD68381E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7.5159007301821887E-2"/>
                  <c:y val="-0.17801164284455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Fib_6!$G$24:$G$28</c:f>
              <c:numCache>
                <c:formatCode>0.00</c:formatCode>
                <c:ptCount val="5"/>
                <c:pt idx="0">
                  <c:v>9.932735921616171</c:v>
                </c:pt>
                <c:pt idx="1">
                  <c:v>11.762227223208328</c:v>
                </c:pt>
                <c:pt idx="2">
                  <c:v>14.436099125535378</c:v>
                </c:pt>
                <c:pt idx="3">
                  <c:v>16.969240927739918</c:v>
                </c:pt>
                <c:pt idx="4">
                  <c:v>18.376541928964656</c:v>
                </c:pt>
              </c:numCache>
            </c:numRef>
          </c:xVal>
          <c:yVal>
            <c:numRef>
              <c:f>Fib_6!$B$24:$B$28</c:f>
              <c:numCache>
                <c:formatCode>0.0000</c:formatCode>
                <c:ptCount val="5"/>
                <c:pt idx="0">
                  <c:v>0.3236245954692557</c:v>
                </c:pt>
                <c:pt idx="1">
                  <c:v>0.30864197530864196</c:v>
                </c:pt>
                <c:pt idx="2">
                  <c:v>0.29411764705882354</c:v>
                </c:pt>
                <c:pt idx="3">
                  <c:v>0.2808988764044944</c:v>
                </c:pt>
                <c:pt idx="4">
                  <c:v>0.27397260273972601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D7-4DC5-8249-6AEFD6838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5743"/>
        <c:axId val="1"/>
      </c:scatterChart>
      <c:valAx>
        <c:axId val="131855743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8954656529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  <c:min val="0.2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574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tx>
            <c:strRef>
              <c:f>Fib_6!$O$42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0.11319345703941787"/>
                  <c:y val="0.14444704089408178"/>
                </c:manualLayout>
              </c:layout>
              <c:numFmt formatCode="General" sourceLinked="0"/>
            </c:trendlineLbl>
          </c:trendline>
          <c:xVal>
            <c:numRef>
              <c:f>Fib_6!$D$12:$D$24</c:f>
              <c:numCache>
                <c:formatCode>0.0000</c:formatCode>
                <c:ptCount val="13"/>
                <c:pt idx="0">
                  <c:v>0.70600000000000007</c:v>
                </c:pt>
                <c:pt idx="1">
                  <c:v>0.70400000000000007</c:v>
                </c:pt>
                <c:pt idx="2">
                  <c:v>0.70299999999999996</c:v>
                </c:pt>
                <c:pt idx="3">
                  <c:v>0.70099999999999996</c:v>
                </c:pt>
                <c:pt idx="4">
                  <c:v>0.69600000000000006</c:v>
                </c:pt>
                <c:pt idx="5">
                  <c:v>0.69200000000000006</c:v>
                </c:pt>
                <c:pt idx="6">
                  <c:v>0.68499999999999994</c:v>
                </c:pt>
                <c:pt idx="7">
                  <c:v>0.67600000000000005</c:v>
                </c:pt>
                <c:pt idx="8">
                  <c:v>0.66899999999999993</c:v>
                </c:pt>
                <c:pt idx="9">
                  <c:v>0.66300000000000014</c:v>
                </c:pt>
                <c:pt idx="10">
                  <c:v>0.65500000000000014</c:v>
                </c:pt>
                <c:pt idx="11">
                  <c:v>0.64900000000000013</c:v>
                </c:pt>
                <c:pt idx="12">
                  <c:v>0.64</c:v>
                </c:pt>
              </c:numCache>
            </c:numRef>
          </c:xVal>
          <c:yVal>
            <c:numRef>
              <c:f>Fib_6!$A$12:$A$24</c:f>
              <c:numCache>
                <c:formatCode>General</c:formatCode>
                <c:ptCount val="13"/>
                <c:pt idx="0">
                  <c:v>-0.157</c:v>
                </c:pt>
                <c:pt idx="1">
                  <c:v>-0.25</c:v>
                </c:pt>
                <c:pt idx="2">
                  <c:v>-0.28899999999999998</c:v>
                </c:pt>
                <c:pt idx="3">
                  <c:v>-0.45900000000000002</c:v>
                </c:pt>
                <c:pt idx="4">
                  <c:v>-0.71799999999999997</c:v>
                </c:pt>
                <c:pt idx="5">
                  <c:v>-0.85</c:v>
                </c:pt>
                <c:pt idx="6">
                  <c:v>-1.292</c:v>
                </c:pt>
                <c:pt idx="7">
                  <c:v>-1.77</c:v>
                </c:pt>
                <c:pt idx="8">
                  <c:v>-2.17</c:v>
                </c:pt>
                <c:pt idx="9">
                  <c:v>-2.4300000000000002</c:v>
                </c:pt>
                <c:pt idx="10">
                  <c:v>-2.73</c:v>
                </c:pt>
                <c:pt idx="11">
                  <c:v>-2.91</c:v>
                </c:pt>
                <c:pt idx="12">
                  <c:v>-3.09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4-4F91-A345-6360DFF2F45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8.4457720478415155E-2"/>
                  <c:y val="-1.4419439505545757E-2"/>
                </c:manualLayout>
              </c:layout>
              <c:numFmt formatCode="General" sourceLinked="0"/>
            </c:trendlineLbl>
          </c:trendline>
          <c:xVal>
            <c:numRef>
              <c:f>Fib_6!$D$24:$D$28</c:f>
              <c:numCache>
                <c:formatCode>0.0000</c:formatCode>
                <c:ptCount val="5"/>
                <c:pt idx="0">
                  <c:v>0.64</c:v>
                </c:pt>
                <c:pt idx="1">
                  <c:v>0.62700000000000011</c:v>
                </c:pt>
                <c:pt idx="2">
                  <c:v>0.60799999999999998</c:v>
                </c:pt>
                <c:pt idx="3">
                  <c:v>0.59</c:v>
                </c:pt>
                <c:pt idx="4">
                  <c:v>0.57999999999999996</c:v>
                </c:pt>
              </c:numCache>
            </c:numRef>
          </c:xVal>
          <c:yVal>
            <c:numRef>
              <c:f>Fib_6!$A$24:$A$28</c:f>
              <c:numCache>
                <c:formatCode>General</c:formatCode>
                <c:ptCount val="5"/>
                <c:pt idx="0">
                  <c:v>-3.09</c:v>
                </c:pt>
                <c:pt idx="1">
                  <c:v>-3.24</c:v>
                </c:pt>
                <c:pt idx="2">
                  <c:v>-3.4</c:v>
                </c:pt>
                <c:pt idx="3">
                  <c:v>-3.56</c:v>
                </c:pt>
                <c:pt idx="4">
                  <c:v>-3.65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4-4F91-A345-6360DFF2F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8255"/>
        <c:axId val="1"/>
      </c:scatterChart>
      <c:valAx>
        <c:axId val="131848255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723901447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79061891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825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852565843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36856521980947"/>
          <c:y val="0.132202282453928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Fib_8!$G$13:$G$25</c:f>
              <c:numCache>
                <c:formatCode>0.00</c:formatCode>
                <c:ptCount val="13"/>
                <c:pt idx="0">
                  <c:v>0.18083068944957859</c:v>
                </c:pt>
                <c:pt idx="1">
                  <c:v>0.69447993118481577</c:v>
                </c:pt>
                <c:pt idx="2">
                  <c:v>1.8929948285670974</c:v>
                </c:pt>
                <c:pt idx="3">
                  <c:v>2.7490768981258213</c:v>
                </c:pt>
                <c:pt idx="4">
                  <c:v>4.2900246233316039</c:v>
                </c:pt>
                <c:pt idx="5">
                  <c:v>5.4885395207138288</c:v>
                </c:pt>
                <c:pt idx="6">
                  <c:v>6.6870544180961105</c:v>
                </c:pt>
                <c:pt idx="7">
                  <c:v>8.2280021433018362</c:v>
                </c:pt>
                <c:pt idx="8">
                  <c:v>9.084084212860617</c:v>
                </c:pt>
                <c:pt idx="9">
                  <c:v>9.5977334545958399</c:v>
                </c:pt>
                <c:pt idx="10">
                  <c:v>10.625031938066343</c:v>
                </c:pt>
                <c:pt idx="11">
                  <c:v>12.679628905007348</c:v>
                </c:pt>
                <c:pt idx="12">
                  <c:v>15.419091527595356</c:v>
                </c:pt>
              </c:numCache>
            </c:numRef>
          </c:xVal>
          <c:yVal>
            <c:numRef>
              <c:f>Fib_8!$B$13:$B$25</c:f>
              <c:numCache>
                <c:formatCode>0.0000</c:formatCode>
                <c:ptCount val="13"/>
                <c:pt idx="0">
                  <c:v>6.25</c:v>
                </c:pt>
                <c:pt idx="1">
                  <c:v>3.4482758620689657</c:v>
                </c:pt>
                <c:pt idx="2">
                  <c:v>2.4752475247524752</c:v>
                </c:pt>
                <c:pt idx="3">
                  <c:v>1.1312217194570136</c:v>
                </c:pt>
                <c:pt idx="4">
                  <c:v>0.59101654846335694</c:v>
                </c:pt>
                <c:pt idx="5">
                  <c:v>0.47393364928909953</c:v>
                </c:pt>
                <c:pt idx="6">
                  <c:v>0.40485829959514169</c:v>
                </c:pt>
                <c:pt idx="7">
                  <c:v>0.33090668431502318</c:v>
                </c:pt>
                <c:pt idx="8">
                  <c:v>0.31446540880503143</c:v>
                </c:pt>
                <c:pt idx="9">
                  <c:v>0.30674846625766872</c:v>
                </c:pt>
                <c:pt idx="10">
                  <c:v>0.29850746268656714</c:v>
                </c:pt>
                <c:pt idx="11">
                  <c:v>0.28011204481792717</c:v>
                </c:pt>
                <c:pt idx="12">
                  <c:v>0.26455026455026459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3-475B-B9AB-A86FC6EB309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7.5159007301821887E-2"/>
                  <c:y val="-0.17801164284455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Fib_8!$G$22:$G$26</c:f>
              <c:numCache>
                <c:formatCode>0.00</c:formatCode>
                <c:ptCount val="5"/>
                <c:pt idx="0">
                  <c:v>9.5977334545958399</c:v>
                </c:pt>
                <c:pt idx="1">
                  <c:v>10.625031938066343</c:v>
                </c:pt>
                <c:pt idx="2">
                  <c:v>12.679628905007348</c:v>
                </c:pt>
                <c:pt idx="3">
                  <c:v>15.419091527595356</c:v>
                </c:pt>
                <c:pt idx="4">
                  <c:v>21.411666014506622</c:v>
                </c:pt>
              </c:numCache>
            </c:numRef>
          </c:xVal>
          <c:yVal>
            <c:numRef>
              <c:f>Fib_8!$B$22:$B$26</c:f>
              <c:numCache>
                <c:formatCode>0.0000</c:formatCode>
                <c:ptCount val="5"/>
                <c:pt idx="0">
                  <c:v>0.30674846625766872</c:v>
                </c:pt>
                <c:pt idx="1">
                  <c:v>0.29850746268656714</c:v>
                </c:pt>
                <c:pt idx="2">
                  <c:v>0.28011204481792717</c:v>
                </c:pt>
                <c:pt idx="3">
                  <c:v>0.26455026455026459</c:v>
                </c:pt>
                <c:pt idx="4">
                  <c:v>0.23640661938534277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13-475B-B9AB-A86FC6EB3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5743"/>
        <c:axId val="1"/>
      </c:scatterChart>
      <c:valAx>
        <c:axId val="131855743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89546565299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574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0.11319345703941787"/>
                  <c:y val="0.14444704089408178"/>
                </c:manualLayout>
              </c:layout>
              <c:numFmt formatCode="General" sourceLinked="0"/>
            </c:trendlineLbl>
          </c:trendline>
          <c:xVal>
            <c:numRef>
              <c:f>Fib_8!$D$13:$D$22</c:f>
              <c:numCache>
                <c:formatCode>0.0000</c:formatCode>
                <c:ptCount val="10"/>
                <c:pt idx="0">
                  <c:v>0.58299999999999996</c:v>
                </c:pt>
                <c:pt idx="1">
                  <c:v>0.58000000000000007</c:v>
                </c:pt>
                <c:pt idx="2">
                  <c:v>0.57299999999999995</c:v>
                </c:pt>
                <c:pt idx="3">
                  <c:v>0.56800000000000006</c:v>
                </c:pt>
                <c:pt idx="4">
                  <c:v>0.55899999999999994</c:v>
                </c:pt>
                <c:pt idx="5">
                  <c:v>0.55200000000000005</c:v>
                </c:pt>
                <c:pt idx="6">
                  <c:v>0.54499999999999993</c:v>
                </c:pt>
                <c:pt idx="7">
                  <c:v>0.53600000000000003</c:v>
                </c:pt>
                <c:pt idx="8">
                  <c:v>0.53099999999999992</c:v>
                </c:pt>
                <c:pt idx="9">
                  <c:v>0.52800000000000002</c:v>
                </c:pt>
              </c:numCache>
            </c:numRef>
          </c:xVal>
          <c:yVal>
            <c:numRef>
              <c:f>Fib_8!$A$13:$A$22</c:f>
              <c:numCache>
                <c:formatCode>General</c:formatCode>
                <c:ptCount val="10"/>
                <c:pt idx="0">
                  <c:v>-0.16</c:v>
                </c:pt>
                <c:pt idx="1">
                  <c:v>-0.28999999999999998</c:v>
                </c:pt>
                <c:pt idx="2">
                  <c:v>-0.40400000000000003</c:v>
                </c:pt>
                <c:pt idx="3">
                  <c:v>-0.88400000000000001</c:v>
                </c:pt>
                <c:pt idx="4">
                  <c:v>-1.6919999999999999</c:v>
                </c:pt>
                <c:pt idx="5">
                  <c:v>-2.11</c:v>
                </c:pt>
                <c:pt idx="6">
                  <c:v>-2.4700000000000002</c:v>
                </c:pt>
                <c:pt idx="7">
                  <c:v>-3.0219999999999998</c:v>
                </c:pt>
                <c:pt idx="8">
                  <c:v>-3.18</c:v>
                </c:pt>
                <c:pt idx="9">
                  <c:v>-3.26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F-4D44-A1CE-4607744E355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Fib_8!$D$22:$D$26</c:f>
              <c:numCache>
                <c:formatCode>0.0000</c:formatCode>
                <c:ptCount val="5"/>
                <c:pt idx="0">
                  <c:v>0.52800000000000002</c:v>
                </c:pt>
                <c:pt idx="1">
                  <c:v>0.52200000000000002</c:v>
                </c:pt>
                <c:pt idx="2">
                  <c:v>0.51</c:v>
                </c:pt>
                <c:pt idx="3">
                  <c:v>0.49399999999999999</c:v>
                </c:pt>
                <c:pt idx="4">
                  <c:v>0.45899999999999996</c:v>
                </c:pt>
              </c:numCache>
            </c:numRef>
          </c:xVal>
          <c:yVal>
            <c:numRef>
              <c:f>Fib_8!$A$22:$A$26</c:f>
              <c:numCache>
                <c:formatCode>General</c:formatCode>
                <c:ptCount val="5"/>
                <c:pt idx="0">
                  <c:v>-3.26</c:v>
                </c:pt>
                <c:pt idx="1">
                  <c:v>-3.35</c:v>
                </c:pt>
                <c:pt idx="2">
                  <c:v>-3.57</c:v>
                </c:pt>
                <c:pt idx="3">
                  <c:v>-3.78</c:v>
                </c:pt>
                <c:pt idx="4">
                  <c:v>-4.2300000000000004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0F-4D44-A1CE-4607744E3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8255"/>
        <c:axId val="1"/>
      </c:scatterChart>
      <c:valAx>
        <c:axId val="131848255"/>
        <c:scaling>
          <c:orientation val="minMax"/>
          <c:max val="0.60000000000000009"/>
          <c:min val="0.4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723901447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-4.5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79061891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825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69095318214E-2"/>
          <c:y val="0.21612516759493292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Ter_1!$D$22:$D$28</c:f>
              <c:numCache>
                <c:formatCode>0.0000</c:formatCode>
                <c:ptCount val="7"/>
                <c:pt idx="0">
                  <c:v>0.87400000000000011</c:v>
                </c:pt>
                <c:pt idx="1">
                  <c:v>0.8640000000000001</c:v>
                </c:pt>
                <c:pt idx="2">
                  <c:v>0.85499999999999998</c:v>
                </c:pt>
                <c:pt idx="3">
                  <c:v>0.84099999999999997</c:v>
                </c:pt>
                <c:pt idx="4">
                  <c:v>0.82400000000000007</c:v>
                </c:pt>
                <c:pt idx="5">
                  <c:v>0.80499999999999994</c:v>
                </c:pt>
                <c:pt idx="6">
                  <c:v>0.78800000000000003</c:v>
                </c:pt>
              </c:numCache>
            </c:numRef>
          </c:xVal>
          <c:yVal>
            <c:numRef>
              <c:f>Ter_1!$A$22:$A$28</c:f>
              <c:numCache>
                <c:formatCode>0.000</c:formatCode>
                <c:ptCount val="7"/>
                <c:pt idx="0">
                  <c:v>-0.24399999999999999</c:v>
                </c:pt>
                <c:pt idx="1">
                  <c:v>-0.51100000000000001</c:v>
                </c:pt>
                <c:pt idx="2">
                  <c:v>-0.71199999999999997</c:v>
                </c:pt>
                <c:pt idx="3">
                  <c:v>-1.1100000000000001</c:v>
                </c:pt>
                <c:pt idx="4">
                  <c:v>-1.46</c:v>
                </c:pt>
                <c:pt idx="5">
                  <c:v>-1.89</c:v>
                </c:pt>
                <c:pt idx="6">
                  <c:v>-2.06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9-4EA0-94DF-E8AE7A3F589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Ter_1!$D$28:$D$32</c:f>
              <c:numCache>
                <c:formatCode>0.0000</c:formatCode>
                <c:ptCount val="5"/>
                <c:pt idx="0">
                  <c:v>0.78800000000000003</c:v>
                </c:pt>
                <c:pt idx="1">
                  <c:v>0.76600000000000001</c:v>
                </c:pt>
                <c:pt idx="2">
                  <c:v>0.73599999999999999</c:v>
                </c:pt>
                <c:pt idx="3">
                  <c:v>0.71599999999999997</c:v>
                </c:pt>
                <c:pt idx="4">
                  <c:v>0.64700000000000002</c:v>
                </c:pt>
              </c:numCache>
            </c:numRef>
          </c:xVal>
          <c:yVal>
            <c:numRef>
              <c:f>Ter_1!$A$28:$A$32</c:f>
              <c:numCache>
                <c:formatCode>0.000</c:formatCode>
                <c:ptCount val="5"/>
                <c:pt idx="0">
                  <c:v>-2.06</c:v>
                </c:pt>
                <c:pt idx="1">
                  <c:v>-2.15</c:v>
                </c:pt>
                <c:pt idx="2">
                  <c:v>-2.29</c:v>
                </c:pt>
                <c:pt idx="3">
                  <c:v>-2.38</c:v>
                </c:pt>
                <c:pt idx="4">
                  <c:v>-2.73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99-4EA0-94DF-E8AE7A3F5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13791"/>
        <c:axId val="1"/>
      </c:scatterChart>
      <c:valAx>
        <c:axId val="377413791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6425333196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669666291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4137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6253626188"/>
          <c:y val="6.54209050049001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Ter_1!$G$22:$G$28</c:f>
              <c:numCache>
                <c:formatCode>0.00</c:formatCode>
                <c:ptCount val="7"/>
                <c:pt idx="0">
                  <c:v>1.5666739025027994</c:v>
                </c:pt>
                <c:pt idx="1">
                  <c:v>2.6929133315359479</c:v>
                </c:pt>
                <c:pt idx="2">
                  <c:v>3.7065288176657987</c:v>
                </c:pt>
                <c:pt idx="3">
                  <c:v>5.2832640183122095</c:v>
                </c:pt>
                <c:pt idx="4">
                  <c:v>7.1978710476685421</c:v>
                </c:pt>
                <c:pt idx="5">
                  <c:v>9.3377259628315414</c:v>
                </c:pt>
                <c:pt idx="6">
                  <c:v>11.252332992187888</c:v>
                </c:pt>
              </c:numCache>
            </c:numRef>
          </c:xVal>
          <c:yVal>
            <c:numRef>
              <c:f>Ter_1!$B$22:$B$28</c:f>
              <c:numCache>
                <c:formatCode>0.0000</c:formatCode>
                <c:ptCount val="7"/>
                <c:pt idx="0">
                  <c:v>4.0983606557377046</c:v>
                </c:pt>
                <c:pt idx="1">
                  <c:v>1.9569471624266144</c:v>
                </c:pt>
                <c:pt idx="2">
                  <c:v>1.404494382022472</c:v>
                </c:pt>
                <c:pt idx="3">
                  <c:v>0.9009009009009008</c:v>
                </c:pt>
                <c:pt idx="4">
                  <c:v>0.68493150684931503</c:v>
                </c:pt>
                <c:pt idx="5">
                  <c:v>0.52910052910052918</c:v>
                </c:pt>
                <c:pt idx="6">
                  <c:v>0.4854368932038835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A-4823-8C05-D93E9D394AF0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Ter_1!$G$28:$G$32</c:f>
              <c:numCache>
                <c:formatCode>0.00</c:formatCode>
                <c:ptCount val="5"/>
                <c:pt idx="0">
                  <c:v>11.252332992187888</c:v>
                </c:pt>
                <c:pt idx="1">
                  <c:v>13.730059736060824</c:v>
                </c:pt>
                <c:pt idx="2">
                  <c:v>17.108778023160269</c:v>
                </c:pt>
                <c:pt idx="3">
                  <c:v>19.361256881226566</c:v>
                </c:pt>
                <c:pt idx="4">
                  <c:v>27.13230894155528</c:v>
                </c:pt>
              </c:numCache>
            </c:numRef>
          </c:xVal>
          <c:yVal>
            <c:numRef>
              <c:f>Ter_1!$B$28:$B$32</c:f>
              <c:numCache>
                <c:formatCode>0.0000</c:formatCode>
                <c:ptCount val="5"/>
                <c:pt idx="0">
                  <c:v>0.4854368932038835</c:v>
                </c:pt>
                <c:pt idx="1">
                  <c:v>0.46511627906976744</c:v>
                </c:pt>
                <c:pt idx="2">
                  <c:v>0.4366812227074236</c:v>
                </c:pt>
                <c:pt idx="3">
                  <c:v>0.42016806722689076</c:v>
                </c:pt>
                <c:pt idx="4">
                  <c:v>0.36630036630036628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8A-4823-8C05-D93E9D39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30431"/>
        <c:axId val="1"/>
      </c:scatterChart>
      <c:valAx>
        <c:axId val="377430431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3692498964"/>
              <c:y val="0.897199148389713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43043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Ter_3!$G$13:$G$19</c:f>
              <c:numCache>
                <c:formatCode>0.00</c:formatCode>
                <c:ptCount val="7"/>
                <c:pt idx="0">
                  <c:v>0.84782408759079431</c:v>
                </c:pt>
                <c:pt idx="1">
                  <c:v>1.8608731390585831</c:v>
                </c:pt>
                <c:pt idx="2">
                  <c:v>3.0005533219598277</c:v>
                </c:pt>
                <c:pt idx="3">
                  <c:v>4.5201268991614967</c:v>
                </c:pt>
                <c:pt idx="4">
                  <c:v>6.6728561335305301</c:v>
                </c:pt>
                <c:pt idx="5">
                  <c:v>8.4456919735991391</c:v>
                </c:pt>
                <c:pt idx="6">
                  <c:v>9.5853721565004122</c:v>
                </c:pt>
              </c:numCache>
            </c:numRef>
          </c:xVal>
          <c:yVal>
            <c:numRef>
              <c:f>Ter_3!$B$13:$B$19</c:f>
              <c:numCache>
                <c:formatCode>0.0000</c:formatCode>
                <c:ptCount val="7"/>
                <c:pt idx="0">
                  <c:v>5.3475935828877006</c:v>
                </c:pt>
                <c:pt idx="1">
                  <c:v>2.8571428571428572</c:v>
                </c:pt>
                <c:pt idx="2">
                  <c:v>1.7211703958691911</c:v>
                </c:pt>
                <c:pt idx="3">
                  <c:v>1.0416666666666667</c:v>
                </c:pt>
                <c:pt idx="4">
                  <c:v>0.69444444444444442</c:v>
                </c:pt>
                <c:pt idx="5">
                  <c:v>0.58823529411764708</c:v>
                </c:pt>
                <c:pt idx="6">
                  <c:v>0.5181347150259068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4-4EB5-9F12-8A457137D2B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Ter_3!$G$19:$G$24</c:f>
              <c:numCache>
                <c:formatCode>0.00</c:formatCode>
                <c:ptCount val="6"/>
                <c:pt idx="0">
                  <c:v>9.5853721565004122</c:v>
                </c:pt>
                <c:pt idx="1">
                  <c:v>10.598421207968201</c:v>
                </c:pt>
                <c:pt idx="2">
                  <c:v>11.104945733702095</c:v>
                </c:pt>
                <c:pt idx="3">
                  <c:v>12.49788817947028</c:v>
                </c:pt>
                <c:pt idx="4">
                  <c:v>14.523986282405858</c:v>
                </c:pt>
                <c:pt idx="5">
                  <c:v>18.196289093976546</c:v>
                </c:pt>
              </c:numCache>
            </c:numRef>
          </c:xVal>
          <c:yVal>
            <c:numRef>
              <c:f>Ter_3!$B$19:$B$24</c:f>
              <c:numCache>
                <c:formatCode>0.0000</c:formatCode>
                <c:ptCount val="6"/>
                <c:pt idx="0">
                  <c:v>0.5181347150259068</c:v>
                </c:pt>
                <c:pt idx="1">
                  <c:v>0.51282051282051289</c:v>
                </c:pt>
                <c:pt idx="2">
                  <c:v>0.50251256281407031</c:v>
                </c:pt>
                <c:pt idx="3">
                  <c:v>0.48309178743961356</c:v>
                </c:pt>
                <c:pt idx="4">
                  <c:v>0.4587155963302752</c:v>
                </c:pt>
                <c:pt idx="5">
                  <c:v>0.42553191489361702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44-4EB5-9F12-8A457137D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21695"/>
        <c:axId val="1"/>
      </c:scatterChart>
      <c:valAx>
        <c:axId val="37742169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42169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1.5182011822990211E-2"/>
                  <c:y val="2.2122271549561697E-2"/>
                </c:manualLayout>
              </c:layout>
              <c:numFmt formatCode="General" sourceLinked="0"/>
            </c:trendlineLbl>
          </c:trendline>
          <c:xVal>
            <c:numRef>
              <c:f>Ter_3!$D$13:$D$19</c:f>
              <c:numCache>
                <c:formatCode>0.0000</c:formatCode>
                <c:ptCount val="7"/>
                <c:pt idx="0">
                  <c:v>0.78299999999999992</c:v>
                </c:pt>
                <c:pt idx="1">
                  <c:v>0.77499999999999991</c:v>
                </c:pt>
                <c:pt idx="2">
                  <c:v>0.76600000000000001</c:v>
                </c:pt>
                <c:pt idx="3">
                  <c:v>0.754</c:v>
                </c:pt>
                <c:pt idx="4">
                  <c:v>0.7370000000000001</c:v>
                </c:pt>
                <c:pt idx="5">
                  <c:v>0.72300000000000009</c:v>
                </c:pt>
                <c:pt idx="6">
                  <c:v>0.71399999999999997</c:v>
                </c:pt>
              </c:numCache>
            </c:numRef>
          </c:xVal>
          <c:yVal>
            <c:numRef>
              <c:f>Ter_3!$A$13:$A$19</c:f>
              <c:numCache>
                <c:formatCode>0.000</c:formatCode>
                <c:ptCount val="7"/>
                <c:pt idx="0">
                  <c:v>-0.187</c:v>
                </c:pt>
                <c:pt idx="1">
                  <c:v>-0.35</c:v>
                </c:pt>
                <c:pt idx="2">
                  <c:v>-0.58099999999999996</c:v>
                </c:pt>
                <c:pt idx="3">
                  <c:v>-0.96</c:v>
                </c:pt>
                <c:pt idx="4">
                  <c:v>-1.44</c:v>
                </c:pt>
                <c:pt idx="5">
                  <c:v>-1.7</c:v>
                </c:pt>
                <c:pt idx="6">
                  <c:v>-1.93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B-4EF3-9F8E-24262043BF2E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Ter_3!$D$19:$D$26</c:f>
              <c:numCache>
                <c:formatCode>0.0000</c:formatCode>
                <c:ptCount val="8"/>
                <c:pt idx="0">
                  <c:v>0.71399999999999997</c:v>
                </c:pt>
                <c:pt idx="1">
                  <c:v>0.70599999999999996</c:v>
                </c:pt>
                <c:pt idx="2">
                  <c:v>0.70199999999999996</c:v>
                </c:pt>
                <c:pt idx="3">
                  <c:v>0.69100000000000006</c:v>
                </c:pt>
                <c:pt idx="4">
                  <c:v>0.67500000000000004</c:v>
                </c:pt>
                <c:pt idx="5">
                  <c:v>0.64600000000000013</c:v>
                </c:pt>
              </c:numCache>
            </c:numRef>
          </c:xVal>
          <c:yVal>
            <c:numRef>
              <c:f>Ter_3!$A$19:$A$26</c:f>
              <c:numCache>
                <c:formatCode>0.000</c:formatCode>
                <c:ptCount val="8"/>
                <c:pt idx="0">
                  <c:v>-1.93</c:v>
                </c:pt>
                <c:pt idx="1">
                  <c:v>-1.95</c:v>
                </c:pt>
                <c:pt idx="2">
                  <c:v>-1.99</c:v>
                </c:pt>
                <c:pt idx="3">
                  <c:v>-2.0699999999999998</c:v>
                </c:pt>
                <c:pt idx="4">
                  <c:v>-2.1800000000000002</c:v>
                </c:pt>
                <c:pt idx="5">
                  <c:v>-2.35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7B-4EF3-9F8E-24262043B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35007"/>
        <c:axId val="1"/>
      </c:scatterChart>
      <c:valAx>
        <c:axId val="377435007"/>
        <c:scaling>
          <c:orientation val="minMax"/>
          <c:min val="0.60000000000000009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6425333196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69666291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43500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Ter_8!$G$12:$G$16</c:f>
              <c:numCache>
                <c:formatCode>0.00</c:formatCode>
                <c:ptCount val="5"/>
                <c:pt idx="0">
                  <c:v>1.916867565406136</c:v>
                </c:pt>
                <c:pt idx="1">
                  <c:v>4.7157658855000051</c:v>
                </c:pt>
                <c:pt idx="2">
                  <c:v>7.8797378995191849</c:v>
                </c:pt>
                <c:pt idx="3">
                  <c:v>9.9484888317624609</c:v>
                </c:pt>
                <c:pt idx="4">
                  <c:v>13.112460845781612</c:v>
                </c:pt>
              </c:numCache>
            </c:numRef>
          </c:xVal>
          <c:yVal>
            <c:numRef>
              <c:f>Ter_8!$B$12:$B$16</c:f>
              <c:numCache>
                <c:formatCode>0.0000</c:formatCode>
                <c:ptCount val="5"/>
                <c:pt idx="0">
                  <c:v>3.7313432835820892</c:v>
                </c:pt>
                <c:pt idx="1">
                  <c:v>1.3477088948787062</c:v>
                </c:pt>
                <c:pt idx="2">
                  <c:v>0.71942446043165476</c:v>
                </c:pt>
                <c:pt idx="3">
                  <c:v>0.59171597633136097</c:v>
                </c:pt>
                <c:pt idx="4">
                  <c:v>0.49504950495049505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9-422F-AABD-A7318B81690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Ter_8!$G$16:$G$21</c:f>
              <c:numCache>
                <c:formatCode>0.00</c:formatCode>
                <c:ptCount val="6"/>
                <c:pt idx="0">
                  <c:v>13.112460845781612</c:v>
                </c:pt>
                <c:pt idx="1">
                  <c:v>15.667976703258617</c:v>
                </c:pt>
                <c:pt idx="2">
                  <c:v>19.318713642511497</c:v>
                </c:pt>
                <c:pt idx="3">
                  <c:v>21.022390880829505</c:v>
                </c:pt>
                <c:pt idx="4">
                  <c:v>23.212833044381227</c:v>
                </c:pt>
                <c:pt idx="5">
                  <c:v>29.784159535036409</c:v>
                </c:pt>
              </c:numCache>
            </c:numRef>
          </c:xVal>
          <c:yVal>
            <c:numRef>
              <c:f>Ter_8!$B$16:$B$21</c:f>
              <c:numCache>
                <c:formatCode>0.0000</c:formatCode>
                <c:ptCount val="6"/>
                <c:pt idx="0">
                  <c:v>0.49504950495049505</c:v>
                </c:pt>
                <c:pt idx="1">
                  <c:v>0.46296296296296291</c:v>
                </c:pt>
                <c:pt idx="2">
                  <c:v>0.4329004329004329</c:v>
                </c:pt>
                <c:pt idx="3">
                  <c:v>0.41666666666666669</c:v>
                </c:pt>
                <c:pt idx="4">
                  <c:v>0.40160642570281119</c:v>
                </c:pt>
                <c:pt idx="5">
                  <c:v>0.3546099290780142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69-422F-AABD-A7318B816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17535"/>
        <c:axId val="1"/>
      </c:scatterChart>
      <c:valAx>
        <c:axId val="37741753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4175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Ter_8!$D$12:$D$16</c:f>
              <c:numCache>
                <c:formatCode>0.0000</c:formatCode>
                <c:ptCount val="5"/>
                <c:pt idx="0">
                  <c:v>0.80600000000000005</c:v>
                </c:pt>
                <c:pt idx="1">
                  <c:v>0.78299999999999992</c:v>
                </c:pt>
                <c:pt idx="2">
                  <c:v>0.7569999999999999</c:v>
                </c:pt>
                <c:pt idx="3">
                  <c:v>0.74</c:v>
                </c:pt>
                <c:pt idx="4">
                  <c:v>0.71399999999999997</c:v>
                </c:pt>
              </c:numCache>
            </c:numRef>
          </c:xVal>
          <c:yVal>
            <c:numRef>
              <c:f>Ter_8!$A$12:$A$16</c:f>
              <c:numCache>
                <c:formatCode>0.000</c:formatCode>
                <c:ptCount val="5"/>
                <c:pt idx="0">
                  <c:v>-0.26800000000000002</c:v>
                </c:pt>
                <c:pt idx="1">
                  <c:v>-0.74199999999999999</c:v>
                </c:pt>
                <c:pt idx="2">
                  <c:v>-1.39</c:v>
                </c:pt>
                <c:pt idx="3">
                  <c:v>-1.69</c:v>
                </c:pt>
                <c:pt idx="4">
                  <c:v>-2.02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88-4340-BDE0-305ECC3E568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Ter_8!$D$16:$D$21</c:f>
              <c:numCache>
                <c:formatCode>0.0000</c:formatCode>
                <c:ptCount val="6"/>
                <c:pt idx="0">
                  <c:v>0.71399999999999997</c:v>
                </c:pt>
                <c:pt idx="1">
                  <c:v>0.69300000000000006</c:v>
                </c:pt>
                <c:pt idx="2">
                  <c:v>0.66300000000000003</c:v>
                </c:pt>
                <c:pt idx="3">
                  <c:v>0.64900000000000002</c:v>
                </c:pt>
                <c:pt idx="4">
                  <c:v>0.63100000000000001</c:v>
                </c:pt>
                <c:pt idx="5">
                  <c:v>0.57699999999999996</c:v>
                </c:pt>
              </c:numCache>
            </c:numRef>
          </c:xVal>
          <c:yVal>
            <c:numRef>
              <c:f>Ter_8!$A$16:$A$21</c:f>
              <c:numCache>
                <c:formatCode>0.000</c:formatCode>
                <c:ptCount val="6"/>
                <c:pt idx="0">
                  <c:v>-2.02</c:v>
                </c:pt>
                <c:pt idx="1">
                  <c:v>-2.16</c:v>
                </c:pt>
                <c:pt idx="2">
                  <c:v>-2.31</c:v>
                </c:pt>
                <c:pt idx="3">
                  <c:v>-2.4</c:v>
                </c:pt>
                <c:pt idx="4">
                  <c:v>-2.4900000000000002</c:v>
                </c:pt>
                <c:pt idx="5">
                  <c:v>-2.82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88-4340-BDE0-305ECC3E5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30847"/>
        <c:axId val="1"/>
      </c:scatterChart>
      <c:valAx>
        <c:axId val="377430847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50130664252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289989239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4308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Ter_6!$G$16:$G$27</c:f>
              <c:numCache>
                <c:formatCode>0.00</c:formatCode>
                <c:ptCount val="12"/>
                <c:pt idx="0">
                  <c:v>0.84139352929206268</c:v>
                </c:pt>
                <c:pt idx="1">
                  <c:v>2.5483491962369413</c:v>
                </c:pt>
                <c:pt idx="2">
                  <c:v>4.4104826510859141</c:v>
                </c:pt>
                <c:pt idx="3">
                  <c:v>7.3588606212634744</c:v>
                </c:pt>
                <c:pt idx="4">
                  <c:v>9.8417052277287809</c:v>
                </c:pt>
                <c:pt idx="5">
                  <c:v>12.014194258385928</c:v>
                </c:pt>
                <c:pt idx="6">
                  <c:v>14.49703886485122</c:v>
                </c:pt>
                <c:pt idx="7">
                  <c:v>16.514350107604272</c:v>
                </c:pt>
                <c:pt idx="8">
                  <c:v>18.531661350357339</c:v>
                </c:pt>
                <c:pt idx="9">
                  <c:v>20.704150381014443</c:v>
                </c:pt>
                <c:pt idx="10">
                  <c:v>22.255928260055256</c:v>
                </c:pt>
                <c:pt idx="11">
                  <c:v>23.807706139096084</c:v>
                </c:pt>
              </c:numCache>
            </c:numRef>
          </c:xVal>
          <c:yVal>
            <c:numRef>
              <c:f>Ter_6!$B$16:$B$27</c:f>
              <c:numCache>
                <c:formatCode>0.0000</c:formatCode>
                <c:ptCount val="12"/>
                <c:pt idx="0">
                  <c:v>7.4074074074074066</c:v>
                </c:pt>
                <c:pt idx="1">
                  <c:v>4.0983606557377046</c:v>
                </c:pt>
                <c:pt idx="2">
                  <c:v>1.4662756598240467</c:v>
                </c:pt>
                <c:pt idx="3">
                  <c:v>0.71942446043165476</c:v>
                </c:pt>
                <c:pt idx="4">
                  <c:v>0.58823529411764708</c:v>
                </c:pt>
                <c:pt idx="5">
                  <c:v>0.53475935828876997</c:v>
                </c:pt>
                <c:pt idx="6">
                  <c:v>0.48780487804878053</c:v>
                </c:pt>
                <c:pt idx="7">
                  <c:v>0.48076923076923073</c:v>
                </c:pt>
                <c:pt idx="8">
                  <c:v>0.46620046620046618</c:v>
                </c:pt>
                <c:pt idx="9">
                  <c:v>0.4464285714285714</c:v>
                </c:pt>
                <c:pt idx="10">
                  <c:v>0.4366812227074236</c:v>
                </c:pt>
                <c:pt idx="11">
                  <c:v>0.43478260869565222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A-4E25-81D4-A912D27FA3A0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Ter_6!$G$22:$G$27</c:f>
              <c:numCache>
                <c:formatCode>0.00</c:formatCode>
                <c:ptCount val="6"/>
                <c:pt idx="0">
                  <c:v>14.49703886485122</c:v>
                </c:pt>
                <c:pt idx="1">
                  <c:v>16.514350107604272</c:v>
                </c:pt>
                <c:pt idx="2">
                  <c:v>18.531661350357339</c:v>
                </c:pt>
                <c:pt idx="3">
                  <c:v>20.704150381014443</c:v>
                </c:pt>
                <c:pt idx="4">
                  <c:v>22.255928260055256</c:v>
                </c:pt>
                <c:pt idx="5">
                  <c:v>23.807706139096084</c:v>
                </c:pt>
              </c:numCache>
            </c:numRef>
          </c:xVal>
          <c:yVal>
            <c:numRef>
              <c:f>Ter_6!$B$22:$B$27</c:f>
              <c:numCache>
                <c:formatCode>0.0000</c:formatCode>
                <c:ptCount val="6"/>
                <c:pt idx="0">
                  <c:v>0.48780487804878053</c:v>
                </c:pt>
                <c:pt idx="1">
                  <c:v>0.48076923076923073</c:v>
                </c:pt>
                <c:pt idx="2">
                  <c:v>0.46620046620046618</c:v>
                </c:pt>
                <c:pt idx="3">
                  <c:v>0.4464285714285714</c:v>
                </c:pt>
                <c:pt idx="4">
                  <c:v>0.4366812227074236</c:v>
                </c:pt>
                <c:pt idx="5">
                  <c:v>0.43478260869565222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EA-4E25-81D4-A912D27FA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17535"/>
        <c:axId val="1"/>
      </c:scatterChart>
      <c:valAx>
        <c:axId val="37741753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4175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Ter_6!$D$16:$D$22</c:f>
              <c:numCache>
                <c:formatCode>0.0000</c:formatCode>
                <c:ptCount val="7"/>
                <c:pt idx="0">
                  <c:v>0.63900000000000001</c:v>
                </c:pt>
                <c:pt idx="1">
                  <c:v>0.62800000000000011</c:v>
                </c:pt>
                <c:pt idx="2">
                  <c:v>0.6160000000000001</c:v>
                </c:pt>
                <c:pt idx="3">
                  <c:v>0.59699999999999998</c:v>
                </c:pt>
                <c:pt idx="4">
                  <c:v>0.58099999999999996</c:v>
                </c:pt>
                <c:pt idx="5">
                  <c:v>0.56699999999999995</c:v>
                </c:pt>
                <c:pt idx="6">
                  <c:v>0.55099999999999993</c:v>
                </c:pt>
              </c:numCache>
            </c:numRef>
          </c:xVal>
          <c:yVal>
            <c:numRef>
              <c:f>Ter_6!$A$16:$A$22</c:f>
              <c:numCache>
                <c:formatCode>General</c:formatCode>
                <c:ptCount val="7"/>
                <c:pt idx="0">
                  <c:v>-0.13500000000000001</c:v>
                </c:pt>
                <c:pt idx="1">
                  <c:v>-0.24399999999999999</c:v>
                </c:pt>
                <c:pt idx="2">
                  <c:v>-0.68200000000000005</c:v>
                </c:pt>
                <c:pt idx="3">
                  <c:v>-1.39</c:v>
                </c:pt>
                <c:pt idx="4">
                  <c:v>-1.7</c:v>
                </c:pt>
                <c:pt idx="5">
                  <c:v>-1.87</c:v>
                </c:pt>
                <c:pt idx="6">
                  <c:v>-2.0499999999999998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1-4244-AEBD-0F7BD94DF21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Ter_6!$D$22:$D$27</c:f>
              <c:numCache>
                <c:formatCode>0.0000</c:formatCode>
                <c:ptCount val="6"/>
                <c:pt idx="0">
                  <c:v>0.55099999999999993</c:v>
                </c:pt>
                <c:pt idx="1">
                  <c:v>0.53800000000000003</c:v>
                </c:pt>
                <c:pt idx="2">
                  <c:v>0.52499999999999991</c:v>
                </c:pt>
                <c:pt idx="3">
                  <c:v>0.51100000000000012</c:v>
                </c:pt>
                <c:pt idx="4">
                  <c:v>0.50100000000000011</c:v>
                </c:pt>
                <c:pt idx="5">
                  <c:v>0.49100000000000005</c:v>
                </c:pt>
              </c:numCache>
            </c:numRef>
          </c:xVal>
          <c:yVal>
            <c:numRef>
              <c:f>Ter_6!$A$22:$A$27</c:f>
              <c:numCache>
                <c:formatCode>General</c:formatCode>
                <c:ptCount val="6"/>
                <c:pt idx="0">
                  <c:v>-2.0499999999999998</c:v>
                </c:pt>
                <c:pt idx="1">
                  <c:v>-2.08</c:v>
                </c:pt>
                <c:pt idx="2">
                  <c:v>-2.145</c:v>
                </c:pt>
                <c:pt idx="3">
                  <c:v>-2.2400000000000002</c:v>
                </c:pt>
                <c:pt idx="4">
                  <c:v>-2.29</c:v>
                </c:pt>
                <c:pt idx="5">
                  <c:v>-2.2999999999999998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C1-4244-AEBD-0F7BD94DF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30847"/>
        <c:axId val="1"/>
      </c:scatterChart>
      <c:valAx>
        <c:axId val="377430847"/>
        <c:scaling>
          <c:orientation val="minMax"/>
          <c:min val="0.4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50130664252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289989239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4308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Ter_7!$G$12:$G$24</c:f>
              <c:numCache>
                <c:formatCode>0.00</c:formatCode>
                <c:ptCount val="13"/>
                <c:pt idx="0">
                  <c:v>0.36912201726407545</c:v>
                </c:pt>
                <c:pt idx="1">
                  <c:v>1.3101456581871957</c:v>
                </c:pt>
                <c:pt idx="2">
                  <c:v>2.1335413439949207</c:v>
                </c:pt>
                <c:pt idx="3">
                  <c:v>3.4274488502642413</c:v>
                </c:pt>
                <c:pt idx="4">
                  <c:v>5.1918681769950865</c:v>
                </c:pt>
                <c:pt idx="5">
                  <c:v>7.6620552344183039</c:v>
                </c:pt>
                <c:pt idx="6">
                  <c:v>9.6617304713799399</c:v>
                </c:pt>
                <c:pt idx="7">
                  <c:v>12.249545483918538</c:v>
                </c:pt>
                <c:pt idx="8">
                  <c:v>14.131592765764793</c:v>
                </c:pt>
                <c:pt idx="9">
                  <c:v>15.543128227149467</c:v>
                </c:pt>
                <c:pt idx="10">
                  <c:v>16.719407778303392</c:v>
                </c:pt>
                <c:pt idx="11">
                  <c:v>18.483827105034237</c:v>
                </c:pt>
                <c:pt idx="12">
                  <c:v>19.895362566418925</c:v>
                </c:pt>
              </c:numCache>
            </c:numRef>
          </c:xVal>
          <c:yVal>
            <c:numRef>
              <c:f>Ter_7!$B$12:$B$24</c:f>
              <c:numCache>
                <c:formatCode>0.0000</c:formatCode>
                <c:ptCount val="13"/>
                <c:pt idx="0">
                  <c:v>9.9009900990099009</c:v>
                </c:pt>
                <c:pt idx="1">
                  <c:v>6.2111801242236027</c:v>
                </c:pt>
                <c:pt idx="2">
                  <c:v>3.3444816053511706</c:v>
                </c:pt>
                <c:pt idx="3">
                  <c:v>1.7543859649122808</c:v>
                </c:pt>
                <c:pt idx="4">
                  <c:v>1.0989010989010988</c:v>
                </c:pt>
                <c:pt idx="5">
                  <c:v>0.78125</c:v>
                </c:pt>
                <c:pt idx="6">
                  <c:v>0.66225165562913912</c:v>
                </c:pt>
                <c:pt idx="7">
                  <c:v>0.6097560975609756</c:v>
                </c:pt>
                <c:pt idx="8">
                  <c:v>0.56818181818181823</c:v>
                </c:pt>
                <c:pt idx="9">
                  <c:v>0.5617977528089888</c:v>
                </c:pt>
                <c:pt idx="10">
                  <c:v>0.54347826086956519</c:v>
                </c:pt>
                <c:pt idx="11">
                  <c:v>0.52910052910052918</c:v>
                </c:pt>
                <c:pt idx="12">
                  <c:v>0.51546391752577325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F-4543-8338-FF2419EBD34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Ter_7!$G$18:$G$24</c:f>
              <c:numCache>
                <c:formatCode>0.00</c:formatCode>
                <c:ptCount val="7"/>
                <c:pt idx="0">
                  <c:v>9.6617304713799399</c:v>
                </c:pt>
                <c:pt idx="1">
                  <c:v>12.249545483918538</c:v>
                </c:pt>
                <c:pt idx="2">
                  <c:v>14.131592765764793</c:v>
                </c:pt>
                <c:pt idx="3">
                  <c:v>15.543128227149467</c:v>
                </c:pt>
                <c:pt idx="4">
                  <c:v>16.719407778303392</c:v>
                </c:pt>
                <c:pt idx="5">
                  <c:v>18.483827105034237</c:v>
                </c:pt>
                <c:pt idx="6">
                  <c:v>19.895362566418925</c:v>
                </c:pt>
              </c:numCache>
            </c:numRef>
          </c:xVal>
          <c:yVal>
            <c:numRef>
              <c:f>Ter_7!$B$18:$B$24</c:f>
              <c:numCache>
                <c:formatCode>0.0000</c:formatCode>
                <c:ptCount val="7"/>
                <c:pt idx="0">
                  <c:v>0.66225165562913912</c:v>
                </c:pt>
                <c:pt idx="1">
                  <c:v>0.6097560975609756</c:v>
                </c:pt>
                <c:pt idx="2">
                  <c:v>0.56818181818181823</c:v>
                </c:pt>
                <c:pt idx="3">
                  <c:v>0.5617977528089888</c:v>
                </c:pt>
                <c:pt idx="4">
                  <c:v>0.54347826086956519</c:v>
                </c:pt>
                <c:pt idx="5">
                  <c:v>0.52910052910052918</c:v>
                </c:pt>
                <c:pt idx="6">
                  <c:v>0.51546391752577325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AF-4543-8338-FF2419EBD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17535"/>
        <c:axId val="1"/>
      </c:scatterChart>
      <c:valAx>
        <c:axId val="37741753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6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4175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9272072045587061E-2"/>
                  <c:y val="9.188890976480435E-2"/>
                </c:manualLayout>
              </c:layout>
              <c:numFmt formatCode="General" sourceLinked="0"/>
            </c:trendlineLbl>
          </c:trendline>
          <c:xVal>
            <c:numRef>
              <c:f>Ter_7!$D$12:$D$18</c:f>
              <c:numCache>
                <c:formatCode>0.0000</c:formatCode>
                <c:ptCount val="7"/>
                <c:pt idx="0">
                  <c:v>0.84699999999999998</c:v>
                </c:pt>
                <c:pt idx="1">
                  <c:v>0.83899999999999997</c:v>
                </c:pt>
                <c:pt idx="2">
                  <c:v>0.83200000000000007</c:v>
                </c:pt>
                <c:pt idx="3">
                  <c:v>0.82099999999999995</c:v>
                </c:pt>
                <c:pt idx="4">
                  <c:v>0.80600000000000005</c:v>
                </c:pt>
                <c:pt idx="5">
                  <c:v>0.78499999999999992</c:v>
                </c:pt>
                <c:pt idx="6">
                  <c:v>0.76800000000000002</c:v>
                </c:pt>
              </c:numCache>
            </c:numRef>
          </c:xVal>
          <c:yVal>
            <c:numRef>
              <c:f>Ter_7!$A$12:$A$18</c:f>
              <c:numCache>
                <c:formatCode>General</c:formatCode>
                <c:ptCount val="7"/>
                <c:pt idx="0">
                  <c:v>-0.10100000000000001</c:v>
                </c:pt>
                <c:pt idx="1">
                  <c:v>-0.161</c:v>
                </c:pt>
                <c:pt idx="2">
                  <c:v>-0.29899999999999999</c:v>
                </c:pt>
                <c:pt idx="3">
                  <c:v>-0.56999999999999995</c:v>
                </c:pt>
                <c:pt idx="4">
                  <c:v>-0.91</c:v>
                </c:pt>
                <c:pt idx="5">
                  <c:v>-1.28</c:v>
                </c:pt>
                <c:pt idx="6">
                  <c:v>-1.51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A-42F7-B772-7F3C490DAD3D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Ter_7!$D$18:$D$24</c:f>
              <c:numCache>
                <c:formatCode>0.0000</c:formatCode>
                <c:ptCount val="7"/>
                <c:pt idx="0">
                  <c:v>0.76800000000000002</c:v>
                </c:pt>
                <c:pt idx="1">
                  <c:v>0.746</c:v>
                </c:pt>
                <c:pt idx="2">
                  <c:v>0.73</c:v>
                </c:pt>
                <c:pt idx="3">
                  <c:v>0.71799999999999997</c:v>
                </c:pt>
                <c:pt idx="4">
                  <c:v>0.70799999999999996</c:v>
                </c:pt>
                <c:pt idx="5">
                  <c:v>0.69300000000000006</c:v>
                </c:pt>
                <c:pt idx="6">
                  <c:v>0.68100000000000005</c:v>
                </c:pt>
              </c:numCache>
            </c:numRef>
          </c:xVal>
          <c:yVal>
            <c:numRef>
              <c:f>Ter_7!$A$18:$A$24</c:f>
              <c:numCache>
                <c:formatCode>General</c:formatCode>
                <c:ptCount val="7"/>
                <c:pt idx="0">
                  <c:v>-1.51</c:v>
                </c:pt>
                <c:pt idx="1">
                  <c:v>-1.64</c:v>
                </c:pt>
                <c:pt idx="2">
                  <c:v>-1.76</c:v>
                </c:pt>
                <c:pt idx="3">
                  <c:v>-1.78</c:v>
                </c:pt>
                <c:pt idx="4">
                  <c:v>-1.84</c:v>
                </c:pt>
                <c:pt idx="5">
                  <c:v>-1.89</c:v>
                </c:pt>
                <c:pt idx="6">
                  <c:v>-1.94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2A-42F7-B772-7F3C490DA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30847"/>
        <c:axId val="1"/>
      </c:scatterChart>
      <c:valAx>
        <c:axId val="377430847"/>
        <c:scaling>
          <c:orientation val="minMax"/>
          <c:max val="0.9"/>
          <c:min val="0.60000000000000009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50130664252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289989239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4308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3387071678"/>
          <c:y val="6.54209962415605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Ter_9!$G$15:$G$24</c:f>
              <c:numCache>
                <c:formatCode>0.00</c:formatCode>
                <c:ptCount val="10"/>
                <c:pt idx="0">
                  <c:v>-0.22216431756569932</c:v>
                </c:pt>
                <c:pt idx="1">
                  <c:v>0.8791781474624969</c:v>
                </c:pt>
                <c:pt idx="2">
                  <c:v>1.9805206124906931</c:v>
                </c:pt>
                <c:pt idx="3">
                  <c:v>4.1832055425470855</c:v>
                </c:pt>
                <c:pt idx="4">
                  <c:v>7.2118973213745932</c:v>
                </c:pt>
                <c:pt idx="5">
                  <c:v>10.37825690833067</c:v>
                </c:pt>
                <c:pt idx="6">
                  <c:v>12.993945262772627</c:v>
                </c:pt>
                <c:pt idx="7">
                  <c:v>14.370623344057861</c:v>
                </c:pt>
                <c:pt idx="8">
                  <c:v>16.022637041600149</c:v>
                </c:pt>
                <c:pt idx="9">
                  <c:v>17.123979506628345</c:v>
                </c:pt>
              </c:numCache>
            </c:numRef>
          </c:xVal>
          <c:yVal>
            <c:numRef>
              <c:f>Ter_9!$B$15:$B$24</c:f>
              <c:numCache>
                <c:formatCode>0.0000</c:formatCode>
                <c:ptCount val="10"/>
                <c:pt idx="0">
                  <c:v>12.658227848101266</c:v>
                </c:pt>
                <c:pt idx="1">
                  <c:v>7.4074074074074066</c:v>
                </c:pt>
                <c:pt idx="2">
                  <c:v>4.4444444444444446</c:v>
                </c:pt>
                <c:pt idx="3">
                  <c:v>1.5625</c:v>
                </c:pt>
                <c:pt idx="4">
                  <c:v>0.78926598263614844</c:v>
                </c:pt>
                <c:pt idx="5">
                  <c:v>0.58139534883720934</c:v>
                </c:pt>
                <c:pt idx="6">
                  <c:v>0.5376344086021505</c:v>
                </c:pt>
                <c:pt idx="7">
                  <c:v>0.52083333333333337</c:v>
                </c:pt>
                <c:pt idx="8">
                  <c:v>0.50505050505050508</c:v>
                </c:pt>
                <c:pt idx="9">
                  <c:v>0.50251256281407031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D-40FA-8001-F9FAE5B41C8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Ter_9!$G$20:$G$25</c:f>
              <c:numCache>
                <c:formatCode>0.00</c:formatCode>
                <c:ptCount val="6"/>
                <c:pt idx="0">
                  <c:v>10.37825690833067</c:v>
                </c:pt>
                <c:pt idx="1">
                  <c:v>12.993945262772627</c:v>
                </c:pt>
                <c:pt idx="2">
                  <c:v>14.370623344057861</c:v>
                </c:pt>
                <c:pt idx="3">
                  <c:v>16.022637041600149</c:v>
                </c:pt>
                <c:pt idx="4">
                  <c:v>17.123979506628345</c:v>
                </c:pt>
                <c:pt idx="5">
                  <c:v>19.188996628556225</c:v>
                </c:pt>
              </c:numCache>
            </c:numRef>
          </c:xVal>
          <c:yVal>
            <c:numRef>
              <c:f>Ter_9!$B$20:$B$25</c:f>
              <c:numCache>
                <c:formatCode>0.0000</c:formatCode>
                <c:ptCount val="6"/>
                <c:pt idx="0">
                  <c:v>0.58139534883720934</c:v>
                </c:pt>
                <c:pt idx="1">
                  <c:v>0.5376344086021505</c:v>
                </c:pt>
                <c:pt idx="2">
                  <c:v>0.52083333333333337</c:v>
                </c:pt>
                <c:pt idx="3">
                  <c:v>0.50505050505050508</c:v>
                </c:pt>
                <c:pt idx="4">
                  <c:v>0.50251256281407031</c:v>
                </c:pt>
                <c:pt idx="5">
                  <c:v>0.49677098857426727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0D-40FA-8001-F9FAE5B41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17535"/>
        <c:axId val="1"/>
      </c:scatterChart>
      <c:valAx>
        <c:axId val="37741753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29308144779"/>
              <c:y val="0.89719902722742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4175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0.11035777807176141"/>
                  <c:y val="8.9441645173962803E-2"/>
                </c:manualLayout>
              </c:layout>
              <c:numFmt formatCode="General" sourceLinked="0"/>
            </c:trendlineLbl>
          </c:trendline>
          <c:xVal>
            <c:numRef>
              <c:f>Ter_9!$D$15:$D$20</c:f>
              <c:numCache>
                <c:formatCode>0.0000</c:formatCode>
                <c:ptCount val="6"/>
                <c:pt idx="0">
                  <c:v>0.72799999999999998</c:v>
                </c:pt>
                <c:pt idx="1">
                  <c:v>0.72</c:v>
                </c:pt>
                <c:pt idx="2">
                  <c:v>0.71199999999999997</c:v>
                </c:pt>
                <c:pt idx="3">
                  <c:v>0.69599999999999995</c:v>
                </c:pt>
                <c:pt idx="4">
                  <c:v>0.67400000000000015</c:v>
                </c:pt>
                <c:pt idx="5">
                  <c:v>0.65100000000000002</c:v>
                </c:pt>
              </c:numCache>
            </c:numRef>
          </c:xVal>
          <c:yVal>
            <c:numRef>
              <c:f>Ter_9!$A$15:$A$20</c:f>
              <c:numCache>
                <c:formatCode>General</c:formatCode>
                <c:ptCount val="6"/>
                <c:pt idx="0">
                  <c:v>-7.9000000000000001E-2</c:v>
                </c:pt>
                <c:pt idx="1">
                  <c:v>-0.13500000000000001</c:v>
                </c:pt>
                <c:pt idx="2">
                  <c:v>-0.22500000000000001</c:v>
                </c:pt>
                <c:pt idx="3">
                  <c:v>-0.64</c:v>
                </c:pt>
                <c:pt idx="4">
                  <c:v>-1.2669999999999999</c:v>
                </c:pt>
                <c:pt idx="5">
                  <c:v>-1.72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C-414A-B0D8-85C96CA702C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Ter_9!$D$20:$D$25</c:f>
              <c:numCache>
                <c:formatCode>0.0000</c:formatCode>
                <c:ptCount val="6"/>
                <c:pt idx="0">
                  <c:v>0.65100000000000002</c:v>
                </c:pt>
                <c:pt idx="1">
                  <c:v>0.63200000000000012</c:v>
                </c:pt>
                <c:pt idx="2">
                  <c:v>0.62200000000000011</c:v>
                </c:pt>
                <c:pt idx="3">
                  <c:v>0.6100000000000001</c:v>
                </c:pt>
                <c:pt idx="4">
                  <c:v>0.60200000000000009</c:v>
                </c:pt>
                <c:pt idx="5">
                  <c:v>0.58699999999999997</c:v>
                </c:pt>
              </c:numCache>
            </c:numRef>
          </c:xVal>
          <c:yVal>
            <c:numRef>
              <c:f>Ter_9!$A$20:$A$25</c:f>
              <c:numCache>
                <c:formatCode>General</c:formatCode>
                <c:ptCount val="6"/>
                <c:pt idx="0">
                  <c:v>-1.72</c:v>
                </c:pt>
                <c:pt idx="1">
                  <c:v>-1.86</c:v>
                </c:pt>
                <c:pt idx="2">
                  <c:v>-1.92</c:v>
                </c:pt>
                <c:pt idx="3">
                  <c:v>-1.98</c:v>
                </c:pt>
                <c:pt idx="4">
                  <c:v>-1.99</c:v>
                </c:pt>
                <c:pt idx="5">
                  <c:v>-2.0129999999999999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AC-414A-B0D8-85C96CA70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30847"/>
        <c:axId val="1"/>
      </c:scatterChart>
      <c:valAx>
        <c:axId val="377430847"/>
        <c:scaling>
          <c:orientation val="minMax"/>
          <c:min val="0.55000000000000004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9291577914"/>
              <c:y val="3.395050130664252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1091113617"/>
              <c:y val="0.3086426289989239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4308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Sid_4!$D$14:$D$21</c:f>
              <c:numCache>
                <c:formatCode>0.0000</c:formatCode>
                <c:ptCount val="8"/>
                <c:pt idx="0">
                  <c:v>0.41499999999999998</c:v>
                </c:pt>
                <c:pt idx="1">
                  <c:v>0.41099999999999998</c:v>
                </c:pt>
                <c:pt idx="2">
                  <c:v>0.40699999999999997</c:v>
                </c:pt>
                <c:pt idx="3">
                  <c:v>0.40099999999999997</c:v>
                </c:pt>
                <c:pt idx="4">
                  <c:v>0.39100000000000007</c:v>
                </c:pt>
                <c:pt idx="5">
                  <c:v>0.38100000000000006</c:v>
                </c:pt>
                <c:pt idx="6">
                  <c:v>0.37100000000000005</c:v>
                </c:pt>
                <c:pt idx="7">
                  <c:v>0.36200000000000004</c:v>
                </c:pt>
              </c:numCache>
            </c:numRef>
          </c:xVal>
          <c:yVal>
            <c:numRef>
              <c:f>Sid_4!$A$14:$A$21</c:f>
              <c:numCache>
                <c:formatCode>0.000</c:formatCode>
                <c:ptCount val="8"/>
                <c:pt idx="0">
                  <c:v>-0.13900000000000001</c:v>
                </c:pt>
                <c:pt idx="1">
                  <c:v>-0.29699999999999999</c:v>
                </c:pt>
                <c:pt idx="2">
                  <c:v>-0.55400000000000005</c:v>
                </c:pt>
                <c:pt idx="3">
                  <c:v>-0.92400000000000004</c:v>
                </c:pt>
                <c:pt idx="4">
                  <c:v>-1.72</c:v>
                </c:pt>
                <c:pt idx="5">
                  <c:v>-2.37</c:v>
                </c:pt>
                <c:pt idx="6">
                  <c:v>-2.89</c:v>
                </c:pt>
                <c:pt idx="7">
                  <c:v>-3.19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0-4E2B-B14D-A784E0DC953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Sid_4!$D$21:$D$27</c:f>
              <c:numCache>
                <c:formatCode>0.0000</c:formatCode>
                <c:ptCount val="7"/>
                <c:pt idx="0">
                  <c:v>0.36200000000000004</c:v>
                </c:pt>
                <c:pt idx="1">
                  <c:v>0.35300000000000004</c:v>
                </c:pt>
                <c:pt idx="2">
                  <c:v>0.34400000000000003</c:v>
                </c:pt>
                <c:pt idx="3">
                  <c:v>0.33500000000000002</c:v>
                </c:pt>
                <c:pt idx="4">
                  <c:v>0.32400000000000001</c:v>
                </c:pt>
                <c:pt idx="5">
                  <c:v>0.29299999999999998</c:v>
                </c:pt>
                <c:pt idx="6">
                  <c:v>0.23700000000000004</c:v>
                </c:pt>
              </c:numCache>
            </c:numRef>
          </c:xVal>
          <c:yVal>
            <c:numRef>
              <c:f>Sid_4!$A$21:$A$27</c:f>
              <c:numCache>
                <c:formatCode>0.000</c:formatCode>
                <c:ptCount val="7"/>
                <c:pt idx="0">
                  <c:v>-3.19</c:v>
                </c:pt>
                <c:pt idx="1">
                  <c:v>-3.4</c:v>
                </c:pt>
                <c:pt idx="2">
                  <c:v>-3.56</c:v>
                </c:pt>
                <c:pt idx="3">
                  <c:v>-3.74</c:v>
                </c:pt>
                <c:pt idx="4">
                  <c:v>-4.0199999999999996</c:v>
                </c:pt>
                <c:pt idx="5">
                  <c:v>-4.5199999999999996</c:v>
                </c:pt>
                <c:pt idx="6">
                  <c:v>-5.84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0-4E2B-B14D-A784E0DC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4511"/>
        <c:axId val="1"/>
      </c:scatterChart>
      <c:valAx>
        <c:axId val="131844511"/>
        <c:scaling>
          <c:orientation val="minMax"/>
          <c:min val="0.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6425333196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669666291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4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6253626188"/>
          <c:y val="6.54209050049001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Sid_4!$G$14:$G$21</c:f>
              <c:numCache>
                <c:formatCode>0.00</c:formatCode>
                <c:ptCount val="8"/>
                <c:pt idx="0">
                  <c:v>0.44515000938790195</c:v>
                </c:pt>
                <c:pt idx="1">
                  <c:v>1.4047148285745408</c:v>
                </c:pt>
                <c:pt idx="2">
                  <c:v>2.3642796477611512</c:v>
                </c:pt>
                <c:pt idx="3">
                  <c:v>3.8036268765410881</c:v>
                </c:pt>
                <c:pt idx="4">
                  <c:v>6.2025389245076212</c:v>
                </c:pt>
                <c:pt idx="5">
                  <c:v>8.6014509724741828</c:v>
                </c:pt>
                <c:pt idx="6">
                  <c:v>11.000363020440744</c:v>
                </c:pt>
                <c:pt idx="7">
                  <c:v>13.159383863610643</c:v>
                </c:pt>
              </c:numCache>
            </c:numRef>
          </c:xVal>
          <c:yVal>
            <c:numRef>
              <c:f>Sid_4!$B$14:$B$21</c:f>
              <c:numCache>
                <c:formatCode>0.0000</c:formatCode>
                <c:ptCount val="8"/>
                <c:pt idx="0">
                  <c:v>7.1942446043165464</c:v>
                </c:pt>
                <c:pt idx="1">
                  <c:v>3.3670033670033672</c:v>
                </c:pt>
                <c:pt idx="2">
                  <c:v>1.8050541516245486</c:v>
                </c:pt>
                <c:pt idx="3">
                  <c:v>1.0822510822510822</c:v>
                </c:pt>
                <c:pt idx="4">
                  <c:v>0.58139534883720934</c:v>
                </c:pt>
                <c:pt idx="5">
                  <c:v>0.42194092827004215</c:v>
                </c:pt>
                <c:pt idx="6">
                  <c:v>0.34602076124567471</c:v>
                </c:pt>
                <c:pt idx="7">
                  <c:v>0.31347962382445144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22-4BE2-A6CD-224A3E31CFD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Sid_4!$G$21:$G$27</c:f>
              <c:numCache>
                <c:formatCode>0.00</c:formatCode>
                <c:ptCount val="7"/>
                <c:pt idx="0">
                  <c:v>13.159383863610643</c:v>
                </c:pt>
                <c:pt idx="1">
                  <c:v>15.318404706780541</c:v>
                </c:pt>
                <c:pt idx="2">
                  <c:v>17.477425549950453</c:v>
                </c:pt>
                <c:pt idx="3">
                  <c:v>19.636446393120352</c:v>
                </c:pt>
                <c:pt idx="4">
                  <c:v>22.275249645883562</c:v>
                </c:pt>
                <c:pt idx="5">
                  <c:v>29.711876994579896</c:v>
                </c:pt>
                <c:pt idx="6">
                  <c:v>43.145784463192605</c:v>
                </c:pt>
              </c:numCache>
            </c:numRef>
          </c:xVal>
          <c:yVal>
            <c:numRef>
              <c:f>Sid_4!$B$21:$B$27</c:f>
              <c:numCache>
                <c:formatCode>0.0000</c:formatCode>
                <c:ptCount val="7"/>
                <c:pt idx="0">
                  <c:v>0.31347962382445144</c:v>
                </c:pt>
                <c:pt idx="1">
                  <c:v>0.29411764705882354</c:v>
                </c:pt>
                <c:pt idx="2">
                  <c:v>0.2808988764044944</c:v>
                </c:pt>
                <c:pt idx="3">
                  <c:v>0.26737967914438499</c:v>
                </c:pt>
                <c:pt idx="4">
                  <c:v>0.24875621890547267</c:v>
                </c:pt>
                <c:pt idx="5">
                  <c:v>0.22123893805309736</c:v>
                </c:pt>
                <c:pt idx="6">
                  <c:v>0.17123287671232876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2-4BE2-A6CD-224A3E31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6159"/>
        <c:axId val="1"/>
      </c:scatterChart>
      <c:valAx>
        <c:axId val="131856159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3692498964"/>
              <c:y val="0.897199148389713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61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Sid_7!$D$14:$D$23</c:f>
              <c:numCache>
                <c:formatCode>0.0000</c:formatCode>
                <c:ptCount val="10"/>
                <c:pt idx="0">
                  <c:v>0.29199999999999998</c:v>
                </c:pt>
                <c:pt idx="1">
                  <c:v>0.29099999999999998</c:v>
                </c:pt>
                <c:pt idx="2">
                  <c:v>0.28899999999999998</c:v>
                </c:pt>
                <c:pt idx="3">
                  <c:v>0.28699999999999998</c:v>
                </c:pt>
                <c:pt idx="4">
                  <c:v>0.28399999999999997</c:v>
                </c:pt>
                <c:pt idx="5">
                  <c:v>0.28099999999999997</c:v>
                </c:pt>
                <c:pt idx="6">
                  <c:v>0.27699999999999997</c:v>
                </c:pt>
                <c:pt idx="7">
                  <c:v>0.27199999999999996</c:v>
                </c:pt>
                <c:pt idx="8">
                  <c:v>0.26600000000000007</c:v>
                </c:pt>
                <c:pt idx="9">
                  <c:v>0.26100000000000007</c:v>
                </c:pt>
              </c:numCache>
            </c:numRef>
          </c:xVal>
          <c:yVal>
            <c:numRef>
              <c:f>Sid_7!$A$14:$A$23</c:f>
              <c:numCache>
                <c:formatCode>0.000</c:formatCode>
                <c:ptCount val="10"/>
                <c:pt idx="0">
                  <c:v>-0.247</c:v>
                </c:pt>
                <c:pt idx="1">
                  <c:v>-0.33400000000000002</c:v>
                </c:pt>
                <c:pt idx="2">
                  <c:v>-0.50900000000000001</c:v>
                </c:pt>
                <c:pt idx="3">
                  <c:v>-0.749</c:v>
                </c:pt>
                <c:pt idx="4">
                  <c:v>-1.1100000000000001</c:v>
                </c:pt>
                <c:pt idx="5">
                  <c:v>-1.57</c:v>
                </c:pt>
                <c:pt idx="6">
                  <c:v>-2.12</c:v>
                </c:pt>
                <c:pt idx="7">
                  <c:v>-2.4500000000000002</c:v>
                </c:pt>
                <c:pt idx="8">
                  <c:v>-2.91</c:v>
                </c:pt>
                <c:pt idx="9">
                  <c:v>-3.18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7-400B-A9BF-64D7A066A9A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Sid_7!$D$23:$D$28</c:f>
              <c:numCache>
                <c:formatCode>0.0000</c:formatCode>
                <c:ptCount val="6"/>
                <c:pt idx="0">
                  <c:v>0.26100000000000007</c:v>
                </c:pt>
                <c:pt idx="1">
                  <c:v>0.25100000000000006</c:v>
                </c:pt>
                <c:pt idx="2">
                  <c:v>0.23900000000000005</c:v>
                </c:pt>
                <c:pt idx="3">
                  <c:v>0.22400000000000003</c:v>
                </c:pt>
                <c:pt idx="4">
                  <c:v>0.21000000000000002</c:v>
                </c:pt>
                <c:pt idx="5">
                  <c:v>0.193</c:v>
                </c:pt>
              </c:numCache>
            </c:numRef>
          </c:xVal>
          <c:yVal>
            <c:numRef>
              <c:f>Sid_7!$A$23:$A$28</c:f>
              <c:numCache>
                <c:formatCode>0.000</c:formatCode>
                <c:ptCount val="6"/>
                <c:pt idx="0">
                  <c:v>-3.18</c:v>
                </c:pt>
                <c:pt idx="1">
                  <c:v>-3.5</c:v>
                </c:pt>
                <c:pt idx="2">
                  <c:v>-3.81</c:v>
                </c:pt>
                <c:pt idx="3">
                  <c:v>-4.2</c:v>
                </c:pt>
                <c:pt idx="4">
                  <c:v>-4.5</c:v>
                </c:pt>
                <c:pt idx="5">
                  <c:v>-4.9000000000000004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F7-400B-A9BF-64D7A066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6575"/>
        <c:axId val="1"/>
      </c:scatterChart>
      <c:valAx>
        <c:axId val="131856575"/>
        <c:scaling>
          <c:orientation val="minMax"/>
          <c:min val="0.1500000000000000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195257896136"/>
              <c:y val="3.395064443760172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8372998319"/>
              <c:y val="0.308642502089473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565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1745082217"/>
          <c:y val="6.54209914101646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Sid_7!$G$14:$G$28</c:f>
              <c:numCache>
                <c:formatCode>0.00</c:formatCode>
                <c:ptCount val="15"/>
                <c:pt idx="0">
                  <c:v>1.0036353508936173</c:v>
                </c:pt>
                <c:pt idx="1">
                  <c:v>1.3426639969522114</c:v>
                </c:pt>
                <c:pt idx="2">
                  <c:v>2.0207212890693711</c:v>
                </c:pt>
                <c:pt idx="3">
                  <c:v>2.698778581186545</c:v>
                </c:pt>
                <c:pt idx="4">
                  <c:v>3.7158645193622846</c:v>
                </c:pt>
                <c:pt idx="5">
                  <c:v>4.7329504575380383</c:v>
                </c:pt>
                <c:pt idx="6">
                  <c:v>6.0890650417723862</c:v>
                </c:pt>
                <c:pt idx="7">
                  <c:v>7.7842082720652996</c:v>
                </c:pt>
                <c:pt idx="8">
                  <c:v>9.8183801484167645</c:v>
                </c:pt>
                <c:pt idx="9">
                  <c:v>11.513523378709678</c:v>
                </c:pt>
                <c:pt idx="10">
                  <c:v>14.903809839295519</c:v>
                </c:pt>
                <c:pt idx="11">
                  <c:v>18.972153591998534</c:v>
                </c:pt>
                <c:pt idx="12">
                  <c:v>24.057583282877289</c:v>
                </c:pt>
                <c:pt idx="13">
                  <c:v>28.803984327697449</c:v>
                </c:pt>
                <c:pt idx="14">
                  <c:v>34.567471310693378</c:v>
                </c:pt>
              </c:numCache>
            </c:numRef>
          </c:xVal>
          <c:yVal>
            <c:numRef>
              <c:f>Sid_7!$B$14:$B$28</c:f>
              <c:numCache>
                <c:formatCode>0.0000</c:formatCode>
                <c:ptCount val="15"/>
                <c:pt idx="0">
                  <c:v>4.048582995951417</c:v>
                </c:pt>
                <c:pt idx="1">
                  <c:v>2.9940119760479038</c:v>
                </c:pt>
                <c:pt idx="2">
                  <c:v>1.9646365422396856</c:v>
                </c:pt>
                <c:pt idx="3">
                  <c:v>1.3351134846461949</c:v>
                </c:pt>
                <c:pt idx="4">
                  <c:v>0.9009009009009008</c:v>
                </c:pt>
                <c:pt idx="5">
                  <c:v>0.63694267515923564</c:v>
                </c:pt>
                <c:pt idx="6">
                  <c:v>0.47169811320754712</c:v>
                </c:pt>
                <c:pt idx="7">
                  <c:v>0.4081632653061224</c:v>
                </c:pt>
                <c:pt idx="8">
                  <c:v>0.3436426116838488</c:v>
                </c:pt>
                <c:pt idx="9">
                  <c:v>0.31446540880503143</c:v>
                </c:pt>
                <c:pt idx="10">
                  <c:v>0.2857142857142857</c:v>
                </c:pt>
                <c:pt idx="11">
                  <c:v>0.26246719160104987</c:v>
                </c:pt>
                <c:pt idx="12">
                  <c:v>0.23809523809523808</c:v>
                </c:pt>
                <c:pt idx="13">
                  <c:v>0.22222222222222221</c:v>
                </c:pt>
                <c:pt idx="14">
                  <c:v>0.2040816326530612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5-4A7B-8FE9-DFF46FE444C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Sid_7!$G$23:$G$28</c:f>
              <c:numCache>
                <c:formatCode>0.00</c:formatCode>
                <c:ptCount val="6"/>
                <c:pt idx="0">
                  <c:v>11.513523378709678</c:v>
                </c:pt>
                <c:pt idx="1">
                  <c:v>14.903809839295519</c:v>
                </c:pt>
                <c:pt idx="2">
                  <c:v>18.972153591998534</c:v>
                </c:pt>
                <c:pt idx="3">
                  <c:v>24.057583282877289</c:v>
                </c:pt>
                <c:pt idx="4">
                  <c:v>28.803984327697449</c:v>
                </c:pt>
                <c:pt idx="5">
                  <c:v>34.567471310693378</c:v>
                </c:pt>
              </c:numCache>
            </c:numRef>
          </c:xVal>
          <c:yVal>
            <c:numRef>
              <c:f>Sid_7!$B$23:$B$28</c:f>
              <c:numCache>
                <c:formatCode>0.0000</c:formatCode>
                <c:ptCount val="6"/>
                <c:pt idx="0">
                  <c:v>0.31446540880503143</c:v>
                </c:pt>
                <c:pt idx="1">
                  <c:v>0.2857142857142857</c:v>
                </c:pt>
                <c:pt idx="2">
                  <c:v>0.26246719160104987</c:v>
                </c:pt>
                <c:pt idx="3">
                  <c:v>0.23809523809523808</c:v>
                </c:pt>
                <c:pt idx="4">
                  <c:v>0.22222222222222221</c:v>
                </c:pt>
                <c:pt idx="5">
                  <c:v>0.2040816326530612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5-4A7B-8FE9-DFF46FE44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6175"/>
        <c:axId val="1"/>
      </c:scatterChart>
      <c:valAx>
        <c:axId val="131846175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58671155502"/>
              <c:y val="0.897198908375089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6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Sid_9!$D$9:$D$16</c:f>
              <c:numCache>
                <c:formatCode>0.0000</c:formatCode>
                <c:ptCount val="8"/>
                <c:pt idx="0">
                  <c:v>0.68400000000000005</c:v>
                </c:pt>
                <c:pt idx="1">
                  <c:v>0.68099999999999994</c:v>
                </c:pt>
                <c:pt idx="2">
                  <c:v>0.67800000000000005</c:v>
                </c:pt>
                <c:pt idx="3">
                  <c:v>0.67400000000000004</c:v>
                </c:pt>
                <c:pt idx="4">
                  <c:v>0.67</c:v>
                </c:pt>
                <c:pt idx="5">
                  <c:v>0.65400000000000003</c:v>
                </c:pt>
                <c:pt idx="6">
                  <c:v>0.63400000000000001</c:v>
                </c:pt>
                <c:pt idx="7">
                  <c:v>0.61199999999999999</c:v>
                </c:pt>
              </c:numCache>
            </c:numRef>
          </c:xVal>
          <c:yVal>
            <c:numRef>
              <c:f>Sid_9!$A$9:$A$16</c:f>
              <c:numCache>
                <c:formatCode>0.000</c:formatCode>
                <c:ptCount val="8"/>
                <c:pt idx="0">
                  <c:v>-7.3999999999999996E-2</c:v>
                </c:pt>
                <c:pt idx="1">
                  <c:v>-0.14499999999999999</c:v>
                </c:pt>
                <c:pt idx="2">
                  <c:v>-0.249</c:v>
                </c:pt>
                <c:pt idx="3">
                  <c:v>-0.36599999999999999</c:v>
                </c:pt>
                <c:pt idx="4">
                  <c:v>-0.57299999999999995</c:v>
                </c:pt>
                <c:pt idx="5">
                  <c:v>-1.34</c:v>
                </c:pt>
                <c:pt idx="6">
                  <c:v>-2.41</c:v>
                </c:pt>
                <c:pt idx="7">
                  <c:v>-2.96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C-4E69-B0DC-E111EF4BDA4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Sid_9!$D$16:$D$21</c:f>
              <c:numCache>
                <c:formatCode>0.0000</c:formatCode>
                <c:ptCount val="6"/>
                <c:pt idx="0">
                  <c:v>0.61199999999999999</c:v>
                </c:pt>
                <c:pt idx="1">
                  <c:v>0.57500000000000007</c:v>
                </c:pt>
                <c:pt idx="2">
                  <c:v>0.55700000000000005</c:v>
                </c:pt>
                <c:pt idx="3">
                  <c:v>0.53100000000000003</c:v>
                </c:pt>
                <c:pt idx="4">
                  <c:v>0.49399999999999988</c:v>
                </c:pt>
                <c:pt idx="5">
                  <c:v>0.44899999999999995</c:v>
                </c:pt>
              </c:numCache>
            </c:numRef>
          </c:xVal>
          <c:yVal>
            <c:numRef>
              <c:f>Sid_9!$A$16:$A$21</c:f>
              <c:numCache>
                <c:formatCode>0.000</c:formatCode>
                <c:ptCount val="6"/>
                <c:pt idx="0">
                  <c:v>-2.96</c:v>
                </c:pt>
                <c:pt idx="1">
                  <c:v>-3.47</c:v>
                </c:pt>
                <c:pt idx="2">
                  <c:v>-3.68</c:v>
                </c:pt>
                <c:pt idx="3">
                  <c:v>-4.04</c:v>
                </c:pt>
                <c:pt idx="4">
                  <c:v>-4.45</c:v>
                </c:pt>
                <c:pt idx="5">
                  <c:v>-5.0999999999999996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6C-4E69-B0DC-E111EF4BD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6591"/>
        <c:axId val="1"/>
      </c:scatterChart>
      <c:valAx>
        <c:axId val="131846591"/>
        <c:scaling>
          <c:orientation val="minMax"/>
          <c:min val="0.4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2779814469"/>
              <c:y val="3.3950552099354929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6537026998"/>
              <c:y val="0.308642593145244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6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8116847993"/>
          <c:y val="6.54209914101646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Sid_9!$G$9:$G$16</c:f>
              <c:numCache>
                <c:formatCode>0.00</c:formatCode>
                <c:ptCount val="8"/>
                <c:pt idx="0">
                  <c:v>5.1231740791962466E-2</c:v>
                </c:pt>
                <c:pt idx="1">
                  <c:v>0.48960353140255108</c:v>
                </c:pt>
                <c:pt idx="2">
                  <c:v>0.92797532201309707</c:v>
                </c:pt>
                <c:pt idx="3">
                  <c:v>1.5124710428271726</c:v>
                </c:pt>
                <c:pt idx="4">
                  <c:v>2.0969667636412623</c:v>
                </c:pt>
                <c:pt idx="5">
                  <c:v>4.4349496468975929</c:v>
                </c:pt>
                <c:pt idx="6">
                  <c:v>7.3574282509679989</c:v>
                </c:pt>
                <c:pt idx="7">
                  <c:v>10.572154715445464</c:v>
                </c:pt>
              </c:numCache>
            </c:numRef>
          </c:xVal>
          <c:yVal>
            <c:numRef>
              <c:f>Sid_9!$B$9:$B$16</c:f>
              <c:numCache>
                <c:formatCode>0.0000</c:formatCode>
                <c:ptCount val="8"/>
                <c:pt idx="0">
                  <c:v>13.513513513513514</c:v>
                </c:pt>
                <c:pt idx="1">
                  <c:v>6.8965517241379315</c:v>
                </c:pt>
                <c:pt idx="2">
                  <c:v>4.0160642570281126</c:v>
                </c:pt>
                <c:pt idx="3">
                  <c:v>2.7322404371584699</c:v>
                </c:pt>
                <c:pt idx="4">
                  <c:v>1.7452006980802794</c:v>
                </c:pt>
                <c:pt idx="5">
                  <c:v>0.74626865671641784</c:v>
                </c:pt>
                <c:pt idx="6">
                  <c:v>0.41493775933609955</c:v>
                </c:pt>
                <c:pt idx="7">
                  <c:v>0.33783783783783783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5-4603-8000-F4B830D619C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Sid_9!$G$16:$G$21</c:f>
              <c:numCache>
                <c:formatCode>0.00</c:formatCode>
                <c:ptCount val="6"/>
                <c:pt idx="0">
                  <c:v>10.572154715445464</c:v>
                </c:pt>
                <c:pt idx="1">
                  <c:v>15.978740132975702</c:v>
                </c:pt>
                <c:pt idx="2">
                  <c:v>18.608970876639077</c:v>
                </c:pt>
                <c:pt idx="3">
                  <c:v>22.408193061930604</c:v>
                </c:pt>
                <c:pt idx="4">
                  <c:v>27.814778479460884</c:v>
                </c:pt>
                <c:pt idx="5">
                  <c:v>34.390355338619301</c:v>
                </c:pt>
              </c:numCache>
            </c:numRef>
          </c:xVal>
          <c:yVal>
            <c:numRef>
              <c:f>Sid_9!$B$16:$B$21</c:f>
              <c:numCache>
                <c:formatCode>0.0000</c:formatCode>
                <c:ptCount val="6"/>
                <c:pt idx="0">
                  <c:v>0.33783783783783783</c:v>
                </c:pt>
                <c:pt idx="1">
                  <c:v>0.28818443804034583</c:v>
                </c:pt>
                <c:pt idx="2">
                  <c:v>0.27173913043478259</c:v>
                </c:pt>
                <c:pt idx="3">
                  <c:v>0.24752475247524752</c:v>
                </c:pt>
                <c:pt idx="4">
                  <c:v>0.2247191011235955</c:v>
                </c:pt>
                <c:pt idx="5">
                  <c:v>0.19607843137254904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D5-4603-8000-F4B830D61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18367"/>
        <c:axId val="1"/>
      </c:scatterChart>
      <c:valAx>
        <c:axId val="377418367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4783915369"/>
              <c:y val="0.897198908375089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74183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Sid_1!$D$11:$D$18</c:f>
              <c:numCache>
                <c:formatCode>0.0000</c:formatCode>
                <c:ptCount val="8"/>
                <c:pt idx="0">
                  <c:v>0.26400000000000001</c:v>
                </c:pt>
                <c:pt idx="1">
                  <c:v>0.26300000000000001</c:v>
                </c:pt>
                <c:pt idx="2">
                  <c:v>0.26200000000000001</c:v>
                </c:pt>
                <c:pt idx="3">
                  <c:v>0.26100000000000001</c:v>
                </c:pt>
                <c:pt idx="4">
                  <c:v>0.25800000000000001</c:v>
                </c:pt>
                <c:pt idx="5">
                  <c:v>0.255</c:v>
                </c:pt>
                <c:pt idx="6">
                  <c:v>0.25</c:v>
                </c:pt>
                <c:pt idx="7">
                  <c:v>0.24199999999999999</c:v>
                </c:pt>
              </c:numCache>
            </c:numRef>
          </c:xVal>
          <c:yVal>
            <c:numRef>
              <c:f>Sid_1!$A$11:$A$18</c:f>
              <c:numCache>
                <c:formatCode>General</c:formatCode>
                <c:ptCount val="8"/>
                <c:pt idx="0">
                  <c:v>-0.13800000000000001</c:v>
                </c:pt>
                <c:pt idx="1">
                  <c:v>-0.193</c:v>
                </c:pt>
                <c:pt idx="2">
                  <c:v>-0.23899999999999999</c:v>
                </c:pt>
                <c:pt idx="3">
                  <c:v>-0.36799999999999999</c:v>
                </c:pt>
                <c:pt idx="4">
                  <c:v>-0.64</c:v>
                </c:pt>
                <c:pt idx="5">
                  <c:v>-1.133</c:v>
                </c:pt>
                <c:pt idx="6">
                  <c:v>-1.865</c:v>
                </c:pt>
                <c:pt idx="7">
                  <c:v>-2.54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C-4F30-B03C-3FC09F06303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Sid_1!$D$18:$D$23</c:f>
              <c:numCache>
                <c:formatCode>0.0000</c:formatCode>
                <c:ptCount val="6"/>
                <c:pt idx="0">
                  <c:v>0.24199999999999999</c:v>
                </c:pt>
                <c:pt idx="1">
                  <c:v>0.23699999999999999</c:v>
                </c:pt>
                <c:pt idx="2">
                  <c:v>0.23299999999999998</c:v>
                </c:pt>
                <c:pt idx="3">
                  <c:v>0.22100000000000003</c:v>
                </c:pt>
                <c:pt idx="4">
                  <c:v>0.20100000000000001</c:v>
                </c:pt>
                <c:pt idx="5">
                  <c:v>0.19400000000000001</c:v>
                </c:pt>
              </c:numCache>
            </c:numRef>
          </c:xVal>
          <c:yVal>
            <c:numRef>
              <c:f>Sid_1!$A$18:$A$23</c:f>
              <c:numCache>
                <c:formatCode>General</c:formatCode>
                <c:ptCount val="6"/>
                <c:pt idx="0">
                  <c:v>-2.54</c:v>
                </c:pt>
                <c:pt idx="1">
                  <c:v>-2.72</c:v>
                </c:pt>
                <c:pt idx="2">
                  <c:v>-2.8919999999999999</c:v>
                </c:pt>
                <c:pt idx="3">
                  <c:v>-3.1819999999999999</c:v>
                </c:pt>
                <c:pt idx="4">
                  <c:v>-3.64</c:v>
                </c:pt>
                <c:pt idx="5">
                  <c:v>-3.82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4C-4F30-B03C-3FC09F063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4511"/>
        <c:axId val="1"/>
      </c:scatterChart>
      <c:valAx>
        <c:axId val="131844511"/>
        <c:scaling>
          <c:orientation val="minMax"/>
          <c:max val="0.30000000000000004"/>
          <c:min val="0.1500000000000000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6425333196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669666291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4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6253626188"/>
          <c:y val="6.54209050049001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Sid_1!$G$12:$G$23</c:f>
              <c:numCache>
                <c:formatCode>0.00</c:formatCode>
                <c:ptCount val="12"/>
                <c:pt idx="0">
                  <c:v>0.55868923048288366</c:v>
                </c:pt>
                <c:pt idx="1">
                  <c:v>0.93679307371297682</c:v>
                </c:pt>
                <c:pt idx="2">
                  <c:v>1.31489691694307</c:v>
                </c:pt>
                <c:pt idx="3">
                  <c:v>2.4492084466333921</c:v>
                </c:pt>
                <c:pt idx="4">
                  <c:v>3.5835199763237</c:v>
                </c:pt>
                <c:pt idx="5">
                  <c:v>5.4740391924742227</c:v>
                </c:pt>
                <c:pt idx="6">
                  <c:v>8.498869938315039</c:v>
                </c:pt>
                <c:pt idx="7">
                  <c:v>10.389389154465562</c:v>
                </c:pt>
                <c:pt idx="8">
                  <c:v>11.901804527385977</c:v>
                </c:pt>
                <c:pt idx="9">
                  <c:v>16.439050646147209</c:v>
                </c:pt>
                <c:pt idx="10">
                  <c:v>24.001127510749271</c:v>
                </c:pt>
                <c:pt idx="11">
                  <c:v>26.647854413359994</c:v>
                </c:pt>
              </c:numCache>
            </c:numRef>
          </c:xVal>
          <c:yVal>
            <c:numRef>
              <c:f>Sid_1!$B$12:$B$23</c:f>
              <c:numCache>
                <c:formatCode>0.0000</c:formatCode>
                <c:ptCount val="12"/>
                <c:pt idx="0">
                  <c:v>5.1813471502590671</c:v>
                </c:pt>
                <c:pt idx="1">
                  <c:v>4.1841004184100417</c:v>
                </c:pt>
                <c:pt idx="2">
                  <c:v>2.7173913043478262</c:v>
                </c:pt>
                <c:pt idx="3">
                  <c:v>1.5625</c:v>
                </c:pt>
                <c:pt idx="4">
                  <c:v>0.88261253309796994</c:v>
                </c:pt>
                <c:pt idx="5">
                  <c:v>0.53619302949061665</c:v>
                </c:pt>
                <c:pt idx="6">
                  <c:v>0.39370078740157477</c:v>
                </c:pt>
                <c:pt idx="7">
                  <c:v>0.36764705882352938</c:v>
                </c:pt>
                <c:pt idx="8">
                  <c:v>0.34578146611341631</c:v>
                </c:pt>
                <c:pt idx="9">
                  <c:v>0.31426775612822128</c:v>
                </c:pt>
                <c:pt idx="10">
                  <c:v>0.27472527472527469</c:v>
                </c:pt>
                <c:pt idx="11">
                  <c:v>0.26178010471204188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C-4589-AB99-8673D7A1975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Sid_1!$G$18:$G$23</c:f>
              <c:numCache>
                <c:formatCode>0.00</c:formatCode>
                <c:ptCount val="6"/>
                <c:pt idx="0">
                  <c:v>8.498869938315039</c:v>
                </c:pt>
                <c:pt idx="1">
                  <c:v>10.389389154465562</c:v>
                </c:pt>
                <c:pt idx="2">
                  <c:v>11.901804527385977</c:v>
                </c:pt>
                <c:pt idx="3">
                  <c:v>16.439050646147209</c:v>
                </c:pt>
                <c:pt idx="4">
                  <c:v>24.001127510749271</c:v>
                </c:pt>
                <c:pt idx="5">
                  <c:v>26.647854413359994</c:v>
                </c:pt>
              </c:numCache>
            </c:numRef>
          </c:xVal>
          <c:yVal>
            <c:numRef>
              <c:f>Sid_1!$B$18:$B$23</c:f>
              <c:numCache>
                <c:formatCode>0.0000</c:formatCode>
                <c:ptCount val="6"/>
                <c:pt idx="0">
                  <c:v>0.39370078740157477</c:v>
                </c:pt>
                <c:pt idx="1">
                  <c:v>0.36764705882352938</c:v>
                </c:pt>
                <c:pt idx="2">
                  <c:v>0.34578146611341631</c:v>
                </c:pt>
                <c:pt idx="3">
                  <c:v>0.31426775612822128</c:v>
                </c:pt>
                <c:pt idx="4">
                  <c:v>0.27472527472527469</c:v>
                </c:pt>
                <c:pt idx="5">
                  <c:v>0.26178010471204188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8C-4589-AB99-8673D7A19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6159"/>
        <c:axId val="1"/>
      </c:scatterChart>
      <c:valAx>
        <c:axId val="131856159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3692498964"/>
              <c:y val="0.897199148389713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61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Sid_2!$D$9:$D$14</c:f>
              <c:numCache>
                <c:formatCode>0.0000</c:formatCode>
                <c:ptCount val="6"/>
                <c:pt idx="0">
                  <c:v>0.25800000000000001</c:v>
                </c:pt>
                <c:pt idx="1">
                  <c:v>0.25600000000000001</c:v>
                </c:pt>
                <c:pt idx="2">
                  <c:v>0.254</c:v>
                </c:pt>
                <c:pt idx="3">
                  <c:v>0.24800000000000003</c:v>
                </c:pt>
                <c:pt idx="4">
                  <c:v>0.24300000000000002</c:v>
                </c:pt>
                <c:pt idx="5">
                  <c:v>0.23700000000000002</c:v>
                </c:pt>
              </c:numCache>
            </c:numRef>
          </c:xVal>
          <c:yVal>
            <c:numRef>
              <c:f>Sid_2!$A$9:$A$14</c:f>
              <c:numCache>
                <c:formatCode>General</c:formatCode>
                <c:ptCount val="6"/>
                <c:pt idx="0">
                  <c:v>-0.23400000000000001</c:v>
                </c:pt>
                <c:pt idx="1">
                  <c:v>-0.375</c:v>
                </c:pt>
                <c:pt idx="2">
                  <c:v>-0.76700000000000002</c:v>
                </c:pt>
                <c:pt idx="3">
                  <c:v>-1.4330000000000001</c:v>
                </c:pt>
                <c:pt idx="4">
                  <c:v>-2.0230000000000001</c:v>
                </c:pt>
                <c:pt idx="5">
                  <c:v>-2.3340000000000001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1-4F37-94D6-2F37E24C9260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Sid_2!$D$14:$D$20</c:f>
              <c:numCache>
                <c:formatCode>0.0000</c:formatCode>
                <c:ptCount val="7"/>
                <c:pt idx="0">
                  <c:v>0.23700000000000002</c:v>
                </c:pt>
                <c:pt idx="1">
                  <c:v>0.23</c:v>
                </c:pt>
                <c:pt idx="2">
                  <c:v>0.223</c:v>
                </c:pt>
                <c:pt idx="3">
                  <c:v>0.21</c:v>
                </c:pt>
                <c:pt idx="4">
                  <c:v>0.19899999999999998</c:v>
                </c:pt>
                <c:pt idx="5">
                  <c:v>0.159</c:v>
                </c:pt>
                <c:pt idx="6">
                  <c:v>0.13699999999999998</c:v>
                </c:pt>
              </c:numCache>
            </c:numRef>
          </c:xVal>
          <c:yVal>
            <c:numRef>
              <c:f>Sid_2!$A$14:$A$20</c:f>
              <c:numCache>
                <c:formatCode>General</c:formatCode>
                <c:ptCount val="7"/>
                <c:pt idx="0">
                  <c:v>-2.3340000000000001</c:v>
                </c:pt>
                <c:pt idx="1">
                  <c:v>-2.52</c:v>
                </c:pt>
                <c:pt idx="2">
                  <c:v>-2.66</c:v>
                </c:pt>
                <c:pt idx="3">
                  <c:v>-2.93</c:v>
                </c:pt>
                <c:pt idx="4">
                  <c:v>-3.2</c:v>
                </c:pt>
                <c:pt idx="5">
                  <c:v>-4.41</c:v>
                </c:pt>
                <c:pt idx="6">
                  <c:v>-5.48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C1-4F37-94D6-2F37E24C9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4511"/>
        <c:axId val="1"/>
      </c:scatterChart>
      <c:valAx>
        <c:axId val="131844511"/>
        <c:scaling>
          <c:orientation val="minMax"/>
          <c:min val="0.1500000000000000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6425333196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669666291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4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6253626188"/>
          <c:y val="6.54209050049001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Sid_2!$G$9:$G$20</c:f>
              <c:numCache>
                <c:formatCode>0.00</c:formatCode>
                <c:ptCount val="12"/>
                <c:pt idx="0">
                  <c:v>0.96933539101794963</c:v>
                </c:pt>
                <c:pt idx="1">
                  <c:v>1.7370149616302228</c:v>
                </c:pt>
                <c:pt idx="2">
                  <c:v>2.5046945322424818</c:v>
                </c:pt>
                <c:pt idx="3">
                  <c:v>4.807733244079273</c:v>
                </c:pt>
                <c:pt idx="4">
                  <c:v>6.7269321706099277</c:v>
                </c:pt>
                <c:pt idx="5">
                  <c:v>9.0299708824467189</c:v>
                </c:pt>
                <c:pt idx="6">
                  <c:v>11.716849379589647</c:v>
                </c:pt>
                <c:pt idx="7">
                  <c:v>14.403727876732574</c:v>
                </c:pt>
                <c:pt idx="8">
                  <c:v>19.393645085712294</c:v>
                </c:pt>
                <c:pt idx="9">
                  <c:v>23.615882724079754</c:v>
                </c:pt>
                <c:pt idx="10">
                  <c:v>38.969474136325019</c:v>
                </c:pt>
                <c:pt idx="11">
                  <c:v>47.413949413059932</c:v>
                </c:pt>
              </c:numCache>
            </c:numRef>
          </c:xVal>
          <c:yVal>
            <c:numRef>
              <c:f>Sid_2!$B$9:$B$20</c:f>
              <c:numCache>
                <c:formatCode>0.0000</c:formatCode>
                <c:ptCount val="12"/>
                <c:pt idx="0">
                  <c:v>4.2735042735042734</c:v>
                </c:pt>
                <c:pt idx="1">
                  <c:v>2.6666666666666665</c:v>
                </c:pt>
                <c:pt idx="2">
                  <c:v>1.3037809647979139</c:v>
                </c:pt>
                <c:pt idx="3">
                  <c:v>0.69783670621074667</c:v>
                </c:pt>
                <c:pt idx="4">
                  <c:v>0.49431537320810676</c:v>
                </c:pt>
                <c:pt idx="5">
                  <c:v>0.42844901456726647</c:v>
                </c:pt>
                <c:pt idx="6">
                  <c:v>0.3968253968253968</c:v>
                </c:pt>
                <c:pt idx="7">
                  <c:v>0.37593984962406013</c:v>
                </c:pt>
                <c:pt idx="8">
                  <c:v>0.34129692832764502</c:v>
                </c:pt>
                <c:pt idx="9">
                  <c:v>0.3125</c:v>
                </c:pt>
                <c:pt idx="10">
                  <c:v>0.22675736961451246</c:v>
                </c:pt>
                <c:pt idx="11">
                  <c:v>0.18248175182481752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D-4F33-B9D5-579A988DB95B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Sid_2!$G$14:$G$20</c:f>
              <c:numCache>
                <c:formatCode>0.00</c:formatCode>
                <c:ptCount val="7"/>
                <c:pt idx="0">
                  <c:v>9.0299708824467189</c:v>
                </c:pt>
                <c:pt idx="1">
                  <c:v>11.716849379589647</c:v>
                </c:pt>
                <c:pt idx="2">
                  <c:v>14.403727876732574</c:v>
                </c:pt>
                <c:pt idx="3">
                  <c:v>19.393645085712294</c:v>
                </c:pt>
                <c:pt idx="4">
                  <c:v>23.615882724079754</c:v>
                </c:pt>
                <c:pt idx="5">
                  <c:v>38.969474136325019</c:v>
                </c:pt>
                <c:pt idx="6">
                  <c:v>47.413949413059932</c:v>
                </c:pt>
              </c:numCache>
            </c:numRef>
          </c:xVal>
          <c:yVal>
            <c:numRef>
              <c:f>Sid_2!$B$14:$B$20</c:f>
              <c:numCache>
                <c:formatCode>0.0000</c:formatCode>
                <c:ptCount val="7"/>
                <c:pt idx="0">
                  <c:v>0.42844901456726647</c:v>
                </c:pt>
                <c:pt idx="1">
                  <c:v>0.3968253968253968</c:v>
                </c:pt>
                <c:pt idx="2">
                  <c:v>0.37593984962406013</c:v>
                </c:pt>
                <c:pt idx="3">
                  <c:v>0.34129692832764502</c:v>
                </c:pt>
                <c:pt idx="4">
                  <c:v>0.3125</c:v>
                </c:pt>
                <c:pt idx="5">
                  <c:v>0.22675736961451246</c:v>
                </c:pt>
                <c:pt idx="6">
                  <c:v>0.18248175182481752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4D-4F33-B9D5-579A988DB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6159"/>
        <c:axId val="1"/>
      </c:scatterChart>
      <c:valAx>
        <c:axId val="131856159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3692498964"/>
              <c:y val="0.897199148389713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61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Sid_6!$D$10:$D$17</c:f>
              <c:numCache>
                <c:formatCode>0.0000</c:formatCode>
                <c:ptCount val="8"/>
                <c:pt idx="0">
                  <c:v>0.30699999999999994</c:v>
                </c:pt>
                <c:pt idx="1">
                  <c:v>0.30499999999999994</c:v>
                </c:pt>
                <c:pt idx="2">
                  <c:v>0.30299999999999994</c:v>
                </c:pt>
                <c:pt idx="3">
                  <c:v>0.29999999999999993</c:v>
                </c:pt>
                <c:pt idx="4">
                  <c:v>0.29599999999999993</c:v>
                </c:pt>
                <c:pt idx="5">
                  <c:v>0.29199999999999993</c:v>
                </c:pt>
                <c:pt idx="6">
                  <c:v>0.28200000000000003</c:v>
                </c:pt>
                <c:pt idx="7">
                  <c:v>0.27700000000000002</c:v>
                </c:pt>
              </c:numCache>
            </c:numRef>
          </c:xVal>
          <c:yVal>
            <c:numRef>
              <c:f>Sid_6!$A$10:$A$17</c:f>
              <c:numCache>
                <c:formatCode>General</c:formatCode>
                <c:ptCount val="8"/>
                <c:pt idx="0">
                  <c:v>-0.19600000000000001</c:v>
                </c:pt>
                <c:pt idx="1">
                  <c:v>-0.373</c:v>
                </c:pt>
                <c:pt idx="2">
                  <c:v>-0.53400000000000003</c:v>
                </c:pt>
                <c:pt idx="3">
                  <c:v>-0.85</c:v>
                </c:pt>
                <c:pt idx="4">
                  <c:v>-1.28</c:v>
                </c:pt>
                <c:pt idx="5">
                  <c:v>-1.7809999999999999</c:v>
                </c:pt>
                <c:pt idx="6">
                  <c:v>-2.29</c:v>
                </c:pt>
                <c:pt idx="7">
                  <c:v>-2.6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F-4180-9C9B-CEAEEACA650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Sid_6!$D$17:$D$21</c:f>
              <c:numCache>
                <c:formatCode>0.0000</c:formatCode>
                <c:ptCount val="5"/>
                <c:pt idx="0">
                  <c:v>0.27700000000000002</c:v>
                </c:pt>
                <c:pt idx="1">
                  <c:v>0.27300000000000002</c:v>
                </c:pt>
                <c:pt idx="2">
                  <c:v>0.26300000000000001</c:v>
                </c:pt>
                <c:pt idx="3">
                  <c:v>0.22199999999999998</c:v>
                </c:pt>
                <c:pt idx="4">
                  <c:v>0.21399999999999997</c:v>
                </c:pt>
              </c:numCache>
            </c:numRef>
          </c:xVal>
          <c:yVal>
            <c:numRef>
              <c:f>Sid_6!$A$17:$A$21</c:f>
              <c:numCache>
                <c:formatCode>General</c:formatCode>
                <c:ptCount val="5"/>
                <c:pt idx="0">
                  <c:v>-2.6</c:v>
                </c:pt>
                <c:pt idx="1">
                  <c:v>-2.6930000000000001</c:v>
                </c:pt>
                <c:pt idx="2">
                  <c:v>-2.93</c:v>
                </c:pt>
                <c:pt idx="3">
                  <c:v>-3.8130000000000002</c:v>
                </c:pt>
                <c:pt idx="4">
                  <c:v>-4.0599999999999996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CF-4180-9C9B-CEAEEACA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4511"/>
        <c:axId val="1"/>
      </c:scatterChart>
      <c:valAx>
        <c:axId val="131844511"/>
        <c:scaling>
          <c:orientation val="minMax"/>
          <c:max val="0.35000000000000003"/>
          <c:min val="0.1500000000000000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452128613"/>
              <c:y val="3.39506425333196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6211869559"/>
              <c:y val="0.308642669666291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844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76253626188"/>
          <c:y val="6.54209050049001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Sid_6!$G$10:$G$21</c:f>
              <c:numCache>
                <c:formatCode>0.00</c:formatCode>
                <c:ptCount val="12"/>
                <c:pt idx="0">
                  <c:v>1.0277840596299086</c:v>
                </c:pt>
                <c:pt idx="1">
                  <c:v>1.672554196049262</c:v>
                </c:pt>
                <c:pt idx="2">
                  <c:v>2.3173243324686013</c:v>
                </c:pt>
                <c:pt idx="3">
                  <c:v>3.2844795370976243</c:v>
                </c:pt>
                <c:pt idx="4">
                  <c:v>4.5740198099363312</c:v>
                </c:pt>
                <c:pt idx="5">
                  <c:v>5.863560082775038</c:v>
                </c:pt>
                <c:pt idx="6">
                  <c:v>9.0874107648717342</c:v>
                </c:pt>
                <c:pt idx="7">
                  <c:v>10.699336105920125</c:v>
                </c:pt>
                <c:pt idx="8">
                  <c:v>11.988876378758818</c:v>
                </c:pt>
                <c:pt idx="9">
                  <c:v>15.21272706085557</c:v>
                </c:pt>
                <c:pt idx="10">
                  <c:v>28.430514857452238</c:v>
                </c:pt>
                <c:pt idx="11">
                  <c:v>31.009595403129637</c:v>
                </c:pt>
              </c:numCache>
            </c:numRef>
          </c:xVal>
          <c:yVal>
            <c:numRef>
              <c:f>Sid_6!$B$10:$B$21</c:f>
              <c:numCache>
                <c:formatCode>0.0000</c:formatCode>
                <c:ptCount val="12"/>
                <c:pt idx="0">
                  <c:v>5.1020408163265305</c:v>
                </c:pt>
                <c:pt idx="1">
                  <c:v>2.6809651474530831</c:v>
                </c:pt>
                <c:pt idx="2">
                  <c:v>1.8726591760299625</c:v>
                </c:pt>
                <c:pt idx="3">
                  <c:v>1.1764705882352942</c:v>
                </c:pt>
                <c:pt idx="4">
                  <c:v>0.78125</c:v>
                </c:pt>
                <c:pt idx="5">
                  <c:v>0.56148231330713083</c:v>
                </c:pt>
                <c:pt idx="6">
                  <c:v>0.4366812227074236</c:v>
                </c:pt>
                <c:pt idx="7">
                  <c:v>0.38461538461538458</c:v>
                </c:pt>
                <c:pt idx="8">
                  <c:v>0.37133308577794283</c:v>
                </c:pt>
                <c:pt idx="9">
                  <c:v>0.34129692832764502</c:v>
                </c:pt>
                <c:pt idx="10">
                  <c:v>0.26226068712300027</c:v>
                </c:pt>
                <c:pt idx="11">
                  <c:v>0.24630541871921185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2-46BD-B230-9B18000C465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Sid_6!$G$17:$G$21</c:f>
              <c:numCache>
                <c:formatCode>0.00</c:formatCode>
                <c:ptCount val="5"/>
                <c:pt idx="0">
                  <c:v>10.699336105920125</c:v>
                </c:pt>
                <c:pt idx="1">
                  <c:v>11.988876378758818</c:v>
                </c:pt>
                <c:pt idx="2">
                  <c:v>15.21272706085557</c:v>
                </c:pt>
                <c:pt idx="3">
                  <c:v>28.430514857452238</c:v>
                </c:pt>
                <c:pt idx="4">
                  <c:v>31.009595403129637</c:v>
                </c:pt>
              </c:numCache>
            </c:numRef>
          </c:xVal>
          <c:yVal>
            <c:numRef>
              <c:f>Sid_6!$B$17:$B$21</c:f>
              <c:numCache>
                <c:formatCode>0.0000</c:formatCode>
                <c:ptCount val="5"/>
                <c:pt idx="0">
                  <c:v>0.38461538461538458</c:v>
                </c:pt>
                <c:pt idx="1">
                  <c:v>0.37133308577794283</c:v>
                </c:pt>
                <c:pt idx="2">
                  <c:v>0.34129692832764502</c:v>
                </c:pt>
                <c:pt idx="3">
                  <c:v>0.26226068712300027</c:v>
                </c:pt>
                <c:pt idx="4">
                  <c:v>0.24630541871921185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12-46BD-B230-9B18000C4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56159"/>
        <c:axId val="1"/>
      </c:scatterChart>
      <c:valAx>
        <c:axId val="131856159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3692498964"/>
              <c:y val="0.897199148389713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61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Cre_1!$D$18:$D$25</c:f>
              <c:numCache>
                <c:formatCode>0.0000</c:formatCode>
                <c:ptCount val="8"/>
                <c:pt idx="0">
                  <c:v>0.43099999999999994</c:v>
                </c:pt>
                <c:pt idx="1">
                  <c:v>0.42899999999999994</c:v>
                </c:pt>
                <c:pt idx="2">
                  <c:v>0.42499999999999993</c:v>
                </c:pt>
                <c:pt idx="3">
                  <c:v>0.42000000000000004</c:v>
                </c:pt>
                <c:pt idx="4">
                  <c:v>0.41400000000000003</c:v>
                </c:pt>
                <c:pt idx="5">
                  <c:v>0.40700000000000003</c:v>
                </c:pt>
                <c:pt idx="6">
                  <c:v>0.40100000000000002</c:v>
                </c:pt>
                <c:pt idx="7">
                  <c:v>0.39500000000000002</c:v>
                </c:pt>
              </c:numCache>
            </c:numRef>
          </c:xVal>
          <c:yVal>
            <c:numRef>
              <c:f>Cre_1!$A$18:$A$25</c:f>
              <c:numCache>
                <c:formatCode>0.000</c:formatCode>
                <c:ptCount val="8"/>
                <c:pt idx="0">
                  <c:v>-0.28599999999999998</c:v>
                </c:pt>
                <c:pt idx="1">
                  <c:v>-0.33800000000000002</c:v>
                </c:pt>
                <c:pt idx="2">
                  <c:v>-0.59099999999999997</c:v>
                </c:pt>
                <c:pt idx="3">
                  <c:v>-0.99199999999999999</c:v>
                </c:pt>
                <c:pt idx="4">
                  <c:v>-1.68</c:v>
                </c:pt>
                <c:pt idx="5">
                  <c:v>-2.2200000000000002</c:v>
                </c:pt>
                <c:pt idx="6">
                  <c:v>-2.57</c:v>
                </c:pt>
                <c:pt idx="7">
                  <c:v>-2.75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6-4641-B9BC-DD09155CCD9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Cre_1!$D$25:$D$30</c:f>
              <c:numCache>
                <c:formatCode>0.0000</c:formatCode>
                <c:ptCount val="6"/>
                <c:pt idx="0">
                  <c:v>0.39500000000000002</c:v>
                </c:pt>
                <c:pt idx="1">
                  <c:v>0.38800000000000001</c:v>
                </c:pt>
                <c:pt idx="2">
                  <c:v>0.378</c:v>
                </c:pt>
                <c:pt idx="3">
                  <c:v>0.36499999999999999</c:v>
                </c:pt>
                <c:pt idx="4">
                  <c:v>0.35299999999999998</c:v>
                </c:pt>
                <c:pt idx="5">
                  <c:v>0.34499999999999997</c:v>
                </c:pt>
              </c:numCache>
            </c:numRef>
          </c:xVal>
          <c:yVal>
            <c:numRef>
              <c:f>Cre_1!$A$25:$A$30</c:f>
              <c:numCache>
                <c:formatCode>0.000</c:formatCode>
                <c:ptCount val="6"/>
                <c:pt idx="0">
                  <c:v>-2.75</c:v>
                </c:pt>
                <c:pt idx="1">
                  <c:v>-2.88</c:v>
                </c:pt>
                <c:pt idx="2">
                  <c:v>-3.03</c:v>
                </c:pt>
                <c:pt idx="3">
                  <c:v>-3.22</c:v>
                </c:pt>
                <c:pt idx="4">
                  <c:v>-3.45</c:v>
                </c:pt>
                <c:pt idx="5">
                  <c:v>-3.56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6-4641-B9BC-DD09155C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51999"/>
        <c:axId val="1"/>
      </c:scatterChart>
      <c:valAx>
        <c:axId val="375251999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2779814469"/>
              <c:y val="3.395028383080021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6537026998"/>
              <c:y val="0.3086426478666910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2519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8116847993"/>
          <c:y val="6.5421113191796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Cre_1!$G$18:$G$30</c:f>
              <c:numCache>
                <c:formatCode>0.00</c:formatCode>
                <c:ptCount val="13"/>
                <c:pt idx="0">
                  <c:v>0.70811390897169701</c:v>
                </c:pt>
                <c:pt idx="1">
                  <c:v>1.1688651205309952</c:v>
                </c:pt>
                <c:pt idx="2">
                  <c:v>2.0903675436495917</c:v>
                </c:pt>
                <c:pt idx="3">
                  <c:v>3.2422455725478017</c:v>
                </c:pt>
                <c:pt idx="4">
                  <c:v>4.6244992072256963</c:v>
                </c:pt>
                <c:pt idx="5">
                  <c:v>6.2371284476832329</c:v>
                </c:pt>
                <c:pt idx="6">
                  <c:v>7.6193820823611276</c:v>
                </c:pt>
                <c:pt idx="7">
                  <c:v>9.001635717039008</c:v>
                </c:pt>
                <c:pt idx="8">
                  <c:v>10.614264957496559</c:v>
                </c:pt>
                <c:pt idx="9">
                  <c:v>12.918021015293036</c:v>
                </c:pt>
                <c:pt idx="10">
                  <c:v>15.912903890428467</c:v>
                </c:pt>
                <c:pt idx="11">
                  <c:v>18.677411159784242</c:v>
                </c:pt>
                <c:pt idx="12">
                  <c:v>20.520416006021421</c:v>
                </c:pt>
              </c:numCache>
            </c:numRef>
          </c:xVal>
          <c:yVal>
            <c:numRef>
              <c:f>Cre_1!$B$18:$B$30</c:f>
              <c:numCache>
                <c:formatCode>0.0000</c:formatCode>
                <c:ptCount val="13"/>
                <c:pt idx="0">
                  <c:v>3.4965034965034967</c:v>
                </c:pt>
                <c:pt idx="1">
                  <c:v>2.9585798816568047</c:v>
                </c:pt>
                <c:pt idx="2">
                  <c:v>1.6920473773265652</c:v>
                </c:pt>
                <c:pt idx="3">
                  <c:v>1.0080645161290323</c:v>
                </c:pt>
                <c:pt idx="4">
                  <c:v>0.59523809523809523</c:v>
                </c:pt>
                <c:pt idx="5">
                  <c:v>0.4504504504504504</c:v>
                </c:pt>
                <c:pt idx="6">
                  <c:v>0.38910505836575876</c:v>
                </c:pt>
                <c:pt idx="7">
                  <c:v>0.36363636363636365</c:v>
                </c:pt>
                <c:pt idx="8">
                  <c:v>0.34722222222222221</c:v>
                </c:pt>
                <c:pt idx="9">
                  <c:v>0.33003300330033003</c:v>
                </c:pt>
                <c:pt idx="10">
                  <c:v>0.3105590062111801</c:v>
                </c:pt>
                <c:pt idx="11">
                  <c:v>0.28985507246376813</c:v>
                </c:pt>
                <c:pt idx="12">
                  <c:v>0.2808988764044944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0-4413-AAEA-ABE6A67FD8E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Cre_1!$G$25:$G$30</c:f>
              <c:numCache>
                <c:formatCode>0.00</c:formatCode>
                <c:ptCount val="6"/>
                <c:pt idx="0">
                  <c:v>9.001635717039008</c:v>
                </c:pt>
                <c:pt idx="1">
                  <c:v>10.614264957496559</c:v>
                </c:pt>
                <c:pt idx="2">
                  <c:v>12.918021015293036</c:v>
                </c:pt>
                <c:pt idx="3">
                  <c:v>15.912903890428467</c:v>
                </c:pt>
                <c:pt idx="4">
                  <c:v>18.677411159784242</c:v>
                </c:pt>
                <c:pt idx="5">
                  <c:v>20.520416006021421</c:v>
                </c:pt>
              </c:numCache>
            </c:numRef>
          </c:xVal>
          <c:yVal>
            <c:numRef>
              <c:f>Cre_1!$B$25:$B$30</c:f>
              <c:numCache>
                <c:formatCode>0.0000</c:formatCode>
                <c:ptCount val="6"/>
                <c:pt idx="0">
                  <c:v>0.36363636363636365</c:v>
                </c:pt>
                <c:pt idx="1">
                  <c:v>0.34722222222222221</c:v>
                </c:pt>
                <c:pt idx="2">
                  <c:v>0.33003300330033003</c:v>
                </c:pt>
                <c:pt idx="3">
                  <c:v>0.3105590062111801</c:v>
                </c:pt>
                <c:pt idx="4">
                  <c:v>0.28985507246376813</c:v>
                </c:pt>
                <c:pt idx="5">
                  <c:v>0.2808988764044944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90-4413-AAEA-ABE6A67FD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51167"/>
        <c:axId val="1"/>
      </c:scatterChart>
      <c:valAx>
        <c:axId val="375251167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4783915369"/>
              <c:y val="0.89719874557227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25116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6896366116342305E-2"/>
                  <c:y val="0.13410046158023356"/>
                </c:manualLayout>
              </c:layout>
              <c:numFmt formatCode="General" sourceLinked="0"/>
            </c:trendlineLbl>
          </c:trendline>
          <c:xVal>
            <c:numRef>
              <c:f>Cre_6!$D$12:$D$23</c:f>
              <c:numCache>
                <c:formatCode>0.0000</c:formatCode>
                <c:ptCount val="12"/>
                <c:pt idx="0">
                  <c:v>0.43099999999999994</c:v>
                </c:pt>
                <c:pt idx="1">
                  <c:v>0.42799999999999994</c:v>
                </c:pt>
                <c:pt idx="2">
                  <c:v>0.42699999999999994</c:v>
                </c:pt>
                <c:pt idx="3">
                  <c:v>0.42699999999999994</c:v>
                </c:pt>
                <c:pt idx="4">
                  <c:v>0.42399999999999993</c:v>
                </c:pt>
                <c:pt idx="5">
                  <c:v>0.42199999999999993</c:v>
                </c:pt>
                <c:pt idx="6">
                  <c:v>0.41900000000000004</c:v>
                </c:pt>
                <c:pt idx="7">
                  <c:v>0.41500000000000004</c:v>
                </c:pt>
                <c:pt idx="8">
                  <c:v>0.41200000000000003</c:v>
                </c:pt>
                <c:pt idx="9">
                  <c:v>0.40900000000000003</c:v>
                </c:pt>
                <c:pt idx="10">
                  <c:v>0.40600000000000003</c:v>
                </c:pt>
                <c:pt idx="11">
                  <c:v>0.40400000000000003</c:v>
                </c:pt>
              </c:numCache>
            </c:numRef>
          </c:xVal>
          <c:yVal>
            <c:numRef>
              <c:f>Cre_6!$A$12:$A$23</c:f>
              <c:numCache>
                <c:formatCode>0.000</c:formatCode>
                <c:ptCount val="12"/>
                <c:pt idx="0">
                  <c:v>-0.104</c:v>
                </c:pt>
                <c:pt idx="1">
                  <c:v>-0.17799999999999999</c:v>
                </c:pt>
                <c:pt idx="2">
                  <c:v>-0.25800000000000001</c:v>
                </c:pt>
                <c:pt idx="3">
                  <c:v>-0.39400000000000002</c:v>
                </c:pt>
                <c:pt idx="4">
                  <c:v>-0.59</c:v>
                </c:pt>
                <c:pt idx="5">
                  <c:v>-0.80300000000000005</c:v>
                </c:pt>
                <c:pt idx="6">
                  <c:v>-1.2549999999999999</c:v>
                </c:pt>
                <c:pt idx="7">
                  <c:v>-1.59</c:v>
                </c:pt>
                <c:pt idx="8">
                  <c:v>-2.0329999999999999</c:v>
                </c:pt>
                <c:pt idx="9">
                  <c:v>-2.31</c:v>
                </c:pt>
                <c:pt idx="10">
                  <c:v>-2.67</c:v>
                </c:pt>
                <c:pt idx="11">
                  <c:v>-2.75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BA-4110-961F-E7FA1132529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3.3637162118002252E-2"/>
                  <c:y val="-9.7853561408272241E-2"/>
                </c:manualLayout>
              </c:layout>
              <c:numFmt formatCode="General" sourceLinked="0"/>
            </c:trendlineLbl>
          </c:trendline>
          <c:xVal>
            <c:numRef>
              <c:f>Cre_6!$D$23:$D$30</c:f>
              <c:numCache>
                <c:formatCode>0.0000</c:formatCode>
                <c:ptCount val="8"/>
                <c:pt idx="0">
                  <c:v>0.40400000000000003</c:v>
                </c:pt>
                <c:pt idx="1">
                  <c:v>0.40100000000000002</c:v>
                </c:pt>
                <c:pt idx="2">
                  <c:v>0.39600000000000002</c:v>
                </c:pt>
                <c:pt idx="3">
                  <c:v>0.39100000000000001</c:v>
                </c:pt>
                <c:pt idx="4">
                  <c:v>0.38300000000000001</c:v>
                </c:pt>
                <c:pt idx="5">
                  <c:v>0.373</c:v>
                </c:pt>
                <c:pt idx="6">
                  <c:v>0.36299999999999999</c:v>
                </c:pt>
                <c:pt idx="7">
                  <c:v>0.35599999999999998</c:v>
                </c:pt>
              </c:numCache>
            </c:numRef>
          </c:xVal>
          <c:yVal>
            <c:numRef>
              <c:f>Cre_6!$A$23:$A$30</c:f>
              <c:numCache>
                <c:formatCode>0.000</c:formatCode>
                <c:ptCount val="8"/>
                <c:pt idx="0">
                  <c:v>-2.75</c:v>
                </c:pt>
                <c:pt idx="1">
                  <c:v>-2.81</c:v>
                </c:pt>
                <c:pt idx="2">
                  <c:v>-2.96</c:v>
                </c:pt>
                <c:pt idx="3">
                  <c:v>-3.02</c:v>
                </c:pt>
                <c:pt idx="4">
                  <c:v>-3.11</c:v>
                </c:pt>
                <c:pt idx="5">
                  <c:v>-3.26</c:v>
                </c:pt>
                <c:pt idx="6">
                  <c:v>-3.37</c:v>
                </c:pt>
                <c:pt idx="7">
                  <c:v>-3.51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BA-4110-961F-E7FA11325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49087"/>
        <c:axId val="1"/>
      </c:scatterChart>
      <c:valAx>
        <c:axId val="375249087"/>
        <c:scaling>
          <c:orientation val="minMax"/>
          <c:min val="0.35000000000000003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2779814469"/>
              <c:y val="3.395044001852709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6537026998"/>
              <c:y val="0.308642427049559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2490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8116847993"/>
          <c:y val="6.5421113191796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Cre_6!$G$12:$G$30</c:f>
              <c:numCache>
                <c:formatCode>0.00</c:formatCode>
                <c:ptCount val="19"/>
                <c:pt idx="0">
                  <c:v>-0.17767707006977673</c:v>
                </c:pt>
                <c:pt idx="1">
                  <c:v>0.51961534573116808</c:v>
                </c:pt>
                <c:pt idx="2">
                  <c:v>0.75204615099816863</c:v>
                </c:pt>
                <c:pt idx="3">
                  <c:v>0.75204615099816863</c:v>
                </c:pt>
                <c:pt idx="4">
                  <c:v>1.4493385667991134</c:v>
                </c:pt>
                <c:pt idx="5">
                  <c:v>1.9142001773330861</c:v>
                </c:pt>
                <c:pt idx="6">
                  <c:v>2.6114925931340025</c:v>
                </c:pt>
                <c:pt idx="7">
                  <c:v>3.5412158142019337</c:v>
                </c:pt>
                <c:pt idx="8">
                  <c:v>4.2385082300028927</c:v>
                </c:pt>
                <c:pt idx="9">
                  <c:v>4.9358006458038375</c:v>
                </c:pt>
                <c:pt idx="10">
                  <c:v>5.6330930616047823</c:v>
                </c:pt>
                <c:pt idx="11">
                  <c:v>6.097954672138755</c:v>
                </c:pt>
                <c:pt idx="12">
                  <c:v>6.7952470879396998</c:v>
                </c:pt>
                <c:pt idx="13">
                  <c:v>7.9574011142746173</c:v>
                </c:pt>
                <c:pt idx="14">
                  <c:v>9.1195551406095348</c:v>
                </c:pt>
                <c:pt idx="15">
                  <c:v>10.979001582745411</c:v>
                </c:pt>
                <c:pt idx="16">
                  <c:v>13.303309635415246</c:v>
                </c:pt>
                <c:pt idx="17">
                  <c:v>15.627617688085067</c:v>
                </c:pt>
                <c:pt idx="18">
                  <c:v>17.254633324953957</c:v>
                </c:pt>
              </c:numCache>
            </c:numRef>
          </c:xVal>
          <c:yVal>
            <c:numRef>
              <c:f>Cre_6!$B$12:$B$30</c:f>
              <c:numCache>
                <c:formatCode>0.0000</c:formatCode>
                <c:ptCount val="19"/>
                <c:pt idx="0">
                  <c:v>9.615384615384615</c:v>
                </c:pt>
                <c:pt idx="1">
                  <c:v>5.617977528089888</c:v>
                </c:pt>
                <c:pt idx="2">
                  <c:v>3.8759689922480618</c:v>
                </c:pt>
                <c:pt idx="3">
                  <c:v>2.5380710659898478</c:v>
                </c:pt>
                <c:pt idx="4">
                  <c:v>1.6949152542372883</c:v>
                </c:pt>
                <c:pt idx="5">
                  <c:v>1.2453300124533</c:v>
                </c:pt>
                <c:pt idx="6">
                  <c:v>0.79681274900398413</c:v>
                </c:pt>
                <c:pt idx="7">
                  <c:v>0.62893081761006286</c:v>
                </c:pt>
                <c:pt idx="8">
                  <c:v>0.4918839153959666</c:v>
                </c:pt>
                <c:pt idx="9">
                  <c:v>0.4329004329004329</c:v>
                </c:pt>
                <c:pt idx="10">
                  <c:v>0.37453183520599254</c:v>
                </c:pt>
                <c:pt idx="11">
                  <c:v>0.36363636363636365</c:v>
                </c:pt>
                <c:pt idx="12">
                  <c:v>0.35587188612099646</c:v>
                </c:pt>
                <c:pt idx="13">
                  <c:v>0.33783783783783783</c:v>
                </c:pt>
                <c:pt idx="14">
                  <c:v>0.33112582781456956</c:v>
                </c:pt>
                <c:pt idx="15">
                  <c:v>0.32154340836012862</c:v>
                </c:pt>
                <c:pt idx="16">
                  <c:v>0.30674846625766872</c:v>
                </c:pt>
                <c:pt idx="17">
                  <c:v>0.29673590504451036</c:v>
                </c:pt>
                <c:pt idx="18">
                  <c:v>0.28490028490028491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A-4063-99D6-4B7B5C93D3B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Cre_6!$G$23:$G$30</c:f>
              <c:numCache>
                <c:formatCode>0.00</c:formatCode>
                <c:ptCount val="8"/>
                <c:pt idx="0">
                  <c:v>6.097954672138755</c:v>
                </c:pt>
                <c:pt idx="1">
                  <c:v>6.7952470879396998</c:v>
                </c:pt>
                <c:pt idx="2">
                  <c:v>7.9574011142746173</c:v>
                </c:pt>
                <c:pt idx="3">
                  <c:v>9.1195551406095348</c:v>
                </c:pt>
                <c:pt idx="4">
                  <c:v>10.979001582745411</c:v>
                </c:pt>
                <c:pt idx="5">
                  <c:v>13.303309635415246</c:v>
                </c:pt>
                <c:pt idx="6">
                  <c:v>15.627617688085067</c:v>
                </c:pt>
                <c:pt idx="7">
                  <c:v>17.254633324953957</c:v>
                </c:pt>
              </c:numCache>
            </c:numRef>
          </c:xVal>
          <c:yVal>
            <c:numRef>
              <c:f>Cre_6!$B$23:$B$30</c:f>
              <c:numCache>
                <c:formatCode>0.0000</c:formatCode>
                <c:ptCount val="8"/>
                <c:pt idx="0">
                  <c:v>0.36363636363636365</c:v>
                </c:pt>
                <c:pt idx="1">
                  <c:v>0.35587188612099646</c:v>
                </c:pt>
                <c:pt idx="2">
                  <c:v>0.33783783783783783</c:v>
                </c:pt>
                <c:pt idx="3">
                  <c:v>0.33112582781456956</c:v>
                </c:pt>
                <c:pt idx="4">
                  <c:v>0.32154340836012862</c:v>
                </c:pt>
                <c:pt idx="5">
                  <c:v>0.30674846625766872</c:v>
                </c:pt>
                <c:pt idx="6">
                  <c:v>0.29673590504451036</c:v>
                </c:pt>
                <c:pt idx="7">
                  <c:v>0.28490028490028491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6A-4063-99D6-4B7B5C93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51583"/>
        <c:axId val="1"/>
      </c:scatterChart>
      <c:valAx>
        <c:axId val="375251583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4783915369"/>
              <c:y val="0.897199196805270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2515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Cre_9!$D$9:$D$24</c:f>
              <c:numCache>
                <c:formatCode>0.0000</c:formatCode>
                <c:ptCount val="16"/>
                <c:pt idx="0">
                  <c:v>0.36599999999999999</c:v>
                </c:pt>
                <c:pt idx="1">
                  <c:v>0.36599999999999999</c:v>
                </c:pt>
                <c:pt idx="2">
                  <c:v>0.36299999999999999</c:v>
                </c:pt>
                <c:pt idx="3">
                  <c:v>0.36099999999999999</c:v>
                </c:pt>
                <c:pt idx="4">
                  <c:v>0.35799999999999998</c:v>
                </c:pt>
                <c:pt idx="5">
                  <c:v>0.35699999999999998</c:v>
                </c:pt>
                <c:pt idx="6">
                  <c:v>0.35299999999999998</c:v>
                </c:pt>
                <c:pt idx="7">
                  <c:v>0.35</c:v>
                </c:pt>
                <c:pt idx="8">
                  <c:v>0.34799999999999998</c:v>
                </c:pt>
                <c:pt idx="9">
                  <c:v>0.34599999999999997</c:v>
                </c:pt>
                <c:pt idx="10">
                  <c:v>0.34399999999999997</c:v>
                </c:pt>
                <c:pt idx="11">
                  <c:v>0.34199999999999997</c:v>
                </c:pt>
                <c:pt idx="12">
                  <c:v>0.33899999999999997</c:v>
                </c:pt>
                <c:pt idx="13">
                  <c:v>0.33799999999999997</c:v>
                </c:pt>
                <c:pt idx="14">
                  <c:v>0.33499999999999996</c:v>
                </c:pt>
                <c:pt idx="15">
                  <c:v>0.33000000000000007</c:v>
                </c:pt>
              </c:numCache>
            </c:numRef>
          </c:xVal>
          <c:yVal>
            <c:numRef>
              <c:f>Cre_9!$A$9:$A$24</c:f>
              <c:numCache>
                <c:formatCode>0.000</c:formatCode>
                <c:ptCount val="16"/>
                <c:pt idx="0">
                  <c:v>-5.0999999999999997E-2</c:v>
                </c:pt>
                <c:pt idx="1">
                  <c:v>-9.4E-2</c:v>
                </c:pt>
                <c:pt idx="2">
                  <c:v>-0.23200000000000001</c:v>
                </c:pt>
                <c:pt idx="3">
                  <c:v>-0.45400000000000001</c:v>
                </c:pt>
                <c:pt idx="4">
                  <c:v>-0.77</c:v>
                </c:pt>
                <c:pt idx="5">
                  <c:v>-0.93899999999999995</c:v>
                </c:pt>
                <c:pt idx="6">
                  <c:v>-1.4139999999999999</c:v>
                </c:pt>
                <c:pt idx="7">
                  <c:v>-1.73</c:v>
                </c:pt>
                <c:pt idx="8">
                  <c:v>-2.0099999999999998</c:v>
                </c:pt>
                <c:pt idx="9">
                  <c:v>-2.16</c:v>
                </c:pt>
                <c:pt idx="10">
                  <c:v>-2.13</c:v>
                </c:pt>
                <c:pt idx="11">
                  <c:v>-2.39</c:v>
                </c:pt>
                <c:pt idx="12">
                  <c:v>-2.46</c:v>
                </c:pt>
                <c:pt idx="13">
                  <c:v>-2.5299999999999998</c:v>
                </c:pt>
                <c:pt idx="14">
                  <c:v>-2.79</c:v>
                </c:pt>
                <c:pt idx="15">
                  <c:v>-3.04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9-49A5-B50A-4758572A2B5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Cre_9!$D$24:$D$28</c:f>
              <c:numCache>
                <c:formatCode>0.0000</c:formatCode>
                <c:ptCount val="5"/>
                <c:pt idx="0">
                  <c:v>0.33000000000000007</c:v>
                </c:pt>
                <c:pt idx="1">
                  <c:v>0.32200000000000006</c:v>
                </c:pt>
                <c:pt idx="2">
                  <c:v>0.31300000000000006</c:v>
                </c:pt>
                <c:pt idx="3">
                  <c:v>0.30400000000000005</c:v>
                </c:pt>
                <c:pt idx="4">
                  <c:v>0.30000000000000004</c:v>
                </c:pt>
              </c:numCache>
            </c:numRef>
          </c:xVal>
          <c:yVal>
            <c:numRef>
              <c:f>Cre_9!$A$24:$A$28</c:f>
              <c:numCache>
                <c:formatCode>0.000</c:formatCode>
                <c:ptCount val="5"/>
                <c:pt idx="0">
                  <c:v>-3.04</c:v>
                </c:pt>
                <c:pt idx="1">
                  <c:v>-3.17</c:v>
                </c:pt>
                <c:pt idx="2">
                  <c:v>-3.34</c:v>
                </c:pt>
                <c:pt idx="3">
                  <c:v>-3.48</c:v>
                </c:pt>
                <c:pt idx="4">
                  <c:v>-3.56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79-49A5-B50A-4758572A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47423"/>
        <c:axId val="1"/>
      </c:scatterChart>
      <c:valAx>
        <c:axId val="375247423"/>
        <c:scaling>
          <c:orientation val="minMax"/>
          <c:max val="0.38000000000000006"/>
          <c:min val="0.28000000000000003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2779814469"/>
              <c:y val="3.395044001852709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6537026998"/>
              <c:y val="0.308642427049559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24742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8116847993"/>
          <c:y val="6.5421113191796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Cre_9!$G$9:$G$28</c:f>
              <c:numCache>
                <c:formatCode>0.00</c:formatCode>
                <c:ptCount val="20"/>
                <c:pt idx="0">
                  <c:v>0.36324794832191287</c:v>
                </c:pt>
                <c:pt idx="1">
                  <c:v>0.36324794832191287</c:v>
                </c:pt>
                <c:pt idx="2">
                  <c:v>1.1799426372700879</c:v>
                </c:pt>
                <c:pt idx="3">
                  <c:v>1.7244057632355521</c:v>
                </c:pt>
                <c:pt idx="4">
                  <c:v>2.5411004521837128</c:v>
                </c:pt>
                <c:pt idx="5">
                  <c:v>2.813332015166452</c:v>
                </c:pt>
                <c:pt idx="6">
                  <c:v>3.902258267097352</c:v>
                </c:pt>
                <c:pt idx="7">
                  <c:v>4.7189529560455412</c:v>
                </c:pt>
                <c:pt idx="8">
                  <c:v>5.2634160820109912</c:v>
                </c:pt>
                <c:pt idx="9">
                  <c:v>5.8078792079764554</c:v>
                </c:pt>
                <c:pt idx="10">
                  <c:v>6.3523423339419054</c:v>
                </c:pt>
                <c:pt idx="11">
                  <c:v>6.8968054599073696</c:v>
                </c:pt>
                <c:pt idx="12">
                  <c:v>7.7135001488555446</c:v>
                </c:pt>
                <c:pt idx="13">
                  <c:v>7.9857317118382696</c:v>
                </c:pt>
                <c:pt idx="14">
                  <c:v>8.8024264007864588</c:v>
                </c:pt>
                <c:pt idx="15">
                  <c:v>10.163584215700055</c:v>
                </c:pt>
                <c:pt idx="16">
                  <c:v>12.341436719561884</c:v>
                </c:pt>
                <c:pt idx="17">
                  <c:v>14.791520786406423</c:v>
                </c:pt>
                <c:pt idx="18">
                  <c:v>17.241604853250976</c:v>
                </c:pt>
                <c:pt idx="19">
                  <c:v>18.330531105181876</c:v>
                </c:pt>
              </c:numCache>
            </c:numRef>
          </c:xVal>
          <c:yVal>
            <c:numRef>
              <c:f>Cre_9!$B$9:$B$28</c:f>
              <c:numCache>
                <c:formatCode>0.0000</c:formatCode>
                <c:ptCount val="20"/>
                <c:pt idx="0">
                  <c:v>19.607843137254903</c:v>
                </c:pt>
                <c:pt idx="1">
                  <c:v>10.638297872340425</c:v>
                </c:pt>
                <c:pt idx="2">
                  <c:v>4.3103448275862064</c:v>
                </c:pt>
                <c:pt idx="3">
                  <c:v>2.2026431718061672</c:v>
                </c:pt>
                <c:pt idx="4">
                  <c:v>1.2987012987012987</c:v>
                </c:pt>
                <c:pt idx="5">
                  <c:v>1.0649627263045793</c:v>
                </c:pt>
                <c:pt idx="6">
                  <c:v>0.70721357850070721</c:v>
                </c:pt>
                <c:pt idx="7">
                  <c:v>0.5780346820809249</c:v>
                </c:pt>
                <c:pt idx="8">
                  <c:v>0.49751243781094534</c:v>
                </c:pt>
                <c:pt idx="9">
                  <c:v>0.46296296296296291</c:v>
                </c:pt>
                <c:pt idx="10">
                  <c:v>0.46948356807511737</c:v>
                </c:pt>
                <c:pt idx="11">
                  <c:v>0.41841004184100417</c:v>
                </c:pt>
                <c:pt idx="12">
                  <c:v>0.4065040650406504</c:v>
                </c:pt>
                <c:pt idx="13">
                  <c:v>0.39525691699604748</c:v>
                </c:pt>
                <c:pt idx="14">
                  <c:v>0.35842293906810035</c:v>
                </c:pt>
                <c:pt idx="15">
                  <c:v>0.32894736842105265</c:v>
                </c:pt>
                <c:pt idx="16">
                  <c:v>0.31545741324921134</c:v>
                </c:pt>
                <c:pt idx="17">
                  <c:v>0.29940119760479045</c:v>
                </c:pt>
                <c:pt idx="18">
                  <c:v>0.28735632183908044</c:v>
                </c:pt>
                <c:pt idx="19">
                  <c:v>0.2808988764044944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5F-4759-8132-BF4B55CA62B0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Cre_9!$G$24:$G$28</c:f>
              <c:numCache>
                <c:formatCode>0.00</c:formatCode>
                <c:ptCount val="5"/>
                <c:pt idx="0">
                  <c:v>10.163584215700055</c:v>
                </c:pt>
                <c:pt idx="1">
                  <c:v>12.341436719561884</c:v>
                </c:pt>
                <c:pt idx="2">
                  <c:v>14.791520786406423</c:v>
                </c:pt>
                <c:pt idx="3">
                  <c:v>17.241604853250976</c:v>
                </c:pt>
                <c:pt idx="4">
                  <c:v>18.330531105181876</c:v>
                </c:pt>
              </c:numCache>
            </c:numRef>
          </c:xVal>
          <c:yVal>
            <c:numRef>
              <c:f>Cre_9!$B$24:$B$28</c:f>
              <c:numCache>
                <c:formatCode>0.0000</c:formatCode>
                <c:ptCount val="5"/>
                <c:pt idx="0">
                  <c:v>0.32894736842105265</c:v>
                </c:pt>
                <c:pt idx="1">
                  <c:v>0.31545741324921134</c:v>
                </c:pt>
                <c:pt idx="2">
                  <c:v>0.29940119760479045</c:v>
                </c:pt>
                <c:pt idx="3">
                  <c:v>0.28735632183908044</c:v>
                </c:pt>
                <c:pt idx="4">
                  <c:v>0.2808988764044944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5F-4759-8132-BF4B55CA6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53663"/>
        <c:axId val="1"/>
      </c:scatterChart>
      <c:valAx>
        <c:axId val="375253663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4783915369"/>
              <c:y val="0.897199196805270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25366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6896366116342305E-2"/>
                  <c:y val="0.13410046158023356"/>
                </c:manualLayout>
              </c:layout>
              <c:numFmt formatCode="General" sourceLinked="0"/>
            </c:trendlineLbl>
          </c:trendline>
          <c:xVal>
            <c:numRef>
              <c:f>Cre_3!$D$9:$D$14</c:f>
              <c:numCache>
                <c:formatCode>0.0000</c:formatCode>
                <c:ptCount val="6"/>
                <c:pt idx="0">
                  <c:v>0.35199999999999998</c:v>
                </c:pt>
                <c:pt idx="1">
                  <c:v>0.34699999999999998</c:v>
                </c:pt>
                <c:pt idx="2">
                  <c:v>0.33799999999999997</c:v>
                </c:pt>
                <c:pt idx="3">
                  <c:v>0.33199999999999996</c:v>
                </c:pt>
                <c:pt idx="4">
                  <c:v>0.32599999999999996</c:v>
                </c:pt>
                <c:pt idx="5">
                  <c:v>0.31599999999999995</c:v>
                </c:pt>
              </c:numCache>
            </c:numRef>
          </c:xVal>
          <c:yVal>
            <c:numRef>
              <c:f>Cre_3!$A$9:$A$14</c:f>
              <c:numCache>
                <c:formatCode>General</c:formatCode>
                <c:ptCount val="6"/>
                <c:pt idx="0">
                  <c:v>-0.28000000000000003</c:v>
                </c:pt>
                <c:pt idx="1">
                  <c:v>-0.60199999999999998</c:v>
                </c:pt>
                <c:pt idx="2">
                  <c:v>-1.266</c:v>
                </c:pt>
                <c:pt idx="3">
                  <c:v>-1.69</c:v>
                </c:pt>
                <c:pt idx="4">
                  <c:v>-1.99</c:v>
                </c:pt>
                <c:pt idx="5">
                  <c:v>-2.2400000000000002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18-478C-8C5D-A641B2CA2C8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3.3637162118002252E-2"/>
                  <c:y val="-9.7853561408272241E-2"/>
                </c:manualLayout>
              </c:layout>
              <c:numFmt formatCode="General" sourceLinked="0"/>
            </c:trendlineLbl>
          </c:trendline>
          <c:xVal>
            <c:numRef>
              <c:f>Cre_3!$D$14:$D$21</c:f>
              <c:numCache>
                <c:formatCode>0.0000</c:formatCode>
                <c:ptCount val="8"/>
                <c:pt idx="0">
                  <c:v>0.31599999999999995</c:v>
                </c:pt>
                <c:pt idx="1">
                  <c:v>0.30999999999999994</c:v>
                </c:pt>
                <c:pt idx="2">
                  <c:v>0.29700000000000004</c:v>
                </c:pt>
                <c:pt idx="3">
                  <c:v>0.29100000000000004</c:v>
                </c:pt>
                <c:pt idx="4">
                  <c:v>0.27100000000000002</c:v>
                </c:pt>
                <c:pt idx="5">
                  <c:v>0.25900000000000001</c:v>
                </c:pt>
                <c:pt idx="6">
                  <c:v>0.252</c:v>
                </c:pt>
                <c:pt idx="7">
                  <c:v>0.24</c:v>
                </c:pt>
              </c:numCache>
            </c:numRef>
          </c:xVal>
          <c:yVal>
            <c:numRef>
              <c:f>Cre_3!$A$14:$A$21</c:f>
              <c:numCache>
                <c:formatCode>General</c:formatCode>
                <c:ptCount val="8"/>
                <c:pt idx="0">
                  <c:v>-2.2400000000000002</c:v>
                </c:pt>
                <c:pt idx="1">
                  <c:v>-2.3050000000000002</c:v>
                </c:pt>
                <c:pt idx="2">
                  <c:v>-2.5299999999999998</c:v>
                </c:pt>
                <c:pt idx="3">
                  <c:v>-2.64</c:v>
                </c:pt>
                <c:pt idx="4">
                  <c:v>-2.95</c:v>
                </c:pt>
                <c:pt idx="5">
                  <c:v>-3.13</c:v>
                </c:pt>
                <c:pt idx="6">
                  <c:v>-3.19</c:v>
                </c:pt>
                <c:pt idx="7">
                  <c:v>-3.29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18-478C-8C5D-A641B2CA2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49087"/>
        <c:axId val="1"/>
      </c:scatterChart>
      <c:valAx>
        <c:axId val="375249087"/>
        <c:scaling>
          <c:orientation val="minMax"/>
          <c:min val="0.1500000000000000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2779814469"/>
              <c:y val="3.395044001852709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6537026998"/>
              <c:y val="0.308642427049559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2490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8116847993"/>
          <c:y val="6.5421113191796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Cre_3!$G$9:$G$23</c:f>
              <c:numCache>
                <c:formatCode>0.00</c:formatCode>
                <c:ptCount val="15"/>
                <c:pt idx="0">
                  <c:v>1.7457743912268313</c:v>
                </c:pt>
                <c:pt idx="1">
                  <c:v>3.1414310049878225</c:v>
                </c:pt>
                <c:pt idx="2">
                  <c:v>5.6536129097575838</c:v>
                </c:pt>
                <c:pt idx="3">
                  <c:v>7.3284008462707675</c:v>
                </c:pt>
                <c:pt idx="4">
                  <c:v>9.0031887827839512</c:v>
                </c:pt>
                <c:pt idx="5">
                  <c:v>11.794502010305905</c:v>
                </c:pt>
                <c:pt idx="6">
                  <c:v>13.469289946819103</c:v>
                </c:pt>
                <c:pt idx="7">
                  <c:v>17.09799714259762</c:v>
                </c:pt>
                <c:pt idx="8">
                  <c:v>18.772785079110804</c:v>
                </c:pt>
                <c:pt idx="9">
                  <c:v>24.35541153415474</c:v>
                </c:pt>
                <c:pt idx="10">
                  <c:v>27.704987407181093</c:v>
                </c:pt>
                <c:pt idx="11">
                  <c:v>29.65890666644647</c:v>
                </c:pt>
                <c:pt idx="12">
                  <c:v>33.008482539472837</c:v>
                </c:pt>
              </c:numCache>
            </c:numRef>
          </c:xVal>
          <c:yVal>
            <c:numRef>
              <c:f>Cre_3!$B$9:$B$23</c:f>
              <c:numCache>
                <c:formatCode>0.0000</c:formatCode>
                <c:ptCount val="15"/>
                <c:pt idx="0">
                  <c:v>3.5714285714285712</c:v>
                </c:pt>
                <c:pt idx="1">
                  <c:v>1.6611295681063123</c:v>
                </c:pt>
                <c:pt idx="2">
                  <c:v>0.78988941548183256</c:v>
                </c:pt>
                <c:pt idx="3">
                  <c:v>0.59171597633136097</c:v>
                </c:pt>
                <c:pt idx="4">
                  <c:v>0.50251256281407031</c:v>
                </c:pt>
                <c:pt idx="5">
                  <c:v>0.4464285714285714</c:v>
                </c:pt>
                <c:pt idx="6">
                  <c:v>0.43383947939262468</c:v>
                </c:pt>
                <c:pt idx="7">
                  <c:v>0.39525691699604748</c:v>
                </c:pt>
                <c:pt idx="8">
                  <c:v>0.37878787878787878</c:v>
                </c:pt>
                <c:pt idx="9">
                  <c:v>0.33898305084745761</c:v>
                </c:pt>
                <c:pt idx="10">
                  <c:v>0.31948881789137379</c:v>
                </c:pt>
                <c:pt idx="11">
                  <c:v>0.31347962382445144</c:v>
                </c:pt>
                <c:pt idx="12">
                  <c:v>0.303951367781155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2-4B84-8B41-7123130BF0B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Cre_3!$G$14:$G$23</c:f>
              <c:numCache>
                <c:formatCode>0.00</c:formatCode>
                <c:ptCount val="10"/>
                <c:pt idx="0">
                  <c:v>11.794502010305905</c:v>
                </c:pt>
                <c:pt idx="1">
                  <c:v>13.469289946819103</c:v>
                </c:pt>
                <c:pt idx="2">
                  <c:v>17.09799714259762</c:v>
                </c:pt>
                <c:pt idx="3">
                  <c:v>18.772785079110804</c:v>
                </c:pt>
                <c:pt idx="4">
                  <c:v>24.35541153415474</c:v>
                </c:pt>
                <c:pt idx="5">
                  <c:v>27.704987407181093</c:v>
                </c:pt>
                <c:pt idx="6">
                  <c:v>29.65890666644647</c:v>
                </c:pt>
                <c:pt idx="7">
                  <c:v>33.008482539472837</c:v>
                </c:pt>
              </c:numCache>
            </c:numRef>
          </c:xVal>
          <c:yVal>
            <c:numRef>
              <c:f>Cre_3!$B$14:$B$23</c:f>
              <c:numCache>
                <c:formatCode>0.0000</c:formatCode>
                <c:ptCount val="10"/>
                <c:pt idx="0">
                  <c:v>0.4464285714285714</c:v>
                </c:pt>
                <c:pt idx="1">
                  <c:v>0.43383947939262468</c:v>
                </c:pt>
                <c:pt idx="2">
                  <c:v>0.39525691699604748</c:v>
                </c:pt>
                <c:pt idx="3">
                  <c:v>0.37878787878787878</c:v>
                </c:pt>
                <c:pt idx="4">
                  <c:v>0.33898305084745761</c:v>
                </c:pt>
                <c:pt idx="5">
                  <c:v>0.31948881789137379</c:v>
                </c:pt>
                <c:pt idx="6">
                  <c:v>0.31347962382445144</c:v>
                </c:pt>
                <c:pt idx="7">
                  <c:v>0.303951367781155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72-4B84-8B41-7123130BF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51583"/>
        <c:axId val="1"/>
      </c:scatterChart>
      <c:valAx>
        <c:axId val="375251583"/>
        <c:scaling>
          <c:orientation val="minMax"/>
          <c:max val="5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4783915369"/>
              <c:y val="0.897199196805270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2515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6896366116342305E-2"/>
                  <c:y val="0.13410046158023356"/>
                </c:manualLayout>
              </c:layout>
              <c:numFmt formatCode="General" sourceLinked="0"/>
            </c:trendlineLbl>
          </c:trendline>
          <c:xVal>
            <c:numRef>
              <c:f>Cre_8!$D$9:$D$15</c:f>
              <c:numCache>
                <c:formatCode>0.0000</c:formatCode>
                <c:ptCount val="7"/>
                <c:pt idx="0">
                  <c:v>0.19999999999999998</c:v>
                </c:pt>
                <c:pt idx="1">
                  <c:v>0.19899999999999998</c:v>
                </c:pt>
                <c:pt idx="2">
                  <c:v>0.19599999999999998</c:v>
                </c:pt>
                <c:pt idx="3">
                  <c:v>0.19499999999999998</c:v>
                </c:pt>
                <c:pt idx="4">
                  <c:v>0.19199999999999998</c:v>
                </c:pt>
                <c:pt idx="5">
                  <c:v>0.18799999999999997</c:v>
                </c:pt>
                <c:pt idx="6">
                  <c:v>0.18699999999999997</c:v>
                </c:pt>
              </c:numCache>
            </c:numRef>
          </c:xVal>
          <c:yVal>
            <c:numRef>
              <c:f>Cre_8!$A$9:$A$15</c:f>
              <c:numCache>
                <c:formatCode>General</c:formatCode>
                <c:ptCount val="7"/>
                <c:pt idx="0">
                  <c:v>-0.13400000000000001</c:v>
                </c:pt>
                <c:pt idx="1">
                  <c:v>-0.22500000000000001</c:v>
                </c:pt>
                <c:pt idx="2">
                  <c:v>-0.40100000000000002</c:v>
                </c:pt>
                <c:pt idx="3">
                  <c:v>-0.89100000000000001</c:v>
                </c:pt>
                <c:pt idx="4">
                  <c:v>-1.46</c:v>
                </c:pt>
                <c:pt idx="5">
                  <c:v>-2.04</c:v>
                </c:pt>
                <c:pt idx="6">
                  <c:v>-2.302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AD-472F-AEB5-1F7A6221F6F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3.3637162118002252E-2"/>
                  <c:y val="-9.7853561408272241E-2"/>
                </c:manualLayout>
              </c:layout>
              <c:numFmt formatCode="General" sourceLinked="0"/>
            </c:trendlineLbl>
          </c:trendline>
          <c:xVal>
            <c:numRef>
              <c:f>Cre_8!$D$15:$D$23</c:f>
              <c:numCache>
                <c:formatCode>0.0000</c:formatCode>
                <c:ptCount val="9"/>
                <c:pt idx="0">
                  <c:v>0.18699999999999997</c:v>
                </c:pt>
                <c:pt idx="1">
                  <c:v>0.18499999999999997</c:v>
                </c:pt>
                <c:pt idx="2">
                  <c:v>0.18199999999999997</c:v>
                </c:pt>
                <c:pt idx="3">
                  <c:v>0.17599999999999996</c:v>
                </c:pt>
                <c:pt idx="4">
                  <c:v>0.16600000000000001</c:v>
                </c:pt>
                <c:pt idx="5">
                  <c:v>0.161</c:v>
                </c:pt>
                <c:pt idx="6">
                  <c:v>0.151</c:v>
                </c:pt>
              </c:numCache>
            </c:numRef>
          </c:xVal>
          <c:yVal>
            <c:numRef>
              <c:f>Cre_8!$A$15:$A$23</c:f>
              <c:numCache>
                <c:formatCode>General</c:formatCode>
                <c:ptCount val="9"/>
                <c:pt idx="0">
                  <c:v>-2.302</c:v>
                </c:pt>
                <c:pt idx="1">
                  <c:v>-2.2799999999999998</c:v>
                </c:pt>
                <c:pt idx="2">
                  <c:v>-2.39</c:v>
                </c:pt>
                <c:pt idx="3">
                  <c:v>-2.68</c:v>
                </c:pt>
                <c:pt idx="4">
                  <c:v>-2.89</c:v>
                </c:pt>
                <c:pt idx="5">
                  <c:v>-3.07</c:v>
                </c:pt>
                <c:pt idx="6">
                  <c:v>-3.4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AD-472F-AEB5-1F7A6221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49087"/>
        <c:axId val="1"/>
      </c:scatterChart>
      <c:valAx>
        <c:axId val="375249087"/>
        <c:scaling>
          <c:orientation val="minMax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2779814469"/>
              <c:y val="3.395044001852709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6537026998"/>
              <c:y val="0.308642427049559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2490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8116847993"/>
          <c:y val="6.5421113191796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Cre_8!$G$10:$G$23</c:f>
              <c:numCache>
                <c:formatCode>0.00</c:formatCode>
                <c:ptCount val="14"/>
                <c:pt idx="0">
                  <c:v>0.49078811314736015</c:v>
                </c:pt>
                <c:pt idx="1">
                  <c:v>1.9909269858134877</c:v>
                </c:pt>
                <c:pt idx="2">
                  <c:v>2.4909732767022064</c:v>
                </c:pt>
                <c:pt idx="3">
                  <c:v>3.9911121493683197</c:v>
                </c:pt>
                <c:pt idx="4">
                  <c:v>5.9912973129231517</c:v>
                </c:pt>
                <c:pt idx="5">
                  <c:v>6.4913436038118562</c:v>
                </c:pt>
                <c:pt idx="6">
                  <c:v>7.4914361855892793</c:v>
                </c:pt>
                <c:pt idx="7">
                  <c:v>8.9915750582553926</c:v>
                </c:pt>
                <c:pt idx="8">
                  <c:v>11.991852803587634</c:v>
                </c:pt>
                <c:pt idx="9">
                  <c:v>16.992315712474678</c:v>
                </c:pt>
                <c:pt idx="10">
                  <c:v>19.492547166918214</c:v>
                </c:pt>
                <c:pt idx="11">
                  <c:v>24.493010075805287</c:v>
                </c:pt>
              </c:numCache>
            </c:numRef>
          </c:xVal>
          <c:yVal>
            <c:numRef>
              <c:f>Cre_8!$B$10:$B$23</c:f>
              <c:numCache>
                <c:formatCode>0.0000</c:formatCode>
                <c:ptCount val="14"/>
                <c:pt idx="0">
                  <c:v>4.4444444444444446</c:v>
                </c:pt>
                <c:pt idx="1">
                  <c:v>2.4937655860349124</c:v>
                </c:pt>
                <c:pt idx="2">
                  <c:v>1.122334455667789</c:v>
                </c:pt>
                <c:pt idx="3">
                  <c:v>0.68493150684931503</c:v>
                </c:pt>
                <c:pt idx="4">
                  <c:v>0.49019607843137253</c:v>
                </c:pt>
                <c:pt idx="5">
                  <c:v>0.43440486533449174</c:v>
                </c:pt>
                <c:pt idx="6">
                  <c:v>0.43859649122807021</c:v>
                </c:pt>
                <c:pt idx="7">
                  <c:v>0.41841004184100417</c:v>
                </c:pt>
                <c:pt idx="8">
                  <c:v>0.37313432835820892</c:v>
                </c:pt>
                <c:pt idx="9">
                  <c:v>0.34602076124567471</c:v>
                </c:pt>
                <c:pt idx="10">
                  <c:v>0.32573289902280134</c:v>
                </c:pt>
                <c:pt idx="11">
                  <c:v>0.29411764705882354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B2-47BA-8C0B-1CC4F3AF32B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Cre_8!$G$15:$G$23</c:f>
              <c:numCache>
                <c:formatCode>0.00</c:formatCode>
                <c:ptCount val="9"/>
                <c:pt idx="0">
                  <c:v>6.4913436038118562</c:v>
                </c:pt>
                <c:pt idx="1">
                  <c:v>7.4914361855892793</c:v>
                </c:pt>
                <c:pt idx="2">
                  <c:v>8.9915750582553926</c:v>
                </c:pt>
                <c:pt idx="3">
                  <c:v>11.991852803587634</c:v>
                </c:pt>
                <c:pt idx="4">
                  <c:v>16.992315712474678</c:v>
                </c:pt>
                <c:pt idx="5">
                  <c:v>19.492547166918214</c:v>
                </c:pt>
                <c:pt idx="6">
                  <c:v>24.493010075805287</c:v>
                </c:pt>
              </c:numCache>
            </c:numRef>
          </c:xVal>
          <c:yVal>
            <c:numRef>
              <c:f>Cre_8!$B$15:$B$23</c:f>
              <c:numCache>
                <c:formatCode>0.0000</c:formatCode>
                <c:ptCount val="9"/>
                <c:pt idx="0">
                  <c:v>0.43440486533449174</c:v>
                </c:pt>
                <c:pt idx="1">
                  <c:v>0.43859649122807021</c:v>
                </c:pt>
                <c:pt idx="2">
                  <c:v>0.41841004184100417</c:v>
                </c:pt>
                <c:pt idx="3">
                  <c:v>0.37313432835820892</c:v>
                </c:pt>
                <c:pt idx="4">
                  <c:v>0.34602076124567471</c:v>
                </c:pt>
                <c:pt idx="5">
                  <c:v>0.32573289902280134</c:v>
                </c:pt>
                <c:pt idx="6">
                  <c:v>0.29411764705882354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B2-47BA-8C0B-1CC4F3AF3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51583"/>
        <c:axId val="1"/>
      </c:scatterChart>
      <c:valAx>
        <c:axId val="375251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4783915369"/>
              <c:y val="0.897199196805270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2515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60285972667367E-2"/>
          <c:y val="0.19444503776086966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7.6896366116342305E-2"/>
                  <c:y val="0.13410046158023356"/>
                </c:manualLayout>
              </c:layout>
              <c:numFmt formatCode="General" sourceLinked="0"/>
            </c:trendlineLbl>
          </c:trendline>
          <c:xVal>
            <c:numRef>
              <c:f>Cre_10!$D$10:$D$16</c:f>
              <c:numCache>
                <c:formatCode>0.0000</c:formatCode>
                <c:ptCount val="7"/>
                <c:pt idx="0">
                  <c:v>0.25</c:v>
                </c:pt>
                <c:pt idx="1">
                  <c:v>0.24800000000000003</c:v>
                </c:pt>
                <c:pt idx="2">
                  <c:v>0.24500000000000002</c:v>
                </c:pt>
                <c:pt idx="3">
                  <c:v>0.24400000000000002</c:v>
                </c:pt>
                <c:pt idx="4">
                  <c:v>0.23900000000000002</c:v>
                </c:pt>
                <c:pt idx="5">
                  <c:v>0.23500000000000001</c:v>
                </c:pt>
                <c:pt idx="6">
                  <c:v>0.23100000000000001</c:v>
                </c:pt>
              </c:numCache>
            </c:numRef>
          </c:xVal>
          <c:yVal>
            <c:numRef>
              <c:f>Cre_10!$A$10:$A$16</c:f>
              <c:numCache>
                <c:formatCode>General</c:formatCode>
                <c:ptCount val="7"/>
                <c:pt idx="0">
                  <c:v>-0.13900000000000001</c:v>
                </c:pt>
                <c:pt idx="1">
                  <c:v>-0.27</c:v>
                </c:pt>
                <c:pt idx="2">
                  <c:v>-0.41099999999999998</c:v>
                </c:pt>
                <c:pt idx="3">
                  <c:v>-0.438</c:v>
                </c:pt>
                <c:pt idx="4">
                  <c:v>-1.0900000000000001</c:v>
                </c:pt>
                <c:pt idx="5">
                  <c:v>-1.71</c:v>
                </c:pt>
                <c:pt idx="6">
                  <c:v>-2.14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E-4518-8360-09C14D966E0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-3.3637162118002252E-2"/>
                  <c:y val="-9.7853561408272241E-2"/>
                </c:manualLayout>
              </c:layout>
              <c:numFmt formatCode="General" sourceLinked="0"/>
            </c:trendlineLbl>
          </c:trendline>
          <c:xVal>
            <c:numRef>
              <c:f>Cre_10!$D$16:$D$21</c:f>
              <c:numCache>
                <c:formatCode>0.0000</c:formatCode>
                <c:ptCount val="6"/>
                <c:pt idx="0">
                  <c:v>0.23100000000000001</c:v>
                </c:pt>
                <c:pt idx="1">
                  <c:v>0.22700000000000001</c:v>
                </c:pt>
                <c:pt idx="2">
                  <c:v>0.218</c:v>
                </c:pt>
                <c:pt idx="3">
                  <c:v>0.21299999999999999</c:v>
                </c:pt>
                <c:pt idx="4">
                  <c:v>0.19999999999999998</c:v>
                </c:pt>
                <c:pt idx="5">
                  <c:v>0.19100000000000003</c:v>
                </c:pt>
              </c:numCache>
            </c:numRef>
          </c:xVal>
          <c:yVal>
            <c:numRef>
              <c:f>Cre_10!$A$16:$A$21</c:f>
              <c:numCache>
                <c:formatCode>General</c:formatCode>
                <c:ptCount val="6"/>
                <c:pt idx="0">
                  <c:v>-2.14</c:v>
                </c:pt>
                <c:pt idx="1">
                  <c:v>-2.2400000000000002</c:v>
                </c:pt>
                <c:pt idx="2">
                  <c:v>-2.59</c:v>
                </c:pt>
                <c:pt idx="3">
                  <c:v>-2.66</c:v>
                </c:pt>
                <c:pt idx="4">
                  <c:v>-2.98</c:v>
                </c:pt>
                <c:pt idx="5">
                  <c:v>-3.21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DE-4518-8360-09C14D96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49087"/>
        <c:axId val="1"/>
      </c:scatterChart>
      <c:valAx>
        <c:axId val="375249087"/>
        <c:scaling>
          <c:orientation val="minMax"/>
          <c:min val="0.1500000000000000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2779814469"/>
              <c:y val="3.395044001852709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"/>
          <c:min val="-4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66537026998"/>
              <c:y val="0.308642427049559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52490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AU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AU" sz="1800" b="1" i="0" u="none" strike="noStrike" baseline="-25000">
                <a:solidFill>
                  <a:srgbClr val="000000"/>
                </a:solidFill>
                <a:latin typeface="Calibri"/>
                <a:cs typeface="Calibri"/>
              </a:rPr>
              <a:t>TLP</a:t>
            </a:r>
          </a:p>
        </c:rich>
      </c:tx>
      <c:layout>
        <c:manualLayout>
          <c:xMode val="edge"/>
          <c:yMode val="edge"/>
          <c:x val="0.47982088116847993"/>
          <c:y val="6.54211131917965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Cre_10!$G$10:$G$21</c:f>
              <c:numCache>
                <c:formatCode>0.00</c:formatCode>
                <c:ptCount val="12"/>
                <c:pt idx="0">
                  <c:v>-0.15280135071873246</c:v>
                </c:pt>
                <c:pt idx="1">
                  <c:v>0.64842106008701705</c:v>
                </c:pt>
                <c:pt idx="2">
                  <c:v>1.8502546762956342</c:v>
                </c:pt>
                <c:pt idx="3">
                  <c:v>2.2508658816985019</c:v>
                </c:pt>
                <c:pt idx="4">
                  <c:v>4.2539219087128828</c:v>
                </c:pt>
                <c:pt idx="5">
                  <c:v>5.8563667303243818</c:v>
                </c:pt>
                <c:pt idx="6">
                  <c:v>7.4588115519358809</c:v>
                </c:pt>
                <c:pt idx="7">
                  <c:v>9.0612563735473941</c:v>
                </c:pt>
                <c:pt idx="8">
                  <c:v>12.66675722217326</c:v>
                </c:pt>
                <c:pt idx="9">
                  <c:v>14.669813249187641</c:v>
                </c:pt>
                <c:pt idx="10">
                  <c:v>19.87775891942502</c:v>
                </c:pt>
                <c:pt idx="11">
                  <c:v>23.483259768050885</c:v>
                </c:pt>
              </c:numCache>
            </c:numRef>
          </c:xVal>
          <c:yVal>
            <c:numRef>
              <c:f>Cre_10!$B$10:$B$21</c:f>
              <c:numCache>
                <c:formatCode>0.0000</c:formatCode>
                <c:ptCount val="12"/>
                <c:pt idx="0">
                  <c:v>7.1942446043165464</c:v>
                </c:pt>
                <c:pt idx="1">
                  <c:v>3.7037037037037033</c:v>
                </c:pt>
                <c:pt idx="2">
                  <c:v>2.4330900243309004</c:v>
                </c:pt>
                <c:pt idx="3">
                  <c:v>2.2831050228310503</c:v>
                </c:pt>
                <c:pt idx="4">
                  <c:v>0.9174311926605504</c:v>
                </c:pt>
                <c:pt idx="5">
                  <c:v>0.58479532163742687</c:v>
                </c:pt>
                <c:pt idx="6">
                  <c:v>0.46728971962616822</c:v>
                </c:pt>
                <c:pt idx="7">
                  <c:v>0.4464285714285714</c:v>
                </c:pt>
                <c:pt idx="8">
                  <c:v>0.38610038610038611</c:v>
                </c:pt>
                <c:pt idx="9">
                  <c:v>0.37593984962406013</c:v>
                </c:pt>
                <c:pt idx="10">
                  <c:v>0.33557046979865773</c:v>
                </c:pt>
                <c:pt idx="11">
                  <c:v>0.3115264797507788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C-45A3-9D01-6E02F7317F4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10"/>
            <c:dispRSqr val="1"/>
            <c:dispEq val="0"/>
            <c:trendlineLbl>
              <c:layout>
                <c:manualLayout>
                  <c:x val="0.12228428845497449"/>
                  <c:y val="-0.2832828345905986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Cre_10!$G$16:$G$23</c:f>
              <c:numCache>
                <c:formatCode>0.00</c:formatCode>
                <c:ptCount val="8"/>
                <c:pt idx="0">
                  <c:v>7.4588115519358809</c:v>
                </c:pt>
                <c:pt idx="1">
                  <c:v>9.0612563735473941</c:v>
                </c:pt>
                <c:pt idx="2">
                  <c:v>12.66675722217326</c:v>
                </c:pt>
                <c:pt idx="3">
                  <c:v>14.669813249187641</c:v>
                </c:pt>
                <c:pt idx="4">
                  <c:v>19.87775891942502</c:v>
                </c:pt>
                <c:pt idx="5">
                  <c:v>23.483259768050885</c:v>
                </c:pt>
              </c:numCache>
            </c:numRef>
          </c:xVal>
          <c:yVal>
            <c:numRef>
              <c:f>Cre_10!$B$16:$B$23</c:f>
              <c:numCache>
                <c:formatCode>0.0000</c:formatCode>
                <c:ptCount val="8"/>
                <c:pt idx="0">
                  <c:v>0.46728971962616822</c:v>
                </c:pt>
                <c:pt idx="1">
                  <c:v>0.4464285714285714</c:v>
                </c:pt>
                <c:pt idx="2">
                  <c:v>0.38610038610038611</c:v>
                </c:pt>
                <c:pt idx="3">
                  <c:v>0.37593984962406013</c:v>
                </c:pt>
                <c:pt idx="4">
                  <c:v>0.33557046979865773</c:v>
                </c:pt>
                <c:pt idx="5">
                  <c:v>0.3115264797507788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0C-45A3-9D01-6E02F7317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51583"/>
        <c:axId val="1"/>
      </c:scatterChart>
      <c:valAx>
        <c:axId val="375251583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AU"/>
                  <a:t>100-RWC (%)</a:t>
                </a:r>
              </a:p>
            </c:rich>
          </c:tx>
          <c:layout>
            <c:manualLayout>
              <c:xMode val="edge"/>
              <c:yMode val="edge"/>
              <c:x val="0.4304934783915369"/>
              <c:y val="0.897199196805270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2515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530677</xdr:colOff>
      <xdr:row>30</xdr:row>
      <xdr:rowOff>50572</xdr:rowOff>
    </xdr:from>
    <xdr:to>
      <xdr:col>11</xdr:col>
      <xdr:colOff>319087</xdr:colOff>
      <xdr:row>46</xdr:row>
      <xdr:rowOff>69622</xdr:rowOff>
    </xdr:to>
    <xdr:graphicFrame macro="">
      <xdr:nvGraphicFramePr>
        <xdr:cNvPr id="7036011" name="1 Gráfico">
          <a:extLst>
            <a:ext uri="{FF2B5EF4-FFF2-40B4-BE49-F238E27FC236}">
              <a16:creationId xmlns:a16="http://schemas.microsoft.com/office/drawing/2014/main" id="{A2CCB94B-0D4C-4BA9-BC2F-9D8865791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150586</xdr:colOff>
      <xdr:row>30</xdr:row>
      <xdr:rowOff>43542</xdr:rowOff>
    </xdr:from>
    <xdr:to>
      <xdr:col>5</xdr:col>
      <xdr:colOff>360136</xdr:colOff>
      <xdr:row>46</xdr:row>
      <xdr:rowOff>67355</xdr:rowOff>
    </xdr:to>
    <xdr:graphicFrame macro="">
      <xdr:nvGraphicFramePr>
        <xdr:cNvPr id="7036012" name="Chart 2">
          <a:extLst>
            <a:ext uri="{FF2B5EF4-FFF2-40B4-BE49-F238E27FC236}">
              <a16:creationId xmlns:a16="http://schemas.microsoft.com/office/drawing/2014/main" id="{CFF06AAB-0DFE-4F20-B5AD-1D3D17628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192314</xdr:colOff>
      <xdr:row>36</xdr:row>
      <xdr:rowOff>63500</xdr:rowOff>
    </xdr:from>
    <xdr:to>
      <xdr:col>11</xdr:col>
      <xdr:colOff>526143</xdr:colOff>
      <xdr:row>52</xdr:row>
      <xdr:rowOff>146957</xdr:rowOff>
    </xdr:to>
    <xdr:graphicFrame macro="">
      <xdr:nvGraphicFramePr>
        <xdr:cNvPr id="7037035" name="1 Gráfico">
          <a:extLst>
            <a:ext uri="{FF2B5EF4-FFF2-40B4-BE49-F238E27FC236}">
              <a16:creationId xmlns:a16="http://schemas.microsoft.com/office/drawing/2014/main" id="{4100D0A5-059F-4FCD-B787-86590E939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214086</xdr:colOff>
      <xdr:row>36</xdr:row>
      <xdr:rowOff>42634</xdr:rowOff>
    </xdr:from>
    <xdr:to>
      <xdr:col>5</xdr:col>
      <xdr:colOff>562428</xdr:colOff>
      <xdr:row>52</xdr:row>
      <xdr:rowOff>126999</xdr:rowOff>
    </xdr:to>
    <xdr:graphicFrame macro="">
      <xdr:nvGraphicFramePr>
        <xdr:cNvPr id="7037036" name="Chart 2">
          <a:extLst>
            <a:ext uri="{FF2B5EF4-FFF2-40B4-BE49-F238E27FC236}">
              <a16:creationId xmlns:a16="http://schemas.microsoft.com/office/drawing/2014/main" id="{5886535E-29FC-40BE-8722-7024E841A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29</xdr:row>
      <xdr:rowOff>61912</xdr:rowOff>
    </xdr:from>
    <xdr:to>
      <xdr:col>11</xdr:col>
      <xdr:colOff>1106488</xdr:colOff>
      <xdr:row>45</xdr:row>
      <xdr:rowOff>80962</xdr:rowOff>
    </xdr:to>
    <xdr:graphicFrame macro="">
      <xdr:nvGraphicFramePr>
        <xdr:cNvPr id="1771" name="1 Gráfico">
          <a:extLst>
            <a:ext uri="{FF2B5EF4-FFF2-40B4-BE49-F238E27FC236}">
              <a16:creationId xmlns:a16="http://schemas.microsoft.com/office/drawing/2014/main" id="{14FAD060-CBE4-4E74-8F89-696EE2CC9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29</xdr:row>
      <xdr:rowOff>127000</xdr:rowOff>
    </xdr:from>
    <xdr:to>
      <xdr:col>5</xdr:col>
      <xdr:colOff>463550</xdr:colOff>
      <xdr:row>46</xdr:row>
      <xdr:rowOff>6350</xdr:rowOff>
    </xdr:to>
    <xdr:graphicFrame macro="">
      <xdr:nvGraphicFramePr>
        <xdr:cNvPr id="1772" name="Chart 2">
          <a:extLst>
            <a:ext uri="{FF2B5EF4-FFF2-40B4-BE49-F238E27FC236}">
              <a16:creationId xmlns:a16="http://schemas.microsoft.com/office/drawing/2014/main" id="{1FF3FCB6-2C80-4E83-90EB-6349DD805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750207</xdr:colOff>
      <xdr:row>27</xdr:row>
      <xdr:rowOff>78015</xdr:rowOff>
    </xdr:from>
    <xdr:to>
      <xdr:col>11</xdr:col>
      <xdr:colOff>119516</xdr:colOff>
      <xdr:row>43</xdr:row>
      <xdr:rowOff>95931</xdr:rowOff>
    </xdr:to>
    <xdr:graphicFrame macro="">
      <xdr:nvGraphicFramePr>
        <xdr:cNvPr id="1872371" name="1 Gráfico">
          <a:extLst>
            <a:ext uri="{FF2B5EF4-FFF2-40B4-BE49-F238E27FC236}">
              <a16:creationId xmlns:a16="http://schemas.microsoft.com/office/drawing/2014/main" id="{66841079-D63D-4EF3-8758-D1F736DD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206375</xdr:colOff>
      <xdr:row>27</xdr:row>
      <xdr:rowOff>142875</xdr:rowOff>
    </xdr:from>
    <xdr:to>
      <xdr:col>5</xdr:col>
      <xdr:colOff>415925</xdr:colOff>
      <xdr:row>44</xdr:row>
      <xdr:rowOff>3175</xdr:rowOff>
    </xdr:to>
    <xdr:graphicFrame macro="">
      <xdr:nvGraphicFramePr>
        <xdr:cNvPr id="1872372" name="Chart 2">
          <a:extLst>
            <a:ext uri="{FF2B5EF4-FFF2-40B4-BE49-F238E27FC236}">
              <a16:creationId xmlns:a16="http://schemas.microsoft.com/office/drawing/2014/main" id="{8A15FD94-14D2-46BE-A103-C0778FB1F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40</xdr:row>
      <xdr:rowOff>109537</xdr:rowOff>
    </xdr:from>
    <xdr:to>
      <xdr:col>11</xdr:col>
      <xdr:colOff>96838</xdr:colOff>
      <xdr:row>56</xdr:row>
      <xdr:rowOff>128587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18F81D01-45C1-4B39-A4BF-5DC430462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40</xdr:row>
      <xdr:rowOff>127000</xdr:rowOff>
    </xdr:from>
    <xdr:to>
      <xdr:col>5</xdr:col>
      <xdr:colOff>463550</xdr:colOff>
      <xdr:row>57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1352B-2BDF-4408-BB58-C51BCC267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722313</xdr:colOff>
      <xdr:row>33</xdr:row>
      <xdr:rowOff>6349</xdr:rowOff>
    </xdr:from>
    <xdr:to>
      <xdr:col>11</xdr:col>
      <xdr:colOff>41276</xdr:colOff>
      <xdr:row>49</xdr:row>
      <xdr:rowOff>25399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CD60DB9A-2B28-4D19-87B6-BA0EB8583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206375</xdr:colOff>
      <xdr:row>32</xdr:row>
      <xdr:rowOff>134937</xdr:rowOff>
    </xdr:from>
    <xdr:to>
      <xdr:col>5</xdr:col>
      <xdr:colOff>415925</xdr:colOff>
      <xdr:row>49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75A7BE-A449-4FEB-B42D-7B3F134B4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1814</xdr:colOff>
      <xdr:row>28</xdr:row>
      <xdr:rowOff>173264</xdr:rowOff>
    </xdr:from>
    <xdr:to>
      <xdr:col>11</xdr:col>
      <xdr:colOff>147864</xdr:colOff>
      <xdr:row>45</xdr:row>
      <xdr:rowOff>10885</xdr:rowOff>
    </xdr:to>
    <xdr:graphicFrame macro="">
      <xdr:nvGraphicFramePr>
        <xdr:cNvPr id="47825" name="1 Gráfico">
          <a:extLst>
            <a:ext uri="{FF2B5EF4-FFF2-40B4-BE49-F238E27FC236}">
              <a16:creationId xmlns:a16="http://schemas.microsoft.com/office/drawing/2014/main" id="{78D292B7-FEC5-4C58-AED7-71321AAB3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251278</xdr:colOff>
      <xdr:row>28</xdr:row>
      <xdr:rowOff>152400</xdr:rowOff>
    </xdr:from>
    <xdr:to>
      <xdr:col>5</xdr:col>
      <xdr:colOff>454478</xdr:colOff>
      <xdr:row>44</xdr:row>
      <xdr:rowOff>177800</xdr:rowOff>
    </xdr:to>
    <xdr:graphicFrame macro="">
      <xdr:nvGraphicFramePr>
        <xdr:cNvPr id="47826" name="Chart 2">
          <a:extLst>
            <a:ext uri="{FF2B5EF4-FFF2-40B4-BE49-F238E27FC236}">
              <a16:creationId xmlns:a16="http://schemas.microsoft.com/office/drawing/2014/main" id="{13BE1108-4CFA-49B5-B8D0-189509AC1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160867</xdr:colOff>
      <xdr:row>34</xdr:row>
      <xdr:rowOff>25401</xdr:rowOff>
    </xdr:from>
    <xdr:to>
      <xdr:col>11</xdr:col>
      <xdr:colOff>357717</xdr:colOff>
      <xdr:row>50</xdr:row>
      <xdr:rowOff>44450</xdr:rowOff>
    </xdr:to>
    <xdr:graphicFrame macro="">
      <xdr:nvGraphicFramePr>
        <xdr:cNvPr id="54991" name="1 Gráfico">
          <a:extLst>
            <a:ext uri="{FF2B5EF4-FFF2-40B4-BE49-F238E27FC236}">
              <a16:creationId xmlns:a16="http://schemas.microsoft.com/office/drawing/2014/main" id="{E61EAE88-398C-4D7F-B1E2-AA6A24EC5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251884</xdr:colOff>
      <xdr:row>34</xdr:row>
      <xdr:rowOff>6351</xdr:rowOff>
    </xdr:from>
    <xdr:to>
      <xdr:col>5</xdr:col>
      <xdr:colOff>461434</xdr:colOff>
      <xdr:row>50</xdr:row>
      <xdr:rowOff>19050</xdr:rowOff>
    </xdr:to>
    <xdr:graphicFrame macro="">
      <xdr:nvGraphicFramePr>
        <xdr:cNvPr id="54992" name="Chart 2">
          <a:extLst>
            <a:ext uri="{FF2B5EF4-FFF2-40B4-BE49-F238E27FC236}">
              <a16:creationId xmlns:a16="http://schemas.microsoft.com/office/drawing/2014/main" id="{697AB822-9326-42C1-A9D7-B14088D23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347663</xdr:colOff>
      <xdr:row>32</xdr:row>
      <xdr:rowOff>31749</xdr:rowOff>
    </xdr:from>
    <xdr:to>
      <xdr:col>11</xdr:col>
      <xdr:colOff>588963</xdr:colOff>
      <xdr:row>48</xdr:row>
      <xdr:rowOff>55562</xdr:rowOff>
    </xdr:to>
    <xdr:graphicFrame macro="">
      <xdr:nvGraphicFramePr>
        <xdr:cNvPr id="56015" name="1 Gráfico">
          <a:extLst>
            <a:ext uri="{FF2B5EF4-FFF2-40B4-BE49-F238E27FC236}">
              <a16:creationId xmlns:a16="http://schemas.microsoft.com/office/drawing/2014/main" id="{62007A9D-0D7C-4E9C-B4F2-1A8742467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32</xdr:row>
      <xdr:rowOff>19050</xdr:rowOff>
    </xdr:from>
    <xdr:to>
      <xdr:col>5</xdr:col>
      <xdr:colOff>558800</xdr:colOff>
      <xdr:row>48</xdr:row>
      <xdr:rowOff>50800</xdr:rowOff>
    </xdr:to>
    <xdr:graphicFrame macro="">
      <xdr:nvGraphicFramePr>
        <xdr:cNvPr id="56016" name="Chart 2">
          <a:extLst>
            <a:ext uri="{FF2B5EF4-FFF2-40B4-BE49-F238E27FC236}">
              <a16:creationId xmlns:a16="http://schemas.microsoft.com/office/drawing/2014/main" id="{5429A3FC-6944-4A2F-B1AF-9481031F6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347663</xdr:colOff>
      <xdr:row>30</xdr:row>
      <xdr:rowOff>31749</xdr:rowOff>
    </xdr:from>
    <xdr:to>
      <xdr:col>11</xdr:col>
      <xdr:colOff>588963</xdr:colOff>
      <xdr:row>46</xdr:row>
      <xdr:rowOff>55562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76A242C5-09B0-47DC-978B-852A1E5D7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30</xdr:row>
      <xdr:rowOff>19050</xdr:rowOff>
    </xdr:from>
    <xdr:to>
      <xdr:col>5</xdr:col>
      <xdr:colOff>558800</xdr:colOff>
      <xdr:row>46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009FD5-F85A-4E12-A476-DA35A380E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347663</xdr:colOff>
      <xdr:row>33</xdr:row>
      <xdr:rowOff>31749</xdr:rowOff>
    </xdr:from>
    <xdr:to>
      <xdr:col>11</xdr:col>
      <xdr:colOff>588963</xdr:colOff>
      <xdr:row>49</xdr:row>
      <xdr:rowOff>55562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DB4649E4-28CD-4583-8043-E5201364B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33</xdr:row>
      <xdr:rowOff>19050</xdr:rowOff>
    </xdr:from>
    <xdr:to>
      <xdr:col>5</xdr:col>
      <xdr:colOff>558800</xdr:colOff>
      <xdr:row>49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E962EB-B622-4165-8015-63F0B9118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347663</xdr:colOff>
      <xdr:row>31</xdr:row>
      <xdr:rowOff>31749</xdr:rowOff>
    </xdr:from>
    <xdr:to>
      <xdr:col>11</xdr:col>
      <xdr:colOff>588963</xdr:colOff>
      <xdr:row>47</xdr:row>
      <xdr:rowOff>55562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D0EF2A95-0E65-4DCA-90F5-D159768DF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31</xdr:row>
      <xdr:rowOff>19050</xdr:rowOff>
    </xdr:from>
    <xdr:to>
      <xdr:col>5</xdr:col>
      <xdr:colOff>558800</xdr:colOff>
      <xdr:row>47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321518-A4BE-4F24-B987-C536DBC16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36</xdr:row>
      <xdr:rowOff>171451</xdr:rowOff>
    </xdr:from>
    <xdr:to>
      <xdr:col>5</xdr:col>
      <xdr:colOff>280988</xdr:colOff>
      <xdr:row>52</xdr:row>
      <xdr:rowOff>179388</xdr:rowOff>
    </xdr:to>
    <xdr:graphicFrame macro="">
      <xdr:nvGraphicFramePr>
        <xdr:cNvPr id="57299" name="Chart 2">
          <a:extLst>
            <a:ext uri="{FF2B5EF4-FFF2-40B4-BE49-F238E27FC236}">
              <a16:creationId xmlns:a16="http://schemas.microsoft.com/office/drawing/2014/main" id="{3246E13C-17AB-4745-A708-EFC42704E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574902</xdr:colOff>
      <xdr:row>36</xdr:row>
      <xdr:rowOff>164419</xdr:rowOff>
    </xdr:from>
    <xdr:to>
      <xdr:col>11</xdr:col>
      <xdr:colOff>354239</xdr:colOff>
      <xdr:row>53</xdr:row>
      <xdr:rowOff>19504</xdr:rowOff>
    </xdr:to>
    <xdr:graphicFrame macro="">
      <xdr:nvGraphicFramePr>
        <xdr:cNvPr id="57300" name="1 Gráfico">
          <a:extLst>
            <a:ext uri="{FF2B5EF4-FFF2-40B4-BE49-F238E27FC236}">
              <a16:creationId xmlns:a16="http://schemas.microsoft.com/office/drawing/2014/main" id="{6EDFED7C-A6A4-4C7E-BC38-D50D8DF0B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442913</xdr:colOff>
      <xdr:row>30</xdr:row>
      <xdr:rowOff>19050</xdr:rowOff>
    </xdr:from>
    <xdr:to>
      <xdr:col>11</xdr:col>
      <xdr:colOff>692151</xdr:colOff>
      <xdr:row>46</xdr:row>
      <xdr:rowOff>38100</xdr:rowOff>
    </xdr:to>
    <xdr:graphicFrame macro="">
      <xdr:nvGraphicFramePr>
        <xdr:cNvPr id="58063" name="1 Gráfico">
          <a:extLst>
            <a:ext uri="{FF2B5EF4-FFF2-40B4-BE49-F238E27FC236}">
              <a16:creationId xmlns:a16="http://schemas.microsoft.com/office/drawing/2014/main" id="{C7A2A868-9DBD-4564-8572-6EE855CA2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29</xdr:row>
      <xdr:rowOff>177800</xdr:rowOff>
    </xdr:from>
    <xdr:to>
      <xdr:col>5</xdr:col>
      <xdr:colOff>666750</xdr:colOff>
      <xdr:row>46</xdr:row>
      <xdr:rowOff>6350</xdr:rowOff>
    </xdr:to>
    <xdr:graphicFrame macro="">
      <xdr:nvGraphicFramePr>
        <xdr:cNvPr id="58064" name="Chart 2">
          <a:extLst>
            <a:ext uri="{FF2B5EF4-FFF2-40B4-BE49-F238E27FC236}">
              <a16:creationId xmlns:a16="http://schemas.microsoft.com/office/drawing/2014/main" id="{0BC280BE-DA49-46E5-8E62-4947E89E7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</xdr:colOff>
      <xdr:row>26</xdr:row>
      <xdr:rowOff>114300</xdr:rowOff>
    </xdr:from>
    <xdr:to>
      <xdr:col>11</xdr:col>
      <xdr:colOff>200024</xdr:colOff>
      <xdr:row>42</xdr:row>
      <xdr:rowOff>133350</xdr:rowOff>
    </xdr:to>
    <xdr:graphicFrame macro="">
      <xdr:nvGraphicFramePr>
        <xdr:cNvPr id="59087" name="1 Gráfico">
          <a:extLst>
            <a:ext uri="{FF2B5EF4-FFF2-40B4-BE49-F238E27FC236}">
              <a16:creationId xmlns:a16="http://schemas.microsoft.com/office/drawing/2014/main" id="{C081460B-3AEF-44C6-867B-F80D6171E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127227</xdr:colOff>
      <xdr:row>26</xdr:row>
      <xdr:rowOff>161699</xdr:rowOff>
    </xdr:from>
    <xdr:to>
      <xdr:col>5</xdr:col>
      <xdr:colOff>336777</xdr:colOff>
      <xdr:row>42</xdr:row>
      <xdr:rowOff>168049</xdr:rowOff>
    </xdr:to>
    <xdr:graphicFrame macro="">
      <xdr:nvGraphicFramePr>
        <xdr:cNvPr id="59088" name="Chart 2">
          <a:extLst>
            <a:ext uri="{FF2B5EF4-FFF2-40B4-BE49-F238E27FC236}">
              <a16:creationId xmlns:a16="http://schemas.microsoft.com/office/drawing/2014/main" id="{6AB9B51D-BA83-4B50-A2D0-9B23B31F7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</xdr:colOff>
      <xdr:row>30</xdr:row>
      <xdr:rowOff>114300</xdr:rowOff>
    </xdr:from>
    <xdr:to>
      <xdr:col>11</xdr:col>
      <xdr:colOff>200024</xdr:colOff>
      <xdr:row>46</xdr:row>
      <xdr:rowOff>133350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7F863F84-406A-4F91-8BBB-FEE278BAF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163512</xdr:colOff>
      <xdr:row>30</xdr:row>
      <xdr:rowOff>61913</xdr:rowOff>
    </xdr:from>
    <xdr:to>
      <xdr:col>5</xdr:col>
      <xdr:colOff>373062</xdr:colOff>
      <xdr:row>46</xdr:row>
      <xdr:rowOff>68263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96917-1DC6-4691-91A4-4D8BC5C55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</xdr:colOff>
      <xdr:row>29</xdr:row>
      <xdr:rowOff>114300</xdr:rowOff>
    </xdr:from>
    <xdr:to>
      <xdr:col>11</xdr:col>
      <xdr:colOff>200024</xdr:colOff>
      <xdr:row>45</xdr:row>
      <xdr:rowOff>133350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901D9018-D2F1-4720-A18D-03ABBFBA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163512</xdr:colOff>
      <xdr:row>29</xdr:row>
      <xdr:rowOff>61913</xdr:rowOff>
    </xdr:from>
    <xdr:to>
      <xdr:col>5</xdr:col>
      <xdr:colOff>373062</xdr:colOff>
      <xdr:row>45</xdr:row>
      <xdr:rowOff>68263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9A51E-7958-447F-89B8-3E9863ACA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</xdr:colOff>
      <xdr:row>29</xdr:row>
      <xdr:rowOff>114300</xdr:rowOff>
    </xdr:from>
    <xdr:to>
      <xdr:col>11</xdr:col>
      <xdr:colOff>200024</xdr:colOff>
      <xdr:row>45</xdr:row>
      <xdr:rowOff>133350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597F3E03-D06B-49A1-8FFF-65FBCE706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163512</xdr:colOff>
      <xdr:row>29</xdr:row>
      <xdr:rowOff>61913</xdr:rowOff>
    </xdr:from>
    <xdr:to>
      <xdr:col>5</xdr:col>
      <xdr:colOff>373062</xdr:colOff>
      <xdr:row>45</xdr:row>
      <xdr:rowOff>68263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0B0BB0-5F36-4C86-930F-496FB0416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177801</xdr:colOff>
      <xdr:row>33</xdr:row>
      <xdr:rowOff>100014</xdr:rowOff>
    </xdr:from>
    <xdr:to>
      <xdr:col>5</xdr:col>
      <xdr:colOff>392113</xdr:colOff>
      <xdr:row>49</xdr:row>
      <xdr:rowOff>107951</xdr:rowOff>
    </xdr:to>
    <xdr:graphicFrame macro="">
      <xdr:nvGraphicFramePr>
        <xdr:cNvPr id="4094312" name="Chart 2">
          <a:extLst>
            <a:ext uri="{FF2B5EF4-FFF2-40B4-BE49-F238E27FC236}">
              <a16:creationId xmlns:a16="http://schemas.microsoft.com/office/drawing/2014/main" id="{B431DCD5-B0D0-4151-BF09-CEC9FEC1B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603250</xdr:colOff>
      <xdr:row>33</xdr:row>
      <xdr:rowOff>71438</xdr:rowOff>
    </xdr:from>
    <xdr:to>
      <xdr:col>11</xdr:col>
      <xdr:colOff>490537</xdr:colOff>
      <xdr:row>49</xdr:row>
      <xdr:rowOff>123826</xdr:rowOff>
    </xdr:to>
    <xdr:graphicFrame macro="">
      <xdr:nvGraphicFramePr>
        <xdr:cNvPr id="4094313" name="1 Gráfico">
          <a:extLst>
            <a:ext uri="{FF2B5EF4-FFF2-40B4-BE49-F238E27FC236}">
              <a16:creationId xmlns:a16="http://schemas.microsoft.com/office/drawing/2014/main" id="{ECE513A0-8930-4261-AD21-D9735725C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33</xdr:row>
      <xdr:rowOff>180974</xdr:rowOff>
    </xdr:from>
    <xdr:to>
      <xdr:col>5</xdr:col>
      <xdr:colOff>47625</xdr:colOff>
      <xdr:row>48</xdr:row>
      <xdr:rowOff>63499</xdr:rowOff>
    </xdr:to>
    <xdr:graphicFrame macro="">
      <xdr:nvGraphicFramePr>
        <xdr:cNvPr id="4095331" name="Chart 2">
          <a:extLst>
            <a:ext uri="{FF2B5EF4-FFF2-40B4-BE49-F238E27FC236}">
              <a16:creationId xmlns:a16="http://schemas.microsoft.com/office/drawing/2014/main" id="{789315C7-17E4-407E-8B56-8F7D4DA09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236537</xdr:colOff>
      <xdr:row>33</xdr:row>
      <xdr:rowOff>136525</xdr:rowOff>
    </xdr:from>
    <xdr:to>
      <xdr:col>10</xdr:col>
      <xdr:colOff>1381124</xdr:colOff>
      <xdr:row>48</xdr:row>
      <xdr:rowOff>71437</xdr:rowOff>
    </xdr:to>
    <xdr:graphicFrame macro="">
      <xdr:nvGraphicFramePr>
        <xdr:cNvPr id="4095332" name="1 Gráfico">
          <a:extLst>
            <a:ext uri="{FF2B5EF4-FFF2-40B4-BE49-F238E27FC236}">
              <a16:creationId xmlns:a16="http://schemas.microsoft.com/office/drawing/2014/main" id="{E6B0E849-228D-4CAC-BA94-0B2F196DA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26</xdr:row>
      <xdr:rowOff>128588</xdr:rowOff>
    </xdr:from>
    <xdr:to>
      <xdr:col>4</xdr:col>
      <xdr:colOff>420689</xdr:colOff>
      <xdr:row>39</xdr:row>
      <xdr:rowOff>166688</xdr:rowOff>
    </xdr:to>
    <xdr:graphicFrame macro="">
      <xdr:nvGraphicFramePr>
        <xdr:cNvPr id="4096407" name="Chart 2">
          <a:extLst>
            <a:ext uri="{FF2B5EF4-FFF2-40B4-BE49-F238E27FC236}">
              <a16:creationId xmlns:a16="http://schemas.microsoft.com/office/drawing/2014/main" id="{9408450D-7023-4144-9F0D-A0E46E847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601663</xdr:colOff>
      <xdr:row>26</xdr:row>
      <xdr:rowOff>141287</xdr:rowOff>
    </xdr:from>
    <xdr:to>
      <xdr:col>10</xdr:col>
      <xdr:colOff>23812</xdr:colOff>
      <xdr:row>40</xdr:row>
      <xdr:rowOff>63500</xdr:rowOff>
    </xdr:to>
    <xdr:graphicFrame macro="">
      <xdr:nvGraphicFramePr>
        <xdr:cNvPr id="4096408" name="1 Gráfico">
          <a:extLst>
            <a:ext uri="{FF2B5EF4-FFF2-40B4-BE49-F238E27FC236}">
              <a16:creationId xmlns:a16="http://schemas.microsoft.com/office/drawing/2014/main" id="{86483C1E-3058-4115-A9F0-F98A03A2C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177801</xdr:colOff>
      <xdr:row>29</xdr:row>
      <xdr:rowOff>100014</xdr:rowOff>
    </xdr:from>
    <xdr:to>
      <xdr:col>5</xdr:col>
      <xdr:colOff>392113</xdr:colOff>
      <xdr:row>45</xdr:row>
      <xdr:rowOff>107951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B279D8D-9F8C-410A-B21E-674450BC3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603251</xdr:colOff>
      <xdr:row>29</xdr:row>
      <xdr:rowOff>127000</xdr:rowOff>
    </xdr:from>
    <xdr:to>
      <xdr:col>11</xdr:col>
      <xdr:colOff>199573</xdr:colOff>
      <xdr:row>45</xdr:row>
      <xdr:rowOff>123826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201F6877-1C84-4DDC-B709-D72DEE469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177801</xdr:colOff>
      <xdr:row>26</xdr:row>
      <xdr:rowOff>100014</xdr:rowOff>
    </xdr:from>
    <xdr:to>
      <xdr:col>5</xdr:col>
      <xdr:colOff>392113</xdr:colOff>
      <xdr:row>42</xdr:row>
      <xdr:rowOff>107951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AE72FCC-493B-46D8-B0BC-1826F9144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603250</xdr:colOff>
      <xdr:row>26</xdr:row>
      <xdr:rowOff>99785</xdr:rowOff>
    </xdr:from>
    <xdr:to>
      <xdr:col>11</xdr:col>
      <xdr:colOff>371929</xdr:colOff>
      <xdr:row>42</xdr:row>
      <xdr:rowOff>123826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4B4191A3-9550-4E88-9270-C1F993FC3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26</xdr:row>
      <xdr:rowOff>136071</xdr:rowOff>
    </xdr:from>
    <xdr:to>
      <xdr:col>5</xdr:col>
      <xdr:colOff>210685</xdr:colOff>
      <xdr:row>42</xdr:row>
      <xdr:rowOff>53522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6B824C-1018-4A2C-9569-8B93FF09B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439964</xdr:colOff>
      <xdr:row>26</xdr:row>
      <xdr:rowOff>117928</xdr:rowOff>
    </xdr:from>
    <xdr:to>
      <xdr:col>10</xdr:col>
      <xdr:colOff>517070</xdr:colOff>
      <xdr:row>42</xdr:row>
      <xdr:rowOff>18143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7C244F71-425E-437A-AA4E-33D520047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36</xdr:row>
      <xdr:rowOff>-1</xdr:rowOff>
    </xdr:from>
    <xdr:to>
      <xdr:col>4</xdr:col>
      <xdr:colOff>655637</xdr:colOff>
      <xdr:row>49</xdr:row>
      <xdr:rowOff>134937</xdr:rowOff>
    </xdr:to>
    <xdr:graphicFrame macro="">
      <xdr:nvGraphicFramePr>
        <xdr:cNvPr id="7391357" name="Chart 2">
          <a:extLst>
            <a:ext uri="{FF2B5EF4-FFF2-40B4-BE49-F238E27FC236}">
              <a16:creationId xmlns:a16="http://schemas.microsoft.com/office/drawing/2014/main" id="{3B10B8A5-9602-4550-ADAF-4E45777D9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246063</xdr:colOff>
      <xdr:row>35</xdr:row>
      <xdr:rowOff>158749</xdr:rowOff>
    </xdr:from>
    <xdr:to>
      <xdr:col>10</xdr:col>
      <xdr:colOff>600075</xdr:colOff>
      <xdr:row>52</xdr:row>
      <xdr:rowOff>4761</xdr:rowOff>
    </xdr:to>
    <xdr:graphicFrame macro="">
      <xdr:nvGraphicFramePr>
        <xdr:cNvPr id="7391358" name="1 Gráfico">
          <a:extLst>
            <a:ext uri="{FF2B5EF4-FFF2-40B4-BE49-F238E27FC236}">
              <a16:creationId xmlns:a16="http://schemas.microsoft.com/office/drawing/2014/main" id="{74658847-A1F7-4A19-ACDD-A909FDC07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111124</xdr:colOff>
      <xdr:row>36</xdr:row>
      <xdr:rowOff>119062</xdr:rowOff>
    </xdr:from>
    <xdr:to>
      <xdr:col>4</xdr:col>
      <xdr:colOff>588961</xdr:colOff>
      <xdr:row>51</xdr:row>
      <xdr:rowOff>142875</xdr:rowOff>
    </xdr:to>
    <xdr:graphicFrame macro="">
      <xdr:nvGraphicFramePr>
        <xdr:cNvPr id="7392381" name="Chart 2">
          <a:extLst>
            <a:ext uri="{FF2B5EF4-FFF2-40B4-BE49-F238E27FC236}">
              <a16:creationId xmlns:a16="http://schemas.microsoft.com/office/drawing/2014/main" id="{2B1FDA54-0CB1-41FC-B430-884B6221A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246063</xdr:colOff>
      <xdr:row>36</xdr:row>
      <xdr:rowOff>127001</xdr:rowOff>
    </xdr:from>
    <xdr:to>
      <xdr:col>10</xdr:col>
      <xdr:colOff>847725</xdr:colOff>
      <xdr:row>52</xdr:row>
      <xdr:rowOff>36514</xdr:rowOff>
    </xdr:to>
    <xdr:graphicFrame macro="">
      <xdr:nvGraphicFramePr>
        <xdr:cNvPr id="7392382" name="1 Gráfico">
          <a:extLst>
            <a:ext uri="{FF2B5EF4-FFF2-40B4-BE49-F238E27FC236}">
              <a16:creationId xmlns:a16="http://schemas.microsoft.com/office/drawing/2014/main" id="{A6D60CE9-22CE-4A0C-8353-439AFB202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119061</xdr:colOff>
      <xdr:row>33</xdr:row>
      <xdr:rowOff>174625</xdr:rowOff>
    </xdr:from>
    <xdr:to>
      <xdr:col>4</xdr:col>
      <xdr:colOff>515938</xdr:colOff>
      <xdr:row>49</xdr:row>
      <xdr:rowOff>87312</xdr:rowOff>
    </xdr:to>
    <xdr:graphicFrame macro="">
      <xdr:nvGraphicFramePr>
        <xdr:cNvPr id="7393405" name="Chart 2">
          <a:extLst>
            <a:ext uri="{FF2B5EF4-FFF2-40B4-BE49-F238E27FC236}">
              <a16:creationId xmlns:a16="http://schemas.microsoft.com/office/drawing/2014/main" id="{B0AF4D4B-261E-4D97-912F-9C8CF1FD8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658814</xdr:colOff>
      <xdr:row>33</xdr:row>
      <xdr:rowOff>166688</xdr:rowOff>
    </xdr:from>
    <xdr:to>
      <xdr:col>9</xdr:col>
      <xdr:colOff>785813</xdr:colOff>
      <xdr:row>49</xdr:row>
      <xdr:rowOff>71438</xdr:rowOff>
    </xdr:to>
    <xdr:graphicFrame macro="">
      <xdr:nvGraphicFramePr>
        <xdr:cNvPr id="7393406" name="1 Gráfico">
          <a:extLst>
            <a:ext uri="{FF2B5EF4-FFF2-40B4-BE49-F238E27FC236}">
              <a16:creationId xmlns:a16="http://schemas.microsoft.com/office/drawing/2014/main" id="{C441E57F-AE34-4DA4-A48D-538C91220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111124</xdr:colOff>
      <xdr:row>27</xdr:row>
      <xdr:rowOff>119062</xdr:rowOff>
    </xdr:from>
    <xdr:to>
      <xdr:col>4</xdr:col>
      <xdr:colOff>588961</xdr:colOff>
      <xdr:row>42</xdr:row>
      <xdr:rowOff>142875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EAFEE55-8C32-448C-929F-CA01D89BF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246063</xdr:colOff>
      <xdr:row>27</xdr:row>
      <xdr:rowOff>127001</xdr:rowOff>
    </xdr:from>
    <xdr:to>
      <xdr:col>10</xdr:col>
      <xdr:colOff>847725</xdr:colOff>
      <xdr:row>43</xdr:row>
      <xdr:rowOff>36514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8FB38A48-7C00-4585-90A1-D6E36A540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111124</xdr:colOff>
      <xdr:row>27</xdr:row>
      <xdr:rowOff>119062</xdr:rowOff>
    </xdr:from>
    <xdr:to>
      <xdr:col>4</xdr:col>
      <xdr:colOff>588961</xdr:colOff>
      <xdr:row>42</xdr:row>
      <xdr:rowOff>142875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ABB54C7-C792-4B70-8AD8-5C1A13BD8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246063</xdr:colOff>
      <xdr:row>27</xdr:row>
      <xdr:rowOff>127001</xdr:rowOff>
    </xdr:from>
    <xdr:to>
      <xdr:col>10</xdr:col>
      <xdr:colOff>847725</xdr:colOff>
      <xdr:row>43</xdr:row>
      <xdr:rowOff>36514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E944E283-E33F-412C-B49B-56228C4CB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111124</xdr:colOff>
      <xdr:row>26</xdr:row>
      <xdr:rowOff>166688</xdr:rowOff>
    </xdr:from>
    <xdr:to>
      <xdr:col>5</xdr:col>
      <xdr:colOff>571500</xdr:colOff>
      <xdr:row>42</xdr:row>
      <xdr:rowOff>142875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CBACA59-70E0-4127-B60B-476AF216F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150813</xdr:colOff>
      <xdr:row>27</xdr:row>
      <xdr:rowOff>1</xdr:rowOff>
    </xdr:from>
    <xdr:to>
      <xdr:col>11</xdr:col>
      <xdr:colOff>511174</xdr:colOff>
      <xdr:row>42</xdr:row>
      <xdr:rowOff>92077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40BBB7A4-65BF-478F-90E2-3AEBE0964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04BA-3534-4A76-9A63-1F216CEE0CF6}">
  <dimension ref="A1:B8"/>
  <sheetViews>
    <sheetView tabSelected="1" workbookViewId="0">
      <selection activeCell="A9" sqref="A9"/>
    </sheetView>
  </sheetViews>
  <sheetFormatPr defaultRowHeight="14.5" x14ac:dyDescent="0.35"/>
  <sheetData>
    <row r="1" spans="1:2" x14ac:dyDescent="0.35">
      <c r="A1" t="s">
        <v>39</v>
      </c>
      <c r="B1" s="169" t="s">
        <v>40</v>
      </c>
    </row>
    <row r="2" spans="1:2" x14ac:dyDescent="0.35">
      <c r="A2" t="s">
        <v>41</v>
      </c>
      <c r="B2" s="169" t="s">
        <v>42</v>
      </c>
    </row>
    <row r="3" spans="1:2" x14ac:dyDescent="0.35">
      <c r="A3" t="s">
        <v>43</v>
      </c>
      <c r="B3" s="169" t="s">
        <v>44</v>
      </c>
    </row>
    <row r="4" spans="1:2" x14ac:dyDescent="0.35">
      <c r="A4" t="s">
        <v>45</v>
      </c>
      <c r="B4" s="169" t="s">
        <v>46</v>
      </c>
    </row>
    <row r="5" spans="1:2" x14ac:dyDescent="0.35">
      <c r="A5" t="s">
        <v>47</v>
      </c>
      <c r="B5" s="169" t="s">
        <v>48</v>
      </c>
    </row>
    <row r="7" spans="1:2" x14ac:dyDescent="0.35">
      <c r="A7" t="s">
        <v>49</v>
      </c>
    </row>
    <row r="8" spans="1:2" x14ac:dyDescent="0.35">
      <c r="A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zoomScale="60" zoomScaleNormal="60" workbookViewId="0">
      <selection activeCell="N20" sqref="N20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8.90625" customWidth="1"/>
    <col min="11" max="11" width="9.6328125" customWidth="1"/>
    <col min="12" max="12" width="10" customWidth="1"/>
    <col min="13" max="13" width="19.1796875" customWidth="1"/>
    <col min="14" max="14" width="11.269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15" x14ac:dyDescent="0.35">
      <c r="A1" t="s">
        <v>38</v>
      </c>
      <c r="B1" s="123">
        <v>44768</v>
      </c>
      <c r="M1" s="9"/>
    </row>
    <row r="2" spans="1:15" x14ac:dyDescent="0.35">
      <c r="A2" s="1" t="s">
        <v>21</v>
      </c>
      <c r="B2" s="88"/>
      <c r="M2" s="9"/>
    </row>
    <row r="3" spans="1:15" x14ac:dyDescent="0.35">
      <c r="A3" t="s">
        <v>25</v>
      </c>
      <c r="B3" s="87"/>
      <c r="D3" t="s">
        <v>15</v>
      </c>
      <c r="E3" s="105">
        <v>95.697000000000003</v>
      </c>
      <c r="J3" s="116"/>
    </row>
    <row r="4" spans="1:15" x14ac:dyDescent="0.35">
      <c r="A4" t="s">
        <v>22</v>
      </c>
      <c r="B4" s="104">
        <v>1.929</v>
      </c>
      <c r="J4" s="9"/>
    </row>
    <row r="5" spans="1:15" x14ac:dyDescent="0.35">
      <c r="A5" s="20"/>
      <c r="B5" s="21"/>
      <c r="E5" s="86"/>
      <c r="F5" s="86"/>
      <c r="G5" s="32"/>
      <c r="H5" s="33"/>
      <c r="M5" s="85"/>
      <c r="N5" s="72"/>
    </row>
    <row r="6" spans="1:15" ht="16.5" x14ac:dyDescent="0.45">
      <c r="A6" s="83" t="s">
        <v>36</v>
      </c>
      <c r="B6" s="83" t="s">
        <v>18</v>
      </c>
      <c r="C6" s="83" t="s">
        <v>13</v>
      </c>
      <c r="D6" s="83" t="s">
        <v>28</v>
      </c>
      <c r="E6" s="83" t="s">
        <v>27</v>
      </c>
      <c r="F6" s="83" t="s">
        <v>29</v>
      </c>
      <c r="G6" s="83" t="s">
        <v>30</v>
      </c>
      <c r="H6" s="82" t="s">
        <v>35</v>
      </c>
      <c r="I6" s="82" t="s">
        <v>34</v>
      </c>
      <c r="J6" s="100" t="s">
        <v>37</v>
      </c>
      <c r="M6" s="36" t="s">
        <v>2</v>
      </c>
      <c r="N6" s="37">
        <f>B30/B4</f>
        <v>1.4590822825597451</v>
      </c>
      <c r="O6" t="s">
        <v>11</v>
      </c>
    </row>
    <row r="7" spans="1:15" ht="15.5" thickBot="1" x14ac:dyDescent="0.45">
      <c r="M7" s="38" t="s">
        <v>32</v>
      </c>
      <c r="N7" s="39">
        <f>-1/G30</f>
        <v>-2.0717617003431439</v>
      </c>
      <c r="O7" t="s">
        <v>12</v>
      </c>
    </row>
    <row r="8" spans="1:15" ht="15" x14ac:dyDescent="0.4">
      <c r="A8" s="9">
        <v>-0.02</v>
      </c>
      <c r="B8" s="15">
        <f>-1/A8</f>
        <v>50</v>
      </c>
      <c r="C8">
        <v>4.758</v>
      </c>
      <c r="D8" s="74">
        <f>C8-$B$3-$B$4</f>
        <v>2.8289999999999997</v>
      </c>
      <c r="E8" s="15">
        <f t="shared" ref="E8:E26" si="0">(D8/$B$30)</f>
        <v>1.0051269921736294</v>
      </c>
      <c r="F8" s="10">
        <f>100*E8</f>
        <v>100.51269921736295</v>
      </c>
      <c r="G8" s="10">
        <f>100-F8</f>
        <v>-0.51269921736295032</v>
      </c>
      <c r="H8" s="9">
        <f t="shared" ref="H8:H26" si="1">-1/($G$30+$G$29*G8)</f>
        <v>-2.0573738672722071</v>
      </c>
      <c r="I8" s="9">
        <f>A8-H8</f>
        <v>2.037373867272207</v>
      </c>
      <c r="J8" s="101">
        <f>D8/$B$4*100</f>
        <v>146.65629860031103</v>
      </c>
      <c r="M8" s="53" t="s">
        <v>23</v>
      </c>
      <c r="N8" s="40">
        <f>H22</f>
        <v>-2.4332785996078052</v>
      </c>
      <c r="O8" t="s">
        <v>5</v>
      </c>
    </row>
    <row r="9" spans="1:15" ht="15.5" thickBot="1" x14ac:dyDescent="0.45">
      <c r="A9" s="80">
        <v>-0.11499999999999999</v>
      </c>
      <c r="B9" s="15">
        <f>-1/A9</f>
        <v>8.6956521739130448</v>
      </c>
      <c r="C9">
        <v>4.726</v>
      </c>
      <c r="D9" s="74">
        <f>C9-$B$3-$B$4</f>
        <v>2.7969999999999997</v>
      </c>
      <c r="E9" s="15">
        <f t="shared" si="0"/>
        <v>0.99375758116282831</v>
      </c>
      <c r="F9" s="10">
        <f>100*E9</f>
        <v>99.375758116282825</v>
      </c>
      <c r="G9" s="10">
        <f>100-F9</f>
        <v>0.62424188371717548</v>
      </c>
      <c r="H9" s="9">
        <f t="shared" si="1"/>
        <v>-2.0895537494351903</v>
      </c>
      <c r="I9" s="9">
        <f>A9-H9</f>
        <v>1.9745537494351904</v>
      </c>
      <c r="J9" s="101">
        <f t="shared" ref="J9:J26" si="2">D9/$B$4*100</f>
        <v>144.99740798341108</v>
      </c>
      <c r="M9" s="54" t="s">
        <v>31</v>
      </c>
      <c r="N9" s="41">
        <f>F22</f>
        <v>89.107758797153153</v>
      </c>
      <c r="O9" t="s">
        <v>6</v>
      </c>
    </row>
    <row r="10" spans="1:15" ht="18.5" thickBot="1" x14ac:dyDescent="0.45">
      <c r="A10" s="80">
        <v>-0.23199999999999998</v>
      </c>
      <c r="B10" s="15">
        <f>-1/A10</f>
        <v>4.3103448275862073</v>
      </c>
      <c r="C10">
        <v>4.7080000000000002</v>
      </c>
      <c r="D10" s="74">
        <f>C10-$B$3-$B$4</f>
        <v>2.7789999999999999</v>
      </c>
      <c r="E10" s="15">
        <f t="shared" si="0"/>
        <v>0.98736228746925281</v>
      </c>
      <c r="F10" s="10">
        <f>100*E10</f>
        <v>98.736228746925278</v>
      </c>
      <c r="G10" s="10">
        <f>100-F10</f>
        <v>1.2637712530747223</v>
      </c>
      <c r="H10" s="9">
        <f t="shared" si="1"/>
        <v>-2.108101242671089</v>
      </c>
      <c r="I10" s="9">
        <f>A10-H10</f>
        <v>1.876101242671089</v>
      </c>
      <c r="J10" s="101">
        <f t="shared" si="2"/>
        <v>144.06428201140486</v>
      </c>
      <c r="M10" s="55" t="s">
        <v>1</v>
      </c>
      <c r="N10" s="42">
        <f>STDEV(I8:I22)/STDEV(E8:E22)</f>
        <v>19.480061322259484</v>
      </c>
      <c r="O10" t="s">
        <v>8</v>
      </c>
    </row>
    <row r="11" spans="1:15" ht="16.5" customHeight="1" x14ac:dyDescent="0.4">
      <c r="A11" s="9">
        <v>-0.36599999999999999</v>
      </c>
      <c r="B11" s="15">
        <f t="shared" ref="B11:B26" si="3">-1/A11</f>
        <v>2.7322404371584699</v>
      </c>
      <c r="C11">
        <v>4.6900000000000004</v>
      </c>
      <c r="D11" s="74">
        <f t="shared" ref="D11:D26" si="4">C11-$B$3-$B$4</f>
        <v>2.7610000000000001</v>
      </c>
      <c r="E11" s="15">
        <f t="shared" si="0"/>
        <v>0.98096699377567731</v>
      </c>
      <c r="F11" s="10">
        <f t="shared" ref="F11:F26" si="5">100*E11</f>
        <v>98.096699377567731</v>
      </c>
      <c r="G11" s="10">
        <f t="shared" ref="G11:G26" si="6">100-F11</f>
        <v>1.9033006224322691</v>
      </c>
      <c r="H11" s="9">
        <f t="shared" si="1"/>
        <v>-2.1269809507463253</v>
      </c>
      <c r="I11" s="9">
        <f t="shared" ref="I11:I26" si="7">A11-H11</f>
        <v>1.7609809507463252</v>
      </c>
      <c r="J11" s="101">
        <f t="shared" si="2"/>
        <v>143.13115603939866</v>
      </c>
      <c r="M11" s="53" t="s">
        <v>33</v>
      </c>
      <c r="N11" s="43">
        <f>STDEV(E8:E22)/STDEV(A8:A22)</f>
        <v>4.3957871587904471E-2</v>
      </c>
      <c r="O11" t="s">
        <v>9</v>
      </c>
    </row>
    <row r="12" spans="1:15" ht="16.5" thickBot="1" x14ac:dyDescent="0.45">
      <c r="A12" s="80">
        <v>-0.45700000000000002</v>
      </c>
      <c r="B12" s="15">
        <f t="shared" si="3"/>
        <v>2.1881838074398248</v>
      </c>
      <c r="C12">
        <v>4.6760000000000002</v>
      </c>
      <c r="D12" s="74">
        <f t="shared" si="4"/>
        <v>2.7469999999999999</v>
      </c>
      <c r="E12" s="15">
        <f t="shared" si="0"/>
        <v>0.97599287645845179</v>
      </c>
      <c r="F12" s="10">
        <f t="shared" si="5"/>
        <v>97.59928764584518</v>
      </c>
      <c r="G12" s="10">
        <f t="shared" si="6"/>
        <v>2.4007123541548196</v>
      </c>
      <c r="H12" s="9">
        <f t="shared" si="1"/>
        <v>-2.1419006013901907</v>
      </c>
      <c r="I12" s="9">
        <f t="shared" si="7"/>
        <v>1.6849006013901906</v>
      </c>
      <c r="J12" s="101">
        <f t="shared" si="2"/>
        <v>142.40539139450493</v>
      </c>
      <c r="M12" s="54" t="s">
        <v>0</v>
      </c>
      <c r="N12" s="41">
        <f>STDEV(E22:E26)/STDEV(A22:A26)</f>
        <v>0.21681172569288812</v>
      </c>
      <c r="O12" t="s">
        <v>10</v>
      </c>
    </row>
    <row r="13" spans="1:15" ht="16" x14ac:dyDescent="0.4">
      <c r="A13" s="80">
        <v>-0.56100000000000005</v>
      </c>
      <c r="B13" s="15">
        <f t="shared" si="3"/>
        <v>1.7825311942958999</v>
      </c>
      <c r="C13" s="81">
        <v>4.6459999999999999</v>
      </c>
      <c r="D13" s="74">
        <f t="shared" si="4"/>
        <v>2.7169999999999996</v>
      </c>
      <c r="E13" s="15">
        <f t="shared" si="0"/>
        <v>0.9653340536358257</v>
      </c>
      <c r="F13" s="10">
        <f t="shared" si="5"/>
        <v>96.533405363582574</v>
      </c>
      <c r="G13" s="10">
        <f t="shared" si="6"/>
        <v>3.466594636417426</v>
      </c>
      <c r="H13" s="9">
        <f t="shared" si="1"/>
        <v>-2.174586846211418</v>
      </c>
      <c r="I13" s="9">
        <f t="shared" si="7"/>
        <v>1.613586846211418</v>
      </c>
      <c r="J13" s="101">
        <f t="shared" si="2"/>
        <v>140.8501814411612</v>
      </c>
      <c r="M13" s="56" t="s">
        <v>16</v>
      </c>
      <c r="N13" s="44">
        <f>N11*B30/18/(E3/10000)</f>
        <v>0.71825364583225271</v>
      </c>
    </row>
    <row r="14" spans="1:15" x14ac:dyDescent="0.35">
      <c r="A14">
        <v>-0.72199999999999998</v>
      </c>
      <c r="B14" s="15">
        <f t="shared" si="3"/>
        <v>1.3850415512465375</v>
      </c>
      <c r="C14">
        <v>4.6529999999999996</v>
      </c>
      <c r="D14" s="74">
        <f t="shared" si="4"/>
        <v>2.7239999999999993</v>
      </c>
      <c r="E14" s="15">
        <f t="shared" si="0"/>
        <v>0.96782111229443835</v>
      </c>
      <c r="F14" s="10">
        <f t="shared" si="5"/>
        <v>96.782111229443828</v>
      </c>
      <c r="G14" s="10">
        <f t="shared" si="6"/>
        <v>3.2178887705561721</v>
      </c>
      <c r="H14" s="9">
        <f t="shared" si="1"/>
        <v>-2.1668711416931625</v>
      </c>
      <c r="I14" s="9">
        <f t="shared" si="7"/>
        <v>1.4448711416931626</v>
      </c>
      <c r="J14" s="101">
        <f t="shared" si="2"/>
        <v>141.21306376360806</v>
      </c>
      <c r="K14" s="79"/>
      <c r="L14" s="33"/>
    </row>
    <row r="15" spans="1:15" x14ac:dyDescent="0.35">
      <c r="A15">
        <v>-0.81099999999999994</v>
      </c>
      <c r="B15" s="15">
        <f t="shared" si="3"/>
        <v>1.2330456226880395</v>
      </c>
      <c r="C15">
        <v>4.6459999999999999</v>
      </c>
      <c r="D15" s="74">
        <f t="shared" si="4"/>
        <v>2.7169999999999996</v>
      </c>
      <c r="E15" s="15">
        <f t="shared" si="0"/>
        <v>0.9653340536358257</v>
      </c>
      <c r="F15" s="10">
        <f t="shared" si="5"/>
        <v>96.533405363582574</v>
      </c>
      <c r="G15" s="10">
        <f t="shared" si="6"/>
        <v>3.466594636417426</v>
      </c>
      <c r="H15" s="9">
        <f t="shared" si="1"/>
        <v>-2.174586846211418</v>
      </c>
      <c r="I15" s="9">
        <f t="shared" si="7"/>
        <v>1.363586846211418</v>
      </c>
      <c r="J15" s="101">
        <f t="shared" si="2"/>
        <v>140.8501814411612</v>
      </c>
      <c r="K15" s="79"/>
      <c r="L15" s="33"/>
    </row>
    <row r="16" spans="1:15" x14ac:dyDescent="0.35">
      <c r="A16">
        <v>-0.93399999999999994</v>
      </c>
      <c r="B16" s="15">
        <f t="shared" si="3"/>
        <v>1.0706638115631693</v>
      </c>
      <c r="C16">
        <v>4.6360000000000001</v>
      </c>
      <c r="D16" s="74">
        <f t="shared" si="4"/>
        <v>2.7069999999999999</v>
      </c>
      <c r="E16" s="15">
        <f t="shared" si="0"/>
        <v>0.96178111269495048</v>
      </c>
      <c r="F16" s="10">
        <f t="shared" si="5"/>
        <v>96.178111269495048</v>
      </c>
      <c r="G16" s="10">
        <f t="shared" si="6"/>
        <v>3.821888730504952</v>
      </c>
      <c r="H16" s="9">
        <f t="shared" si="1"/>
        <v>-2.1857050856995639</v>
      </c>
      <c r="I16" s="9">
        <f t="shared" si="7"/>
        <v>1.251705085699564</v>
      </c>
      <c r="J16" s="101">
        <f t="shared" si="2"/>
        <v>140.33177812337999</v>
      </c>
      <c r="K16" s="79"/>
      <c r="L16" s="33"/>
    </row>
    <row r="17" spans="1:18" x14ac:dyDescent="0.35">
      <c r="A17">
        <v>-1.177</v>
      </c>
      <c r="B17" s="15">
        <f t="shared" si="3"/>
        <v>0.84961767204757854</v>
      </c>
      <c r="C17">
        <v>4.6120000000000001</v>
      </c>
      <c r="D17" s="74">
        <f t="shared" si="4"/>
        <v>2.6829999999999998</v>
      </c>
      <c r="E17" s="15">
        <f t="shared" si="0"/>
        <v>0.95325405443684963</v>
      </c>
      <c r="F17" s="10">
        <f t="shared" si="5"/>
        <v>95.325405443684957</v>
      </c>
      <c r="G17" s="10">
        <f t="shared" si="6"/>
        <v>4.6745945563150428</v>
      </c>
      <c r="H17" s="9">
        <f t="shared" si="1"/>
        <v>-2.2128584814925785</v>
      </c>
      <c r="I17" s="9">
        <f t="shared" si="7"/>
        <v>1.0358584814925784</v>
      </c>
      <c r="J17" s="101">
        <f t="shared" si="2"/>
        <v>139.087610160705</v>
      </c>
    </row>
    <row r="18" spans="1:18" x14ac:dyDescent="0.35">
      <c r="A18">
        <v>-1.2669999999999999</v>
      </c>
      <c r="B18" s="15">
        <f t="shared" si="3"/>
        <v>0.78926598263614844</v>
      </c>
      <c r="C18">
        <v>4.5970000000000004</v>
      </c>
      <c r="D18" s="74">
        <f t="shared" si="4"/>
        <v>2.6680000000000001</v>
      </c>
      <c r="E18" s="15">
        <f t="shared" si="0"/>
        <v>0.94792464302553681</v>
      </c>
      <c r="F18" s="10">
        <f t="shared" si="5"/>
        <v>94.792464302553682</v>
      </c>
      <c r="G18" s="10">
        <f t="shared" si="6"/>
        <v>5.2075356974463176</v>
      </c>
      <c r="H18" s="9">
        <f t="shared" si="1"/>
        <v>-2.2301746369868187</v>
      </c>
      <c r="I18" s="9">
        <f t="shared" si="7"/>
        <v>0.96317463698681882</v>
      </c>
      <c r="J18" s="101">
        <f t="shared" si="2"/>
        <v>138.31000518403317</v>
      </c>
    </row>
    <row r="19" spans="1:18" x14ac:dyDescent="0.35">
      <c r="A19">
        <v>-1.409</v>
      </c>
      <c r="B19" s="15">
        <f t="shared" si="3"/>
        <v>0.70972320794889987</v>
      </c>
      <c r="C19">
        <v>4.5830000000000002</v>
      </c>
      <c r="D19" s="74">
        <f t="shared" si="4"/>
        <v>2.6539999999999999</v>
      </c>
      <c r="E19" s="15">
        <f t="shared" si="0"/>
        <v>0.94295052570831128</v>
      </c>
      <c r="F19" s="10">
        <f t="shared" si="5"/>
        <v>94.295052570831132</v>
      </c>
      <c r="G19" s="10">
        <f t="shared" si="6"/>
        <v>5.7049474291688682</v>
      </c>
      <c r="H19" s="9">
        <f t="shared" si="1"/>
        <v>-2.2465826888936418</v>
      </c>
      <c r="I19" s="9">
        <f t="shared" si="7"/>
        <v>0.83758268889364174</v>
      </c>
      <c r="J19" s="101">
        <f t="shared" si="2"/>
        <v>137.58424053913944</v>
      </c>
    </row>
    <row r="20" spans="1:18" x14ac:dyDescent="0.35">
      <c r="A20">
        <v>-2.0100000000000002</v>
      </c>
      <c r="B20" s="15">
        <f t="shared" si="3"/>
        <v>0.49751243781094523</v>
      </c>
      <c r="C20">
        <v>4.5149999999999997</v>
      </c>
      <c r="D20" s="74">
        <f t="shared" si="4"/>
        <v>2.5859999999999994</v>
      </c>
      <c r="E20" s="15">
        <f t="shared" si="0"/>
        <v>0.91879052731035882</v>
      </c>
      <c r="F20" s="10">
        <f t="shared" si="5"/>
        <v>91.879052731035884</v>
      </c>
      <c r="G20" s="10">
        <f t="shared" si="6"/>
        <v>8.120947268964116</v>
      </c>
      <c r="H20" s="9">
        <f t="shared" si="1"/>
        <v>-2.3298405452105349</v>
      </c>
      <c r="I20" s="9">
        <f t="shared" si="7"/>
        <v>0.31984054521053462</v>
      </c>
      <c r="J20" s="101">
        <f t="shared" si="2"/>
        <v>134.05909797822704</v>
      </c>
      <c r="P20" s="10"/>
      <c r="Q20" s="9"/>
      <c r="R20" s="9"/>
    </row>
    <row r="21" spans="1:18" ht="15" thickBot="1" x14ac:dyDescent="0.4">
      <c r="A21">
        <v>-2.2440000000000002</v>
      </c>
      <c r="B21" s="15">
        <f t="shared" si="3"/>
        <v>0.44563279857397498</v>
      </c>
      <c r="C21">
        <v>4.4470000000000001</v>
      </c>
      <c r="D21" s="74">
        <f t="shared" si="4"/>
        <v>2.5179999999999998</v>
      </c>
      <c r="E21" s="15">
        <f t="shared" si="0"/>
        <v>0.8946305289124068</v>
      </c>
      <c r="F21" s="10">
        <f t="shared" si="5"/>
        <v>89.463052891240679</v>
      </c>
      <c r="G21" s="10">
        <f t="shared" si="6"/>
        <v>10.536947108759321</v>
      </c>
      <c r="H21" s="9">
        <f t="shared" si="1"/>
        <v>-2.4195069357744328</v>
      </c>
      <c r="I21" s="9">
        <f t="shared" si="7"/>
        <v>0.17550693577443255</v>
      </c>
      <c r="J21" s="101">
        <f t="shared" si="2"/>
        <v>130.53395541731464</v>
      </c>
      <c r="P21" s="10"/>
      <c r="Q21" s="9"/>
      <c r="R21" s="9"/>
    </row>
    <row r="22" spans="1:18" ht="15" thickBot="1" x14ac:dyDescent="0.4">
      <c r="A22" s="78">
        <v>-2.4140000000000001</v>
      </c>
      <c r="B22" s="67">
        <f t="shared" si="3"/>
        <v>0.41425020712510352</v>
      </c>
      <c r="C22" s="57">
        <v>4.4370000000000003</v>
      </c>
      <c r="D22" s="77">
        <f t="shared" si="4"/>
        <v>2.508</v>
      </c>
      <c r="E22" s="67">
        <f t="shared" si="0"/>
        <v>0.89107758797153158</v>
      </c>
      <c r="F22" s="76">
        <f t="shared" si="5"/>
        <v>89.107758797153153</v>
      </c>
      <c r="G22" s="76">
        <f t="shared" si="6"/>
        <v>10.892241202846847</v>
      </c>
      <c r="H22" s="75">
        <f t="shared" si="1"/>
        <v>-2.4332785996078052</v>
      </c>
      <c r="I22" s="75">
        <f t="shared" si="7"/>
        <v>1.9278599607805091E-2</v>
      </c>
      <c r="J22" s="107">
        <f t="shared" si="2"/>
        <v>130.01555209953344</v>
      </c>
      <c r="P22" s="10"/>
      <c r="Q22" s="9"/>
      <c r="R22" s="9"/>
    </row>
    <row r="23" spans="1:18" x14ac:dyDescent="0.35">
      <c r="A23">
        <v>-2.5870000000000002</v>
      </c>
      <c r="B23" s="15">
        <f t="shared" si="3"/>
        <v>0.38654812524159254</v>
      </c>
      <c r="C23">
        <v>4.3479999999999999</v>
      </c>
      <c r="D23" s="74">
        <f t="shared" si="4"/>
        <v>2.4189999999999996</v>
      </c>
      <c r="E23" s="15">
        <f t="shared" si="0"/>
        <v>0.85945641359774105</v>
      </c>
      <c r="F23" s="10">
        <f t="shared" si="5"/>
        <v>85.9456413597741</v>
      </c>
      <c r="G23" s="10">
        <f t="shared" si="6"/>
        <v>14.0543586402259</v>
      </c>
      <c r="H23" s="9">
        <f t="shared" si="1"/>
        <v>-2.5631216681074678</v>
      </c>
      <c r="I23" s="9">
        <f t="shared" si="7"/>
        <v>-2.3878331892532412E-2</v>
      </c>
      <c r="J23" s="101">
        <f t="shared" si="2"/>
        <v>125.40176257128044</v>
      </c>
      <c r="P23" s="10"/>
      <c r="Q23" s="9"/>
      <c r="R23" s="9"/>
    </row>
    <row r="24" spans="1:18" x14ac:dyDescent="0.35">
      <c r="A24">
        <v>-2.7229999999999999</v>
      </c>
      <c r="B24" s="15">
        <f t="shared" si="3"/>
        <v>0.36724201248622845</v>
      </c>
      <c r="C24">
        <v>4.2530000000000001</v>
      </c>
      <c r="D24" s="74">
        <f t="shared" si="4"/>
        <v>2.3239999999999998</v>
      </c>
      <c r="E24" s="15">
        <f t="shared" si="0"/>
        <v>0.82570347465942551</v>
      </c>
      <c r="F24" s="10">
        <f t="shared" si="5"/>
        <v>82.570347465942547</v>
      </c>
      <c r="G24" s="10">
        <f t="shared" si="6"/>
        <v>17.429652534057453</v>
      </c>
      <c r="H24" s="9">
        <f t="shared" si="1"/>
        <v>-2.7179316891462451</v>
      </c>
      <c r="I24" s="9">
        <f t="shared" si="7"/>
        <v>-5.0683108537548094E-3</v>
      </c>
      <c r="J24" s="101">
        <f t="shared" si="2"/>
        <v>120.47693105235872</v>
      </c>
      <c r="Q24" s="9"/>
      <c r="R24" s="9"/>
    </row>
    <row r="25" spans="1:18" x14ac:dyDescent="0.35">
      <c r="A25">
        <v>-2.8559999999999999</v>
      </c>
      <c r="B25" s="15">
        <f t="shared" si="3"/>
        <v>0.350140056022409</v>
      </c>
      <c r="C25">
        <v>4.1980000000000004</v>
      </c>
      <c r="D25" s="74">
        <f t="shared" si="4"/>
        <v>2.2690000000000001</v>
      </c>
      <c r="E25" s="15">
        <f t="shared" si="0"/>
        <v>0.80616229948461127</v>
      </c>
      <c r="F25" s="10">
        <f t="shared" si="5"/>
        <v>80.616229948461125</v>
      </c>
      <c r="G25" s="10">
        <f t="shared" si="6"/>
        <v>19.383770051538875</v>
      </c>
      <c r="H25" s="9">
        <f t="shared" si="1"/>
        <v>-2.8164156908510858</v>
      </c>
      <c r="I25" s="9">
        <f t="shared" si="7"/>
        <v>-3.9584309148914087E-2</v>
      </c>
      <c r="J25" s="101">
        <f t="shared" si="2"/>
        <v>117.62571280456196</v>
      </c>
      <c r="Q25" s="9"/>
      <c r="R25" s="9"/>
    </row>
    <row r="26" spans="1:18" x14ac:dyDescent="0.35">
      <c r="A26">
        <v>-2.8919999999999999</v>
      </c>
      <c r="B26" s="15">
        <f t="shared" si="3"/>
        <v>0.34578146611341631</v>
      </c>
      <c r="C26">
        <v>4.133</v>
      </c>
      <c r="D26" s="74">
        <f t="shared" si="4"/>
        <v>2.2039999999999997</v>
      </c>
      <c r="E26" s="15">
        <f t="shared" si="0"/>
        <v>0.78306818336892159</v>
      </c>
      <c r="F26" s="10">
        <f t="shared" si="5"/>
        <v>78.306818336892164</v>
      </c>
      <c r="G26" s="10">
        <f t="shared" si="6"/>
        <v>21.693181663107836</v>
      </c>
      <c r="H26" s="9">
        <f t="shared" si="1"/>
        <v>-2.9424191158738258</v>
      </c>
      <c r="I26" s="9">
        <f t="shared" si="7"/>
        <v>5.0419115873825859E-2</v>
      </c>
      <c r="J26" s="101">
        <f t="shared" si="2"/>
        <v>114.2560912389839</v>
      </c>
      <c r="Q26" s="9"/>
      <c r="R26" s="9"/>
    </row>
    <row r="27" spans="1:18" x14ac:dyDescent="0.35">
      <c r="Q27" s="9"/>
      <c r="R27" s="9"/>
    </row>
    <row r="28" spans="1:18" ht="15" x14ac:dyDescent="0.4">
      <c r="A28" s="13" t="s">
        <v>4</v>
      </c>
      <c r="B28" s="13"/>
      <c r="C28" s="73"/>
      <c r="D28" s="72"/>
      <c r="F28" s="71" t="s">
        <v>14</v>
      </c>
      <c r="Q28" s="9"/>
      <c r="R28" s="9"/>
    </row>
    <row r="29" spans="1:18" x14ac:dyDescent="0.35">
      <c r="A29" t="s">
        <v>26</v>
      </c>
      <c r="B29" s="27">
        <f>STDEV(D8:D22)/STDEV(A8:A22)</f>
        <v>0.12372249446137634</v>
      </c>
      <c r="C29" s="70" t="s">
        <v>24</v>
      </c>
      <c r="D29" s="69">
        <f>COUNT(D8:D22)</f>
        <v>15</v>
      </c>
      <c r="F29" t="s">
        <v>26</v>
      </c>
      <c r="G29" s="30">
        <f>-STDEV(B22:B26)/STDEV(G22:G26)</f>
        <v>-6.5838467987708732E-3</v>
      </c>
      <c r="H29" s="70" t="s">
        <v>24</v>
      </c>
      <c r="I29" s="69">
        <f>COUNT(B22:B26)</f>
        <v>5</v>
      </c>
      <c r="Q29" s="9"/>
      <c r="R29" s="9"/>
    </row>
    <row r="30" spans="1:18" ht="15.5" x14ac:dyDescent="0.35">
      <c r="A30" t="s">
        <v>3</v>
      </c>
      <c r="B30" s="27">
        <f>AVERAGE(D8:D22)-B29*AVERAGE(A8:A22)</f>
        <v>2.8145697230577484</v>
      </c>
      <c r="C30" s="68" t="s">
        <v>7</v>
      </c>
      <c r="F30" t="s">
        <v>3</v>
      </c>
      <c r="G30" s="31">
        <f>AVERAGE(B22:B26)-G29*AVERAGE(G22:G26)</f>
        <v>0.48268099551911353</v>
      </c>
    </row>
    <row r="34" spans="17:18" x14ac:dyDescent="0.35">
      <c r="Q34" s="15"/>
      <c r="R34" s="15"/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zoomScale="60" zoomScaleNormal="60" workbookViewId="0">
      <selection activeCell="F3" sqref="F3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0.26953125" customWidth="1"/>
    <col min="11" max="11" width="9.81640625" customWidth="1"/>
    <col min="12" max="12" width="8.7265625" customWidth="1"/>
    <col min="13" max="13" width="19.1796875" customWidth="1"/>
    <col min="14" max="14" width="7.4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  <col min="20" max="20" width="9.26953125" customWidth="1"/>
  </cols>
  <sheetData>
    <row r="1" spans="1:15" x14ac:dyDescent="0.35">
      <c r="A1" t="s">
        <v>38</v>
      </c>
      <c r="B1" s="123">
        <v>44768</v>
      </c>
      <c r="M1" s="9"/>
    </row>
    <row r="2" spans="1:15" x14ac:dyDescent="0.35">
      <c r="A2" s="1" t="s">
        <v>21</v>
      </c>
      <c r="B2" s="88"/>
      <c r="M2" s="9"/>
    </row>
    <row r="3" spans="1:15" x14ac:dyDescent="0.35">
      <c r="A3" t="s">
        <v>25</v>
      </c>
      <c r="B3" s="87"/>
      <c r="D3" t="s">
        <v>15</v>
      </c>
      <c r="E3" s="105">
        <v>80.793999999999997</v>
      </c>
      <c r="F3" s="168"/>
      <c r="J3" s="116"/>
    </row>
    <row r="4" spans="1:15" x14ac:dyDescent="0.35">
      <c r="A4" t="s">
        <v>22</v>
      </c>
      <c r="B4" s="104">
        <v>1.9850000000000001</v>
      </c>
      <c r="J4" s="9"/>
    </row>
    <row r="5" spans="1:15" x14ac:dyDescent="0.35">
      <c r="A5" s="20"/>
      <c r="B5" s="21"/>
      <c r="E5" s="86"/>
      <c r="F5" s="86"/>
      <c r="G5" s="32"/>
      <c r="H5" s="33"/>
      <c r="M5" s="85"/>
      <c r="N5" s="72"/>
    </row>
    <row r="6" spans="1:15" x14ac:dyDescent="0.35">
      <c r="B6" s="15"/>
      <c r="D6" s="15"/>
      <c r="G6" s="84"/>
      <c r="H6" s="84"/>
      <c r="N6" s="15"/>
    </row>
    <row r="7" spans="1:15" ht="16.5" x14ac:dyDescent="0.45">
      <c r="A7" s="83" t="s">
        <v>36</v>
      </c>
      <c r="B7" s="83" t="s">
        <v>18</v>
      </c>
      <c r="C7" s="83" t="s">
        <v>13</v>
      </c>
      <c r="D7" s="83" t="s">
        <v>28</v>
      </c>
      <c r="E7" s="83" t="s">
        <v>27</v>
      </c>
      <c r="F7" s="83" t="s">
        <v>29</v>
      </c>
      <c r="G7" s="83" t="s">
        <v>30</v>
      </c>
      <c r="H7" s="82" t="s">
        <v>35</v>
      </c>
      <c r="I7" s="82" t="s">
        <v>34</v>
      </c>
      <c r="J7" s="100" t="s">
        <v>37</v>
      </c>
      <c r="M7" s="36" t="s">
        <v>2</v>
      </c>
      <c r="N7" s="109">
        <f>B35/B4</f>
        <v>1.500056422169711</v>
      </c>
      <c r="O7" t="s">
        <v>11</v>
      </c>
    </row>
    <row r="8" spans="1:15" ht="15.5" thickBot="1" x14ac:dyDescent="0.45">
      <c r="M8" s="38" t="s">
        <v>32</v>
      </c>
      <c r="N8" s="110">
        <f>-1/H35</f>
        <v>-2.1466446595665709</v>
      </c>
      <c r="O8" t="s">
        <v>12</v>
      </c>
    </row>
    <row r="9" spans="1:15" ht="15" x14ac:dyDescent="0.4">
      <c r="A9" s="89">
        <v>-2.8999999999999998E-2</v>
      </c>
      <c r="B9" s="90">
        <f t="shared" ref="B9:B30" si="0">-1/A9</f>
        <v>34.482758620689658</v>
      </c>
      <c r="C9" s="91">
        <v>5.0330000000000004</v>
      </c>
      <c r="D9" s="92">
        <f t="shared" ref="D9:D30" si="1">C9-$B$3-$B$4</f>
        <v>3.048</v>
      </c>
      <c r="E9" s="90">
        <f t="shared" ref="E9:E30" si="2">(D9/$B$35)</f>
        <v>1.023639077905462</v>
      </c>
      <c r="F9" s="93">
        <f t="shared" ref="F9:F30" si="3">100*E9</f>
        <v>102.36390779054621</v>
      </c>
      <c r="G9" s="93">
        <f t="shared" ref="G9:G30" si="4">100-F9</f>
        <v>-2.3639077905462074</v>
      </c>
      <c r="H9" s="89">
        <f t="shared" ref="H9:H30" si="5">-1/($H$35+$H$34*G9)</f>
        <v>-2.0833680131235952</v>
      </c>
      <c r="I9" s="89">
        <f t="shared" ref="I9:I30" si="6">A9-H9</f>
        <v>2.0543680131235953</v>
      </c>
      <c r="J9" s="106">
        <f>D9/$B$4*100</f>
        <v>153.55163727959697</v>
      </c>
      <c r="M9" s="53" t="s">
        <v>23</v>
      </c>
      <c r="N9" s="111">
        <f>H21</f>
        <v>-2.4435758370483924</v>
      </c>
      <c r="O9" t="s">
        <v>5</v>
      </c>
    </row>
    <row r="10" spans="1:15" ht="15.5" thickBot="1" x14ac:dyDescent="0.45">
      <c r="A10" s="89">
        <v>-7.9000000000000001E-2</v>
      </c>
      <c r="B10" s="90">
        <f t="shared" si="0"/>
        <v>12.658227848101266</v>
      </c>
      <c r="C10" s="91">
        <v>5.0049999999999999</v>
      </c>
      <c r="D10" s="92">
        <f t="shared" si="1"/>
        <v>3.0199999999999996</v>
      </c>
      <c r="E10" s="90">
        <f t="shared" si="2"/>
        <v>1.0142355693157792</v>
      </c>
      <c r="F10" s="93">
        <f t="shared" si="3"/>
        <v>101.42355693157792</v>
      </c>
      <c r="G10" s="93">
        <f t="shared" si="4"/>
        <v>-1.4235569315779202</v>
      </c>
      <c r="H10" s="89">
        <f t="shared" si="5"/>
        <v>-2.108087031716706</v>
      </c>
      <c r="I10" s="89">
        <f t="shared" si="6"/>
        <v>2.0290870317167058</v>
      </c>
      <c r="J10" s="106">
        <f t="shared" ref="J10:J30" si="7">D10/$B$4*100</f>
        <v>152.14105793450878</v>
      </c>
      <c r="M10" s="54" t="s">
        <v>31</v>
      </c>
      <c r="N10" s="112">
        <f>F21</f>
        <v>90.542354134945072</v>
      </c>
      <c r="O10" t="s">
        <v>6</v>
      </c>
    </row>
    <row r="11" spans="1:15" ht="16.5" customHeight="1" thickBot="1" x14ac:dyDescent="0.45">
      <c r="A11" s="89">
        <v>-7.5999999999999998E-2</v>
      </c>
      <c r="B11" s="90">
        <f t="shared" si="0"/>
        <v>13.157894736842106</v>
      </c>
      <c r="C11" s="91">
        <v>4.9669999999999996</v>
      </c>
      <c r="D11" s="92">
        <f t="shared" si="1"/>
        <v>2.9819999999999993</v>
      </c>
      <c r="E11" s="90">
        <f t="shared" si="2"/>
        <v>1.0014736648012097</v>
      </c>
      <c r="F11" s="93">
        <f t="shared" si="3"/>
        <v>100.14736648012097</v>
      </c>
      <c r="G11" s="93">
        <f t="shared" si="4"/>
        <v>-0.14736648012096509</v>
      </c>
      <c r="H11" s="89">
        <f t="shared" si="5"/>
        <v>-2.1425878531987768</v>
      </c>
      <c r="I11" s="89">
        <f t="shared" si="6"/>
        <v>2.0665878531987767</v>
      </c>
      <c r="J11" s="106">
        <f t="shared" si="7"/>
        <v>150.22670025188913</v>
      </c>
      <c r="M11" s="55" t="s">
        <v>1</v>
      </c>
      <c r="N11" s="113">
        <f>STDEV(I12:I21)/STDEV(E12:E21)</f>
        <v>22.61223591488092</v>
      </c>
      <c r="O11" t="s">
        <v>8</v>
      </c>
    </row>
    <row r="12" spans="1:15" ht="16" x14ac:dyDescent="0.4">
      <c r="A12" s="9">
        <v>-0.187</v>
      </c>
      <c r="B12" s="15">
        <f t="shared" si="0"/>
        <v>5.3475935828877006</v>
      </c>
      <c r="C12">
        <v>4.9480000000000004</v>
      </c>
      <c r="D12" s="74">
        <f t="shared" si="1"/>
        <v>2.9630000000000001</v>
      </c>
      <c r="E12" s="15">
        <f t="shared" si="2"/>
        <v>0.99509271254392528</v>
      </c>
      <c r="F12" s="10">
        <f t="shared" si="3"/>
        <v>99.50927125439253</v>
      </c>
      <c r="G12" s="10">
        <f t="shared" si="4"/>
        <v>0.49072874560746982</v>
      </c>
      <c r="H12" s="9">
        <f t="shared" si="5"/>
        <v>-2.1602652365704063</v>
      </c>
      <c r="I12" s="9">
        <f t="shared" si="6"/>
        <v>1.9732652365704062</v>
      </c>
      <c r="J12" s="101">
        <f t="shared" si="7"/>
        <v>149.26952141057933</v>
      </c>
      <c r="M12" s="53" t="s">
        <v>33</v>
      </c>
      <c r="N12" s="111">
        <f>STDEV(E12:E21)/STDEV(A12:A21)</f>
        <v>3.8840578195525687E-2</v>
      </c>
      <c r="O12" t="s">
        <v>9</v>
      </c>
    </row>
    <row r="13" spans="1:15" ht="16.5" thickBot="1" x14ac:dyDescent="0.45">
      <c r="A13" s="9">
        <v>-0.29300000000000004</v>
      </c>
      <c r="B13" s="15">
        <f t="shared" si="0"/>
        <v>3.4129692832764502</v>
      </c>
      <c r="C13">
        <v>4.9260000000000002</v>
      </c>
      <c r="D13" s="74">
        <f t="shared" si="1"/>
        <v>2.9409999999999998</v>
      </c>
      <c r="E13" s="15">
        <f t="shared" si="2"/>
        <v>0.98770424150917457</v>
      </c>
      <c r="F13" s="10">
        <f t="shared" si="3"/>
        <v>98.770424150917464</v>
      </c>
      <c r="G13" s="10">
        <f t="shared" si="4"/>
        <v>1.2295758490825364</v>
      </c>
      <c r="H13" s="9">
        <f t="shared" si="5"/>
        <v>-2.1811017159920976</v>
      </c>
      <c r="I13" s="9">
        <f t="shared" si="6"/>
        <v>1.8881017159920974</v>
      </c>
      <c r="J13" s="101">
        <f t="shared" si="7"/>
        <v>148.16120906801007</v>
      </c>
      <c r="M13" s="54" t="s">
        <v>0</v>
      </c>
      <c r="N13" s="112">
        <f>STDEV(E21:E30)/STDEV(A21:A30)</f>
        <v>0.15984222627667871</v>
      </c>
      <c r="O13" t="s">
        <v>10</v>
      </c>
    </row>
    <row r="14" spans="1:15" ht="16" x14ac:dyDescent="0.4">
      <c r="A14" s="80">
        <v>-0.36899999999999999</v>
      </c>
      <c r="B14" s="15">
        <f t="shared" si="0"/>
        <v>2.7100271002710028</v>
      </c>
      <c r="C14">
        <v>4.9139999999999997</v>
      </c>
      <c r="D14" s="74">
        <f t="shared" si="1"/>
        <v>2.9289999999999994</v>
      </c>
      <c r="E14" s="15">
        <f t="shared" si="2"/>
        <v>0.98367416639931038</v>
      </c>
      <c r="F14" s="10">
        <f t="shared" si="3"/>
        <v>98.367416639931037</v>
      </c>
      <c r="G14" s="10">
        <f t="shared" si="4"/>
        <v>1.6325833600689634</v>
      </c>
      <c r="H14" s="9">
        <f t="shared" si="5"/>
        <v>-2.1926373812090039</v>
      </c>
      <c r="I14" s="9">
        <f t="shared" si="6"/>
        <v>1.8236373812090039</v>
      </c>
      <c r="J14" s="101">
        <f t="shared" si="7"/>
        <v>147.55667506297226</v>
      </c>
      <c r="M14" s="56" t="s">
        <v>16</v>
      </c>
      <c r="N14" s="114">
        <f>N12*B35/18/(E3/10000)</f>
        <v>0.79524725188972756</v>
      </c>
    </row>
    <row r="15" spans="1:15" x14ac:dyDescent="0.35">
      <c r="A15" s="80">
        <v>-0.497</v>
      </c>
      <c r="B15" s="15">
        <f t="shared" si="0"/>
        <v>2.0120724346076457</v>
      </c>
      <c r="C15">
        <v>4.899</v>
      </c>
      <c r="D15" s="74">
        <f t="shared" si="1"/>
        <v>2.9139999999999997</v>
      </c>
      <c r="E15" s="15">
        <f t="shared" si="2"/>
        <v>0.97863657251198044</v>
      </c>
      <c r="F15" s="10">
        <f t="shared" si="3"/>
        <v>97.863657251198049</v>
      </c>
      <c r="G15" s="10">
        <f t="shared" si="4"/>
        <v>2.1363427488019511</v>
      </c>
      <c r="H15" s="9">
        <f t="shared" si="5"/>
        <v>-2.2072296986337028</v>
      </c>
      <c r="I15" s="9">
        <f t="shared" si="6"/>
        <v>1.7102296986337029</v>
      </c>
      <c r="J15" s="101">
        <f t="shared" si="7"/>
        <v>146.80100755667505</v>
      </c>
      <c r="K15" s="79"/>
    </row>
    <row r="16" spans="1:15" x14ac:dyDescent="0.35">
      <c r="A16" s="80">
        <v>-0.626</v>
      </c>
      <c r="B16" s="15">
        <f t="shared" si="0"/>
        <v>1.5974440894568691</v>
      </c>
      <c r="C16">
        <v>4.8849999999999998</v>
      </c>
      <c r="D16" s="74">
        <f t="shared" si="1"/>
        <v>2.8999999999999995</v>
      </c>
      <c r="E16" s="15">
        <f t="shared" si="2"/>
        <v>0.97393481821713901</v>
      </c>
      <c r="F16" s="10">
        <f t="shared" si="3"/>
        <v>97.393481821713905</v>
      </c>
      <c r="G16" s="10">
        <f t="shared" si="4"/>
        <v>2.6065181782860947</v>
      </c>
      <c r="H16" s="9">
        <f t="shared" si="5"/>
        <v>-2.2210255269469643</v>
      </c>
      <c r="I16" s="9">
        <f t="shared" si="6"/>
        <v>1.5950255269469644</v>
      </c>
      <c r="J16" s="101">
        <f t="shared" si="7"/>
        <v>146.09571788413095</v>
      </c>
      <c r="K16" s="79"/>
    </row>
    <row r="17" spans="1:18" x14ac:dyDescent="0.35">
      <c r="A17" s="80">
        <v>-0.75900000000000001</v>
      </c>
      <c r="B17" s="15">
        <f t="shared" si="0"/>
        <v>1.3175230566534915</v>
      </c>
      <c r="C17">
        <v>4.8710000000000004</v>
      </c>
      <c r="D17" s="74">
        <f t="shared" si="1"/>
        <v>2.8860000000000001</v>
      </c>
      <c r="E17" s="15">
        <f t="shared" si="2"/>
        <v>0.9692330639222978</v>
      </c>
      <c r="F17" s="10">
        <f t="shared" si="3"/>
        <v>96.923306392229776</v>
      </c>
      <c r="G17" s="10">
        <f t="shared" si="4"/>
        <v>3.076693607770224</v>
      </c>
      <c r="H17" s="9">
        <f t="shared" si="5"/>
        <v>-2.2349948958273012</v>
      </c>
      <c r="I17" s="9">
        <f t="shared" si="6"/>
        <v>1.4759948958273013</v>
      </c>
      <c r="J17" s="101">
        <f t="shared" si="7"/>
        <v>145.39042821158691</v>
      </c>
      <c r="K17" s="79"/>
    </row>
    <row r="18" spans="1:18" x14ac:dyDescent="0.35">
      <c r="A18">
        <v>-0.99600000000000011</v>
      </c>
      <c r="B18" s="15">
        <f t="shared" si="0"/>
        <v>1.0040160642570279</v>
      </c>
      <c r="C18">
        <v>4.8529999999999998</v>
      </c>
      <c r="D18" s="74">
        <f t="shared" si="1"/>
        <v>2.8679999999999994</v>
      </c>
      <c r="E18" s="15">
        <f t="shared" si="2"/>
        <v>0.96318795125750156</v>
      </c>
      <c r="F18" s="10">
        <f t="shared" si="3"/>
        <v>96.318795125750157</v>
      </c>
      <c r="G18" s="10">
        <f t="shared" si="4"/>
        <v>3.6812048742498433</v>
      </c>
      <c r="H18" s="9">
        <f t="shared" si="5"/>
        <v>-2.253215824060864</v>
      </c>
      <c r="I18" s="9">
        <f t="shared" si="6"/>
        <v>1.257215824060864</v>
      </c>
      <c r="J18" s="101">
        <f t="shared" si="7"/>
        <v>144.4836272040302</v>
      </c>
    </row>
    <row r="19" spans="1:18" x14ac:dyDescent="0.35">
      <c r="A19">
        <v>-1.224</v>
      </c>
      <c r="B19" s="15">
        <f t="shared" si="0"/>
        <v>0.81699346405228757</v>
      </c>
      <c r="C19">
        <v>4.8289999999999997</v>
      </c>
      <c r="D19" s="74">
        <f t="shared" si="1"/>
        <v>2.8439999999999994</v>
      </c>
      <c r="E19" s="15">
        <f t="shared" si="2"/>
        <v>0.95512780103777351</v>
      </c>
      <c r="F19" s="10">
        <f t="shared" si="3"/>
        <v>95.512780103777345</v>
      </c>
      <c r="G19" s="10">
        <f t="shared" si="4"/>
        <v>4.4872198962226548</v>
      </c>
      <c r="H19" s="9">
        <f t="shared" si="5"/>
        <v>-2.2779776206514164</v>
      </c>
      <c r="I19" s="9">
        <f t="shared" si="6"/>
        <v>1.0539776206514164</v>
      </c>
      <c r="J19" s="101">
        <f t="shared" si="7"/>
        <v>143.27455919395462</v>
      </c>
    </row>
    <row r="20" spans="1:18" ht="15" thickBot="1" x14ac:dyDescent="0.4">
      <c r="A20">
        <v>-1.47</v>
      </c>
      <c r="B20" s="15">
        <f t="shared" si="0"/>
        <v>0.68027210884353739</v>
      </c>
      <c r="C20">
        <v>4.8040000000000003</v>
      </c>
      <c r="D20" s="74">
        <f t="shared" si="1"/>
        <v>2.819</v>
      </c>
      <c r="E20" s="15">
        <f t="shared" si="2"/>
        <v>0.94673181122555694</v>
      </c>
      <c r="F20" s="10">
        <f t="shared" si="3"/>
        <v>94.67318112255569</v>
      </c>
      <c r="G20" s="10">
        <f t="shared" si="4"/>
        <v>5.3268188774443104</v>
      </c>
      <c r="H20" s="9">
        <f t="shared" si="5"/>
        <v>-2.3043565892711029</v>
      </c>
      <c r="I20" s="9">
        <f t="shared" si="6"/>
        <v>0.8343565892711029</v>
      </c>
      <c r="J20" s="101">
        <f t="shared" si="7"/>
        <v>142.01511335012594</v>
      </c>
      <c r="P20" s="10"/>
      <c r="Q20" s="9"/>
      <c r="R20" s="9"/>
    </row>
    <row r="21" spans="1:18" ht="15" thickBot="1" x14ac:dyDescent="0.4">
      <c r="A21" s="78">
        <v>-2.3649999999999998</v>
      </c>
      <c r="B21" s="67">
        <f t="shared" si="0"/>
        <v>0.42283298097251587</v>
      </c>
      <c r="C21" s="57">
        <v>4.681</v>
      </c>
      <c r="D21" s="77">
        <f t="shared" si="1"/>
        <v>2.6959999999999997</v>
      </c>
      <c r="E21" s="67">
        <f t="shared" si="2"/>
        <v>0.90542354134945069</v>
      </c>
      <c r="F21" s="76">
        <f t="shared" si="3"/>
        <v>90.542354134945072</v>
      </c>
      <c r="G21" s="76">
        <f t="shared" si="4"/>
        <v>9.4576458650549284</v>
      </c>
      <c r="H21" s="75">
        <f t="shared" si="5"/>
        <v>-2.4435758370483924</v>
      </c>
      <c r="I21" s="75">
        <f t="shared" si="6"/>
        <v>7.857583704839266E-2</v>
      </c>
      <c r="J21" s="107">
        <f t="shared" si="7"/>
        <v>135.81863979848865</v>
      </c>
      <c r="P21" s="10"/>
      <c r="Q21" s="9"/>
      <c r="R21" s="9"/>
    </row>
    <row r="22" spans="1:18" x14ac:dyDescent="0.35">
      <c r="A22">
        <v>-2.44</v>
      </c>
      <c r="B22" s="15">
        <f t="shared" si="0"/>
        <v>0.4098360655737705</v>
      </c>
      <c r="C22">
        <v>4.6390000000000002</v>
      </c>
      <c r="D22" s="74">
        <f t="shared" si="1"/>
        <v>2.6539999999999999</v>
      </c>
      <c r="E22" s="15">
        <f t="shared" si="2"/>
        <v>0.89131827846492662</v>
      </c>
      <c r="F22" s="10">
        <f t="shared" si="3"/>
        <v>89.131827846492655</v>
      </c>
      <c r="G22" s="10">
        <f t="shared" si="4"/>
        <v>10.868172153507345</v>
      </c>
      <c r="H22" s="9">
        <f t="shared" si="5"/>
        <v>-2.4950480318586958</v>
      </c>
      <c r="I22" s="9">
        <f t="shared" si="6"/>
        <v>5.5048031858695889E-2</v>
      </c>
      <c r="J22" s="101">
        <f t="shared" si="7"/>
        <v>133.70277078085641</v>
      </c>
      <c r="P22" s="10"/>
      <c r="Q22" s="9"/>
      <c r="R22" s="9"/>
    </row>
    <row r="23" spans="1:18" x14ac:dyDescent="0.35">
      <c r="A23">
        <v>-2.569</v>
      </c>
      <c r="B23" s="15">
        <f t="shared" si="0"/>
        <v>0.3892565200467108</v>
      </c>
      <c r="C23">
        <v>4.6029999999999998</v>
      </c>
      <c r="D23" s="74">
        <f t="shared" si="1"/>
        <v>2.6179999999999994</v>
      </c>
      <c r="E23" s="15">
        <f t="shared" si="2"/>
        <v>0.87922805313533436</v>
      </c>
      <c r="F23" s="10">
        <f t="shared" si="3"/>
        <v>87.922805313533431</v>
      </c>
      <c r="G23" s="10">
        <f t="shared" si="4"/>
        <v>12.077194686466569</v>
      </c>
      <c r="H23" s="9">
        <f t="shared" si="5"/>
        <v>-2.5409247001583468</v>
      </c>
      <c r="I23" s="9">
        <f t="shared" si="6"/>
        <v>-2.8075299841653134E-2</v>
      </c>
      <c r="J23" s="101">
        <f t="shared" si="7"/>
        <v>131.88916876574302</v>
      </c>
      <c r="P23" s="10"/>
      <c r="Q23" s="9"/>
      <c r="R23" s="9"/>
    </row>
    <row r="24" spans="1:18" x14ac:dyDescent="0.35">
      <c r="A24">
        <v>-2.8890000000000002</v>
      </c>
      <c r="B24" s="15">
        <f t="shared" si="0"/>
        <v>0.3461405330564209</v>
      </c>
      <c r="C24">
        <v>4.4279999999999999</v>
      </c>
      <c r="D24" s="74">
        <f t="shared" si="1"/>
        <v>2.4429999999999996</v>
      </c>
      <c r="E24" s="15">
        <f t="shared" si="2"/>
        <v>0.82045612444981741</v>
      </c>
      <c r="F24" s="10">
        <f t="shared" si="3"/>
        <v>82.045612444981742</v>
      </c>
      <c r="G24" s="10">
        <f t="shared" si="4"/>
        <v>17.954387555018258</v>
      </c>
      <c r="H24" s="9">
        <f t="shared" si="5"/>
        <v>-2.7903289899506345</v>
      </c>
      <c r="I24" s="9">
        <f t="shared" si="6"/>
        <v>-9.8671010049365737E-2</v>
      </c>
      <c r="J24" s="101">
        <f t="shared" si="7"/>
        <v>123.07304785894205</v>
      </c>
      <c r="Q24" s="9"/>
      <c r="R24" s="9"/>
    </row>
    <row r="25" spans="1:18" x14ac:dyDescent="0.35">
      <c r="A25">
        <v>-3.0409999999999999</v>
      </c>
      <c r="B25" s="15">
        <f t="shared" si="0"/>
        <v>0.3288391976323578</v>
      </c>
      <c r="C25">
        <v>4.3250000000000002</v>
      </c>
      <c r="D25" s="74">
        <f t="shared" si="1"/>
        <v>2.34</v>
      </c>
      <c r="E25" s="15">
        <f t="shared" si="2"/>
        <v>0.78586464642348464</v>
      </c>
      <c r="F25" s="10">
        <f t="shared" si="3"/>
        <v>78.58646464234846</v>
      </c>
      <c r="G25" s="10">
        <f t="shared" si="4"/>
        <v>21.41353535765154</v>
      </c>
      <c r="H25" s="9">
        <f t="shared" si="5"/>
        <v>-2.9614133585167539</v>
      </c>
      <c r="I25" s="9">
        <f t="shared" si="6"/>
        <v>-7.9586641483246012E-2</v>
      </c>
      <c r="J25" s="101">
        <f t="shared" si="7"/>
        <v>117.88413098236774</v>
      </c>
      <c r="Q25" s="9"/>
      <c r="R25" s="9"/>
    </row>
    <row r="26" spans="1:18" x14ac:dyDescent="0.35">
      <c r="A26">
        <v>-3.1230000000000002</v>
      </c>
      <c r="B26" s="15">
        <f t="shared" si="0"/>
        <v>0.32020493115593979</v>
      </c>
      <c r="C26">
        <v>4.2649999999999997</v>
      </c>
      <c r="D26" s="74">
        <f t="shared" si="1"/>
        <v>2.2799999999999994</v>
      </c>
      <c r="E26" s="15">
        <f t="shared" si="2"/>
        <v>0.76571427087416433</v>
      </c>
      <c r="F26" s="10">
        <f t="shared" si="3"/>
        <v>76.571427087416438</v>
      </c>
      <c r="G26" s="10">
        <f t="shared" si="4"/>
        <v>23.428572912583562</v>
      </c>
      <c r="H26" s="9">
        <f t="shared" si="5"/>
        <v>-3.071102400448519</v>
      </c>
      <c r="I26" s="9">
        <f t="shared" si="6"/>
        <v>-5.1897599551481211E-2</v>
      </c>
      <c r="J26" s="101">
        <f t="shared" si="7"/>
        <v>114.86146095717879</v>
      </c>
      <c r="Q26" s="9"/>
      <c r="R26" s="9"/>
    </row>
    <row r="27" spans="1:18" x14ac:dyDescent="0.35">
      <c r="A27">
        <v>-3.5009999999999999</v>
      </c>
      <c r="B27" s="15">
        <f t="shared" si="0"/>
        <v>0.28563267637817769</v>
      </c>
      <c r="C27">
        <v>4.0839999999999996</v>
      </c>
      <c r="D27" s="74">
        <f t="shared" si="1"/>
        <v>2.0989999999999993</v>
      </c>
      <c r="E27" s="15">
        <f t="shared" si="2"/>
        <v>0.70492730463371533</v>
      </c>
      <c r="F27" s="10">
        <f t="shared" si="3"/>
        <v>70.492730463371529</v>
      </c>
      <c r="G27" s="10">
        <f t="shared" si="4"/>
        <v>29.507269536628471</v>
      </c>
      <c r="H27" s="9">
        <f t="shared" si="5"/>
        <v>-3.457419181497567</v>
      </c>
      <c r="I27" s="9">
        <f t="shared" si="6"/>
        <v>-4.3580818502432894E-2</v>
      </c>
      <c r="J27" s="101">
        <f t="shared" si="7"/>
        <v>105.7430730478589</v>
      </c>
      <c r="Q27" s="9"/>
      <c r="R27" s="9"/>
    </row>
    <row r="28" spans="1:18" x14ac:dyDescent="0.35">
      <c r="A28">
        <v>-3.8810000000000002</v>
      </c>
      <c r="B28" s="15">
        <f t="shared" si="0"/>
        <v>0.25766555011594949</v>
      </c>
      <c r="C28">
        <v>3.9390000000000001</v>
      </c>
      <c r="D28" s="74">
        <f t="shared" si="1"/>
        <v>1.954</v>
      </c>
      <c r="E28" s="15">
        <f t="shared" si="2"/>
        <v>0.6562305637228586</v>
      </c>
      <c r="F28" s="10">
        <f t="shared" si="3"/>
        <v>65.623056372285859</v>
      </c>
      <c r="G28" s="10">
        <f t="shared" si="4"/>
        <v>34.376943627714141</v>
      </c>
      <c r="H28" s="9">
        <f t="shared" si="5"/>
        <v>-3.8448737514339024</v>
      </c>
      <c r="I28" s="9">
        <f t="shared" si="6"/>
        <v>-3.6126248566097807E-2</v>
      </c>
      <c r="J28" s="101">
        <f t="shared" si="7"/>
        <v>98.438287153652382</v>
      </c>
      <c r="Q28" s="9"/>
      <c r="R28" s="9"/>
    </row>
    <row r="29" spans="1:18" x14ac:dyDescent="0.35">
      <c r="A29">
        <v>-4.2299999999999995</v>
      </c>
      <c r="B29" s="15">
        <f t="shared" si="0"/>
        <v>0.23640661938534283</v>
      </c>
      <c r="C29">
        <v>3.8319999999999999</v>
      </c>
      <c r="D29" s="74">
        <f t="shared" si="1"/>
        <v>1.8469999999999998</v>
      </c>
      <c r="E29" s="15">
        <f t="shared" si="2"/>
        <v>0.62029572732657101</v>
      </c>
      <c r="F29" s="10">
        <f t="shared" si="3"/>
        <v>62.029572732657101</v>
      </c>
      <c r="G29" s="10">
        <f t="shared" si="4"/>
        <v>37.970427267342899</v>
      </c>
      <c r="H29" s="9">
        <f t="shared" si="5"/>
        <v>-4.1914935175126891</v>
      </c>
      <c r="I29" s="9">
        <f t="shared" si="6"/>
        <v>-3.8506482487310478E-2</v>
      </c>
      <c r="J29" s="101">
        <f t="shared" si="7"/>
        <v>93.047858942065474</v>
      </c>
      <c r="Q29" s="9"/>
      <c r="R29" s="9"/>
    </row>
    <row r="30" spans="1:18" x14ac:dyDescent="0.35">
      <c r="A30">
        <v>-4.4450000000000003</v>
      </c>
      <c r="B30" s="15">
        <f t="shared" si="0"/>
        <v>0.22497187851518557</v>
      </c>
      <c r="C30">
        <v>3.6829999999999998</v>
      </c>
      <c r="D30" s="74">
        <f t="shared" si="1"/>
        <v>1.6979999999999997</v>
      </c>
      <c r="E30" s="15">
        <f t="shared" si="2"/>
        <v>0.57025562804575936</v>
      </c>
      <c r="F30" s="10">
        <f t="shared" si="3"/>
        <v>57.025562804575934</v>
      </c>
      <c r="G30" s="10">
        <f t="shared" si="4"/>
        <v>42.974437195424066</v>
      </c>
      <c r="H30" s="9">
        <f t="shared" si="5"/>
        <v>-4.7932231192527848</v>
      </c>
      <c r="I30" s="9">
        <f t="shared" si="6"/>
        <v>0.34822311925278449</v>
      </c>
      <c r="J30" s="101">
        <f t="shared" si="7"/>
        <v>85.541561712846331</v>
      </c>
    </row>
    <row r="33" spans="1:18" ht="15" x14ac:dyDescent="0.4">
      <c r="A33" s="13" t="s">
        <v>4</v>
      </c>
      <c r="B33" s="13"/>
      <c r="C33" s="73"/>
      <c r="D33" s="72"/>
      <c r="G33" s="71" t="s">
        <v>14</v>
      </c>
    </row>
    <row r="34" spans="1:18" x14ac:dyDescent="0.35">
      <c r="A34" t="s">
        <v>26</v>
      </c>
      <c r="B34" s="27">
        <f>STDEV(D12:D21)/STDEV(A12:A21)</f>
        <v>0.11565217164452159</v>
      </c>
      <c r="C34" s="70" t="s">
        <v>24</v>
      </c>
      <c r="D34" s="69">
        <f>COUNT(D12:D21)</f>
        <v>10</v>
      </c>
      <c r="G34" t="s">
        <v>26</v>
      </c>
      <c r="H34" s="30">
        <f>-STDEV(B21:B30)/STDEV(G21:G30)</f>
        <v>-5.9853116682701E-3</v>
      </c>
      <c r="I34" s="70" t="s">
        <v>24</v>
      </c>
      <c r="J34" s="69">
        <f>COUNT(B21:B30)</f>
        <v>10</v>
      </c>
      <c r="Q34" s="15"/>
      <c r="R34" s="15"/>
    </row>
    <row r="35" spans="1:18" ht="15.5" x14ac:dyDescent="0.35">
      <c r="A35" t="s">
        <v>3</v>
      </c>
      <c r="B35" s="27">
        <f>AVERAGE(D12:D21)-B34*AVERAGE(A12:A21)</f>
        <v>2.9776119980068767</v>
      </c>
      <c r="C35" s="68" t="s">
        <v>7</v>
      </c>
      <c r="G35" t="s">
        <v>3</v>
      </c>
      <c r="H35" s="31">
        <f>AVERAGE(B21:B30)-H34*AVERAGE(G21:G30)</f>
        <v>0.46584328502785832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zoomScale="60" zoomScaleNormal="60" workbookViewId="0">
      <selection activeCell="N4" sqref="N4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8.54296875" customWidth="1"/>
    <col min="11" max="11" width="8.6328125" customWidth="1"/>
    <col min="12" max="12" width="7.7265625" customWidth="1"/>
    <col min="13" max="13" width="21.08984375" customWidth="1"/>
    <col min="14" max="14" width="9.269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44803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75.037999999999997</v>
      </c>
      <c r="J3" s="116"/>
    </row>
    <row r="4" spans="1:20" x14ac:dyDescent="0.35">
      <c r="A4" s="3" t="s">
        <v>22</v>
      </c>
      <c r="B4" s="102">
        <v>1.649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B28/B4</f>
        <v>1.2763159721732389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-1/G28</f>
        <v>-2.054310568880469</v>
      </c>
      <c r="O8" t="s">
        <v>12</v>
      </c>
    </row>
    <row r="9" spans="1:20" ht="15" x14ac:dyDescent="0.4">
      <c r="A9" s="94">
        <v>-5.8000000000000003E-2</v>
      </c>
      <c r="B9" s="95">
        <f t="shared" ref="B9:B23" si="0">-1/A9</f>
        <v>17.241379310344826</v>
      </c>
      <c r="C9" s="99">
        <v>3.758</v>
      </c>
      <c r="D9" s="96">
        <f>C9-$B$3-$B$4</f>
        <v>2.109</v>
      </c>
      <c r="E9" s="95">
        <f t="shared" ref="E9:E23" si="1">(D9/$B$28)</f>
        <v>1.0020692144316328</v>
      </c>
      <c r="F9" s="97">
        <f t="shared" ref="F9:F23" si="2">100*E9</f>
        <v>100.20692144316328</v>
      </c>
      <c r="G9" s="97">
        <f t="shared" ref="G9:G23" si="3">100-F9</f>
        <v>-0.20692144316328154</v>
      </c>
      <c r="H9" s="94">
        <f t="shared" ref="H9:H23" si="4">-1/($G$28+$G$27*G9)</f>
        <v>-2.0470368513964976</v>
      </c>
      <c r="I9" s="94">
        <f t="shared" ref="I9:I23" si="5">A9-H9</f>
        <v>1.9890368513964976</v>
      </c>
      <c r="J9" s="106">
        <f>D9/$B$4*100</f>
        <v>127.8956943602183</v>
      </c>
      <c r="M9" s="53" t="s">
        <v>23</v>
      </c>
      <c r="N9" s="40">
        <f>H18</f>
        <v>-2.505342995517096</v>
      </c>
      <c r="O9" t="s">
        <v>5</v>
      </c>
    </row>
    <row r="10" spans="1:20" ht="15.5" thickBot="1" x14ac:dyDescent="0.45">
      <c r="A10" s="94">
        <v>-0.10100000000000001</v>
      </c>
      <c r="B10" s="95">
        <f t="shared" si="0"/>
        <v>9.9009900990099009</v>
      </c>
      <c r="C10" s="99">
        <v>3.7490000000000001</v>
      </c>
      <c r="D10" s="96">
        <f t="shared" ref="D10:D23" si="6">C10-$B$3-$B$4</f>
        <v>2.1</v>
      </c>
      <c r="E10" s="95">
        <f t="shared" si="1"/>
        <v>0.99779295889351771</v>
      </c>
      <c r="F10" s="97">
        <f t="shared" si="2"/>
        <v>99.779295889351772</v>
      </c>
      <c r="G10" s="97">
        <f t="shared" si="3"/>
        <v>0.22070411064822792</v>
      </c>
      <c r="H10" s="94">
        <f t="shared" si="4"/>
        <v>-2.0621259629546969</v>
      </c>
      <c r="I10" s="94">
        <f t="shared" si="5"/>
        <v>1.9611259629546969</v>
      </c>
      <c r="J10" s="106">
        <f t="shared" ref="J10:J23" si="7">D10/$B$4*100</f>
        <v>127.34990903577928</v>
      </c>
      <c r="M10" s="54" t="s">
        <v>31</v>
      </c>
      <c r="N10" s="41">
        <f>F18</f>
        <v>89.516282597875573</v>
      </c>
      <c r="O10" t="s">
        <v>6</v>
      </c>
    </row>
    <row r="11" spans="1:20" ht="16.5" customHeight="1" thickBot="1" x14ac:dyDescent="0.45">
      <c r="A11" s="50">
        <v>-0.13900000000000001</v>
      </c>
      <c r="B11" s="52">
        <f t="shared" si="0"/>
        <v>7.1942446043165464</v>
      </c>
      <c r="C11" s="51">
        <v>3.742</v>
      </c>
      <c r="D11" s="62">
        <f t="shared" si="6"/>
        <v>2.093</v>
      </c>
      <c r="E11" s="52">
        <f t="shared" si="1"/>
        <v>0.99446698236387254</v>
      </c>
      <c r="F11" s="63">
        <f t="shared" si="2"/>
        <v>99.446698236387249</v>
      </c>
      <c r="G11" s="63">
        <f t="shared" si="3"/>
        <v>0.55330176361275107</v>
      </c>
      <c r="H11" s="50">
        <f t="shared" si="4"/>
        <v>-2.0740166177419503</v>
      </c>
      <c r="I11" s="50">
        <f t="shared" si="5"/>
        <v>1.9350166177419503</v>
      </c>
      <c r="J11" s="101">
        <f t="shared" si="7"/>
        <v>126.92540933899332</v>
      </c>
      <c r="M11" s="55" t="s">
        <v>1</v>
      </c>
      <c r="N11" s="42">
        <f>STDEV(I11:I18)/STDEV(E11:E18)</f>
        <v>19.126413345274017</v>
      </c>
      <c r="O11" t="s">
        <v>8</v>
      </c>
    </row>
    <row r="12" spans="1:20" ht="16" x14ac:dyDescent="0.4">
      <c r="A12" s="50">
        <v>-0.27600000000000002</v>
      </c>
      <c r="B12" s="52">
        <f t="shared" si="0"/>
        <v>3.6231884057971011</v>
      </c>
      <c r="C12" s="52">
        <v>3.7269999999999999</v>
      </c>
      <c r="D12" s="62">
        <f t="shared" si="6"/>
        <v>2.0779999999999998</v>
      </c>
      <c r="E12" s="52">
        <f t="shared" si="1"/>
        <v>0.98733988980034737</v>
      </c>
      <c r="F12" s="63">
        <f t="shared" si="2"/>
        <v>98.733988980034738</v>
      </c>
      <c r="G12" s="63">
        <f t="shared" si="3"/>
        <v>1.2660110199652621</v>
      </c>
      <c r="H12" s="50">
        <f t="shared" si="4"/>
        <v>-2.0999641269923792</v>
      </c>
      <c r="I12" s="50">
        <f t="shared" si="5"/>
        <v>1.8239641269923792</v>
      </c>
      <c r="J12" s="101">
        <f t="shared" si="7"/>
        <v>126.0157671315949</v>
      </c>
      <c r="M12" s="53" t="s">
        <v>33</v>
      </c>
      <c r="N12" s="43">
        <f>STDEV(E11:E18)/STDEV(A11:A18)</f>
        <v>4.2626396030084661E-2</v>
      </c>
      <c r="O12" t="s">
        <v>9</v>
      </c>
    </row>
    <row r="13" spans="1:20" ht="16.5" thickBot="1" x14ac:dyDescent="0.45">
      <c r="A13" s="50">
        <v>-0.38100000000000001</v>
      </c>
      <c r="B13" s="52">
        <f t="shared" si="0"/>
        <v>2.6246719160104988</v>
      </c>
      <c r="C13" s="51">
        <v>3.7170000000000001</v>
      </c>
      <c r="D13" s="62">
        <f t="shared" si="6"/>
        <v>2.0680000000000001</v>
      </c>
      <c r="E13" s="52">
        <f t="shared" si="1"/>
        <v>0.98258849475799737</v>
      </c>
      <c r="F13" s="63">
        <f t="shared" si="2"/>
        <v>98.258849475799735</v>
      </c>
      <c r="G13" s="63">
        <f t="shared" si="3"/>
        <v>1.7411505242002647</v>
      </c>
      <c r="H13" s="50">
        <f t="shared" si="4"/>
        <v>-2.1176261922306923</v>
      </c>
      <c r="I13" s="50">
        <f t="shared" si="5"/>
        <v>1.7366261922306923</v>
      </c>
      <c r="J13" s="101">
        <f t="shared" si="7"/>
        <v>125.40933899332929</v>
      </c>
      <c r="M13" s="54" t="s">
        <v>0</v>
      </c>
      <c r="N13" s="41">
        <f>STDEV(E18:E24)/STDEV(A18:A24)</f>
        <v>0.12878746452758272</v>
      </c>
      <c r="O13" t="s">
        <v>10</v>
      </c>
    </row>
    <row r="14" spans="1:20" ht="16" x14ac:dyDescent="0.4">
      <c r="A14" s="50">
        <v>-0.63500000000000001</v>
      </c>
      <c r="B14" s="22">
        <f t="shared" si="0"/>
        <v>1.5748031496062991</v>
      </c>
      <c r="C14" s="51">
        <v>3.6960000000000002</v>
      </c>
      <c r="D14" s="48">
        <f t="shared" si="6"/>
        <v>2.0470000000000002</v>
      </c>
      <c r="E14" s="22">
        <f t="shared" si="1"/>
        <v>0.9726105651690623</v>
      </c>
      <c r="F14" s="49">
        <f t="shared" si="2"/>
        <v>97.261056516906237</v>
      </c>
      <c r="G14" s="49">
        <f t="shared" si="3"/>
        <v>2.7389434830937631</v>
      </c>
      <c r="H14" s="47">
        <f t="shared" si="4"/>
        <v>-2.1557009738736057</v>
      </c>
      <c r="I14" s="47">
        <f t="shared" si="5"/>
        <v>1.5207009738736057</v>
      </c>
      <c r="J14" s="101">
        <f t="shared" si="7"/>
        <v>124.1358399029715</v>
      </c>
      <c r="M14" s="56" t="s">
        <v>16</v>
      </c>
      <c r="N14" s="44">
        <f>N12*B28/18/(E3/10000)</f>
        <v>0.66420741563079133</v>
      </c>
    </row>
    <row r="15" spans="1:20" x14ac:dyDescent="0.35">
      <c r="A15" s="50">
        <v>-0.80600000000000005</v>
      </c>
      <c r="B15" s="22">
        <f t="shared" si="0"/>
        <v>1.2406947890818858</v>
      </c>
      <c r="C15" s="51">
        <v>3.681</v>
      </c>
      <c r="D15" s="48">
        <f t="shared" si="6"/>
        <v>2.032</v>
      </c>
      <c r="E15" s="22">
        <f t="shared" si="1"/>
        <v>0.96548347260553713</v>
      </c>
      <c r="F15" s="49">
        <f t="shared" si="2"/>
        <v>96.548347260553712</v>
      </c>
      <c r="G15" s="49">
        <f t="shared" si="3"/>
        <v>3.4516527394462884</v>
      </c>
      <c r="H15" s="47">
        <f t="shared" si="4"/>
        <v>-2.1837464160018238</v>
      </c>
      <c r="I15" s="47">
        <f t="shared" si="5"/>
        <v>1.3777464160018238</v>
      </c>
      <c r="J15" s="101">
        <f t="shared" si="7"/>
        <v>123.22619769557308</v>
      </c>
    </row>
    <row r="16" spans="1:20" x14ac:dyDescent="0.35">
      <c r="A16" s="50">
        <v>-0.94299999999999995</v>
      </c>
      <c r="B16" s="22">
        <f t="shared" si="0"/>
        <v>1.0604453870625663</v>
      </c>
      <c r="C16" s="52">
        <v>3.6720000000000002</v>
      </c>
      <c r="D16" s="48">
        <f t="shared" si="6"/>
        <v>2.0230000000000001</v>
      </c>
      <c r="E16" s="22">
        <f t="shared" si="1"/>
        <v>0.96120721706742207</v>
      </c>
      <c r="F16" s="49">
        <f t="shared" si="2"/>
        <v>96.120721706742202</v>
      </c>
      <c r="G16" s="49">
        <f t="shared" si="3"/>
        <v>3.8792782932577978</v>
      </c>
      <c r="H16" s="47">
        <f t="shared" si="4"/>
        <v>-2.2009267105147332</v>
      </c>
      <c r="I16" s="47">
        <f t="shared" si="5"/>
        <v>1.2579267105147331</v>
      </c>
      <c r="J16" s="101">
        <f t="shared" si="7"/>
        <v>122.68041237113403</v>
      </c>
      <c r="Q16" s="3"/>
      <c r="R16" s="3"/>
      <c r="S16" s="3"/>
      <c r="T16" s="3"/>
    </row>
    <row r="17" spans="1:18" ht="15" thickBot="1" x14ac:dyDescent="0.4">
      <c r="A17" s="50">
        <v>-1.403</v>
      </c>
      <c r="B17" s="22">
        <f t="shared" si="0"/>
        <v>0.71275837491090521</v>
      </c>
      <c r="C17" s="51">
        <v>3.6320000000000001</v>
      </c>
      <c r="D17" s="48">
        <f t="shared" si="6"/>
        <v>1.9830000000000001</v>
      </c>
      <c r="E17" s="22">
        <f t="shared" si="1"/>
        <v>0.94220163689802172</v>
      </c>
      <c r="F17" s="49">
        <f t="shared" si="2"/>
        <v>94.220163689802177</v>
      </c>
      <c r="G17" s="49">
        <f t="shared" si="3"/>
        <v>5.7798363101978225</v>
      </c>
      <c r="H17" s="47">
        <f t="shared" si="4"/>
        <v>-2.2806726988601662</v>
      </c>
      <c r="I17" s="47">
        <f t="shared" si="5"/>
        <v>0.87767269886016619</v>
      </c>
      <c r="J17" s="101">
        <f t="shared" si="7"/>
        <v>120.25469981807156</v>
      </c>
    </row>
    <row r="18" spans="1:18" ht="15" thickBot="1" x14ac:dyDescent="0.4">
      <c r="A18" s="64">
        <v>-2.4300000000000002</v>
      </c>
      <c r="B18" s="61">
        <f t="shared" si="0"/>
        <v>0.41152263374485593</v>
      </c>
      <c r="C18" s="65">
        <v>3.5329999999999999</v>
      </c>
      <c r="D18" s="60">
        <f t="shared" si="6"/>
        <v>1.8839999999999999</v>
      </c>
      <c r="E18" s="61">
        <f t="shared" si="1"/>
        <v>0.89516282597875574</v>
      </c>
      <c r="F18" s="58">
        <f t="shared" si="2"/>
        <v>89.516282597875573</v>
      </c>
      <c r="G18" s="58">
        <f t="shared" si="3"/>
        <v>10.483717402124427</v>
      </c>
      <c r="H18" s="59">
        <f t="shared" si="4"/>
        <v>-2.505342995517096</v>
      </c>
      <c r="I18" s="59">
        <f t="shared" si="5"/>
        <v>7.534299551709589E-2</v>
      </c>
      <c r="J18" s="107">
        <f t="shared" si="7"/>
        <v>114.25106124924196</v>
      </c>
    </row>
    <row r="19" spans="1:18" x14ac:dyDescent="0.35">
      <c r="A19" s="50">
        <v>-2.88</v>
      </c>
      <c r="B19" s="22">
        <f t="shared" si="0"/>
        <v>0.34722222222222221</v>
      </c>
      <c r="C19" s="51">
        <v>3.4359999999999999</v>
      </c>
      <c r="D19" s="48">
        <f t="shared" si="6"/>
        <v>1.7869999999999999</v>
      </c>
      <c r="E19" s="22">
        <f t="shared" si="1"/>
        <v>0.84907429406795998</v>
      </c>
      <c r="F19" s="49">
        <f t="shared" si="2"/>
        <v>84.907429406795998</v>
      </c>
      <c r="G19" s="49">
        <f t="shared" si="3"/>
        <v>15.092570593204002</v>
      </c>
      <c r="H19" s="47">
        <f t="shared" si="4"/>
        <v>-2.7729935135682435</v>
      </c>
      <c r="I19" s="47">
        <f t="shared" si="5"/>
        <v>-0.10700648643175636</v>
      </c>
      <c r="J19" s="101">
        <f t="shared" si="7"/>
        <v>108.36870830806549</v>
      </c>
    </row>
    <row r="20" spans="1:18" x14ac:dyDescent="0.35">
      <c r="A20" s="50">
        <v>-3.53</v>
      </c>
      <c r="B20" s="22">
        <f t="shared" si="0"/>
        <v>0.28328611898016998</v>
      </c>
      <c r="C20" s="51">
        <v>3.278</v>
      </c>
      <c r="D20" s="48">
        <f t="shared" si="6"/>
        <v>1.629</v>
      </c>
      <c r="E20" s="22">
        <f t="shared" si="1"/>
        <v>0.77400225239882869</v>
      </c>
      <c r="F20" s="49">
        <f t="shared" si="2"/>
        <v>77.400225239882872</v>
      </c>
      <c r="G20" s="49">
        <f t="shared" si="3"/>
        <v>22.599774760117128</v>
      </c>
      <c r="H20" s="47">
        <f t="shared" si="4"/>
        <v>-3.3571952595316628</v>
      </c>
      <c r="I20" s="47">
        <f t="shared" si="5"/>
        <v>-0.17280474046833705</v>
      </c>
      <c r="J20" s="101">
        <f t="shared" si="7"/>
        <v>98.787143723468773</v>
      </c>
      <c r="Q20" s="9"/>
      <c r="R20" s="9"/>
    </row>
    <row r="21" spans="1:18" x14ac:dyDescent="0.35">
      <c r="A21" s="50">
        <v>-3.59</v>
      </c>
      <c r="B21" s="22">
        <f t="shared" si="0"/>
        <v>0.2785515320334262</v>
      </c>
      <c r="C21" s="51">
        <v>3.24</v>
      </c>
      <c r="D21" s="48">
        <f t="shared" si="6"/>
        <v>1.5910000000000002</v>
      </c>
      <c r="E21" s="22">
        <f t="shared" si="1"/>
        <v>0.75594695123789846</v>
      </c>
      <c r="F21" s="49">
        <f t="shared" si="2"/>
        <v>75.594695123789847</v>
      </c>
      <c r="G21" s="49">
        <f t="shared" si="3"/>
        <v>24.405304876210153</v>
      </c>
      <c r="H21" s="47">
        <f t="shared" si="4"/>
        <v>-3.5363793091033373</v>
      </c>
      <c r="I21" s="47">
        <f t="shared" si="5"/>
        <v>-5.3620690896662548E-2</v>
      </c>
      <c r="J21" s="101">
        <f t="shared" si="7"/>
        <v>96.482716798059442</v>
      </c>
      <c r="Q21" s="9"/>
      <c r="R21" s="9"/>
    </row>
    <row r="22" spans="1:18" x14ac:dyDescent="0.35">
      <c r="A22" s="50">
        <v>-3.7120000000000002</v>
      </c>
      <c r="B22" s="6">
        <f t="shared" si="0"/>
        <v>0.2693965517241379</v>
      </c>
      <c r="C22" s="51">
        <v>3.19</v>
      </c>
      <c r="D22" s="7">
        <f t="shared" si="6"/>
        <v>1.5409999999999999</v>
      </c>
      <c r="E22" s="6">
        <f t="shared" si="1"/>
        <v>0.73218997602614788</v>
      </c>
      <c r="F22" s="49">
        <f t="shared" si="2"/>
        <v>73.218997602614792</v>
      </c>
      <c r="G22" s="49">
        <f t="shared" si="3"/>
        <v>26.781002397385208</v>
      </c>
      <c r="H22" s="47">
        <f t="shared" si="4"/>
        <v>-3.803490107203217</v>
      </c>
      <c r="I22" s="47">
        <f t="shared" si="5"/>
        <v>9.1490107203216819E-2</v>
      </c>
      <c r="J22" s="101">
        <f t="shared" si="7"/>
        <v>93.450576106731347</v>
      </c>
      <c r="Q22" s="9"/>
      <c r="R22" s="9"/>
    </row>
    <row r="23" spans="1:18" x14ac:dyDescent="0.35">
      <c r="A23" s="50">
        <v>-3.8</v>
      </c>
      <c r="B23" s="6">
        <f t="shared" si="0"/>
        <v>0.26315789473684209</v>
      </c>
      <c r="C23" s="51">
        <v>3.157</v>
      </c>
      <c r="D23" s="7">
        <f t="shared" si="6"/>
        <v>1.508</v>
      </c>
      <c r="E23" s="6">
        <f t="shared" si="1"/>
        <v>0.7165103723863927</v>
      </c>
      <c r="F23" s="49">
        <f t="shared" si="2"/>
        <v>71.651037238639276</v>
      </c>
      <c r="G23" s="49">
        <f t="shared" si="3"/>
        <v>28.348962761360724</v>
      </c>
      <c r="H23" s="47">
        <f t="shared" si="4"/>
        <v>-4.0030472397156878</v>
      </c>
      <c r="I23" s="47">
        <f t="shared" si="5"/>
        <v>0.20304723971568794</v>
      </c>
      <c r="J23" s="101">
        <f t="shared" si="7"/>
        <v>91.449363250454823</v>
      </c>
      <c r="Q23" s="9"/>
      <c r="R23" s="9"/>
    </row>
    <row r="24" spans="1:18" x14ac:dyDescent="0.35">
      <c r="A24" s="3"/>
      <c r="B24" s="6"/>
      <c r="C24" s="3"/>
      <c r="D24" s="7"/>
      <c r="E24" s="6"/>
      <c r="F24" s="49"/>
      <c r="G24" s="49"/>
      <c r="H24" s="47"/>
      <c r="I24" s="47"/>
      <c r="Q24" s="9"/>
      <c r="R24" s="9"/>
    </row>
    <row r="25" spans="1:18" x14ac:dyDescent="0.35">
      <c r="A25" s="3"/>
      <c r="B25" s="6"/>
      <c r="C25" s="3"/>
      <c r="D25" s="7"/>
      <c r="E25" s="6"/>
      <c r="F25" s="49"/>
      <c r="G25" s="49"/>
      <c r="H25" s="47"/>
      <c r="I25" s="47"/>
      <c r="Q25" s="9"/>
      <c r="R25" s="9"/>
    </row>
    <row r="26" spans="1:18" ht="15" x14ac:dyDescent="0.4">
      <c r="A26" s="13" t="s">
        <v>4</v>
      </c>
      <c r="B26" s="13"/>
      <c r="C26" s="23"/>
      <c r="D26" s="14"/>
      <c r="E26" s="6"/>
      <c r="F26" s="34" t="s">
        <v>14</v>
      </c>
      <c r="Q26" s="9"/>
      <c r="R26" s="9"/>
    </row>
    <row r="27" spans="1:18" x14ac:dyDescent="0.35">
      <c r="A27" s="3" t="s">
        <v>26</v>
      </c>
      <c r="B27" s="27">
        <f>STDEV(D11:D18)/STDEV(A11:A18)</f>
        <v>8.9713432897385953E-2</v>
      </c>
      <c r="C27" s="5" t="s">
        <v>24</v>
      </c>
      <c r="D27" s="28">
        <f>COUNT(D11:D18)</f>
        <v>8</v>
      </c>
      <c r="F27" s="35" t="s">
        <v>26</v>
      </c>
      <c r="G27" s="30">
        <f>-STDEV(B18:B24)/STDEV(G18:G24)</f>
        <v>-8.3590932208596289E-3</v>
      </c>
      <c r="H27" s="5" t="s">
        <v>24</v>
      </c>
      <c r="I27" s="28">
        <f>COUNT(B18:B24)</f>
        <v>6</v>
      </c>
      <c r="Q27" s="9"/>
      <c r="R27" s="9"/>
    </row>
    <row r="28" spans="1:18" ht="15.5" x14ac:dyDescent="0.35">
      <c r="A28" s="3" t="s">
        <v>3</v>
      </c>
      <c r="B28" s="24">
        <f>AVERAGE(D11:D18)-B27*AVERAGE(A11:A18)</f>
        <v>2.104645038113671</v>
      </c>
      <c r="C28" s="26" t="s">
        <v>7</v>
      </c>
      <c r="F28" s="35" t="s">
        <v>3</v>
      </c>
      <c r="G28" s="31">
        <f>AVERAGE(B18:B24)-G27*AVERAGE(G18:G24)</f>
        <v>0.48678131493280818</v>
      </c>
      <c r="H28" s="25"/>
      <c r="Q28" s="9"/>
      <c r="R28" s="9"/>
    </row>
    <row r="29" spans="1:18" x14ac:dyDescent="0.35">
      <c r="Q29" s="9"/>
      <c r="R29" s="9"/>
    </row>
    <row r="34" spans="17:18" x14ac:dyDescent="0.35">
      <c r="Q34" s="15"/>
      <c r="R34" s="15"/>
    </row>
  </sheetData>
  <phoneticPr fontId="13" type="noConversion"/>
  <pageMargins left="0.49" right="0.4" top="0.74803149606299213" bottom="0.74803149606299213" header="0.31496062992125984" footer="0.31496062992125984"/>
  <pageSetup paperSize="9" scale="8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4"/>
  <sheetViews>
    <sheetView zoomScale="60" zoomScaleNormal="60" workbookViewId="0">
      <selection activeCell="M17" sqref="M17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1.6328125" customWidth="1"/>
    <col min="11" max="11" width="8.90625" customWidth="1"/>
    <col min="12" max="12" width="8.7265625" customWidth="1"/>
    <col min="13" max="13" width="19.1796875" customWidth="1"/>
    <col min="14" max="14" width="8.179687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44803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68.587999999999994</v>
      </c>
      <c r="J3" s="116"/>
    </row>
    <row r="4" spans="1:20" x14ac:dyDescent="0.35">
      <c r="A4" s="3" t="s">
        <v>22</v>
      </c>
      <c r="B4" s="102">
        <v>1.5509999999999999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B26/B4</f>
        <v>1.2300361051337674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-1/H26</f>
        <v>-1.8555966872407326</v>
      </c>
      <c r="O8" t="s">
        <v>12</v>
      </c>
    </row>
    <row r="9" spans="1:20" ht="15" x14ac:dyDescent="0.4">
      <c r="A9" s="94">
        <v>-7.0000000000000007E-2</v>
      </c>
      <c r="B9" s="95">
        <f t="shared" ref="B9:B21" si="0">-1/A9</f>
        <v>14.285714285714285</v>
      </c>
      <c r="C9" s="91">
        <v>3.4660000000000002</v>
      </c>
      <c r="D9" s="96">
        <f>C9-$B$3-$B$4</f>
        <v>1.9150000000000003</v>
      </c>
      <c r="E9" s="95">
        <f t="shared" ref="E9:E21" si="1">(D9/$B$26)</f>
        <v>1.0037813470384374</v>
      </c>
      <c r="F9" s="97">
        <f t="shared" ref="F9:F21" si="2">100*E9</f>
        <v>100.37813470384374</v>
      </c>
      <c r="G9" s="97">
        <f t="shared" ref="G9:G21" si="3">100-F9</f>
        <v>-0.3781347038437417</v>
      </c>
      <c r="H9" s="94">
        <f t="shared" ref="H9:H21" si="4">-1/($H$26+$H$25*G9)</f>
        <v>-1.8432305435393841</v>
      </c>
      <c r="I9" s="94">
        <f t="shared" ref="I9:I21" si="5">A9-H9</f>
        <v>1.773230543539384</v>
      </c>
      <c r="J9" s="106">
        <f>D9/$B$4*100</f>
        <v>123.4687298517086</v>
      </c>
      <c r="M9" s="53" t="s">
        <v>23</v>
      </c>
      <c r="N9" s="40">
        <f>H17</f>
        <v>-2.1652729231900043</v>
      </c>
      <c r="O9" t="s">
        <v>5</v>
      </c>
    </row>
    <row r="10" spans="1:20" ht="15.5" thickBot="1" x14ac:dyDescent="0.45">
      <c r="A10" s="94">
        <v>-0.10100000000000001</v>
      </c>
      <c r="B10" s="95">
        <f t="shared" si="0"/>
        <v>9.9009900990099009</v>
      </c>
      <c r="C10" s="91">
        <v>3.4569999999999999</v>
      </c>
      <c r="D10" s="96">
        <f t="shared" ref="D10:D21" si="6">C10-$B$3-$B$4</f>
        <v>1.9059999999999999</v>
      </c>
      <c r="E10" s="95">
        <f t="shared" si="1"/>
        <v>0.99906383679125921</v>
      </c>
      <c r="F10" s="97">
        <f t="shared" si="2"/>
        <v>99.906383679125923</v>
      </c>
      <c r="G10" s="97">
        <f t="shared" si="3"/>
        <v>9.3616320874076564E-2</v>
      </c>
      <c r="H10" s="94">
        <f t="shared" si="4"/>
        <v>-1.8586838903115495</v>
      </c>
      <c r="I10" s="94">
        <f t="shared" si="5"/>
        <v>1.7576838903115495</v>
      </c>
      <c r="J10" s="106">
        <f t="shared" ref="J10:J21" si="7">D10/$B$4*100</f>
        <v>122.88845905867183</v>
      </c>
      <c r="M10" s="54" t="s">
        <v>31</v>
      </c>
      <c r="N10" s="41">
        <f>F17</f>
        <v>91.93903303944748</v>
      </c>
      <c r="O10" t="s">
        <v>6</v>
      </c>
    </row>
    <row r="11" spans="1:20" ht="16.5" customHeight="1" thickBot="1" x14ac:dyDescent="0.45">
      <c r="A11" s="50">
        <v>-0.13200000000000001</v>
      </c>
      <c r="B11" s="22">
        <f t="shared" si="0"/>
        <v>7.5757575757575752</v>
      </c>
      <c r="C11">
        <v>3.45</v>
      </c>
      <c r="D11" s="48">
        <f t="shared" si="6"/>
        <v>1.8990000000000002</v>
      </c>
      <c r="E11" s="22">
        <f t="shared" si="1"/>
        <v>0.99539466215456529</v>
      </c>
      <c r="F11" s="49">
        <f t="shared" si="2"/>
        <v>99.539466215456528</v>
      </c>
      <c r="G11" s="49">
        <f t="shared" si="3"/>
        <v>0.46053378454347182</v>
      </c>
      <c r="H11" s="47">
        <f t="shared" si="4"/>
        <v>-1.8708834782595412</v>
      </c>
      <c r="I11" s="47">
        <f t="shared" si="5"/>
        <v>1.7388834782595413</v>
      </c>
      <c r="J11" s="101">
        <f t="shared" si="7"/>
        <v>122.43713733075437</v>
      </c>
      <c r="M11" s="55" t="s">
        <v>1</v>
      </c>
      <c r="N11" s="42">
        <f>STDEV(I11:I17)/STDEV(E11:E17)</f>
        <v>24.28683364868861</v>
      </c>
      <c r="O11" t="s">
        <v>8</v>
      </c>
    </row>
    <row r="12" spans="1:20" ht="16" x14ac:dyDescent="0.4">
      <c r="A12" s="47">
        <v>-0.19700000000000001</v>
      </c>
      <c r="B12" s="22">
        <f t="shared" si="0"/>
        <v>5.0761421319796955</v>
      </c>
      <c r="C12">
        <v>3.4420000000000002</v>
      </c>
      <c r="D12" s="48">
        <f t="shared" si="6"/>
        <v>1.8910000000000002</v>
      </c>
      <c r="E12" s="22">
        <f t="shared" si="1"/>
        <v>0.99120131971262926</v>
      </c>
      <c r="F12" s="49">
        <f t="shared" si="2"/>
        <v>99.120131971262921</v>
      </c>
      <c r="G12" s="49">
        <f t="shared" si="3"/>
        <v>0.87986802873707859</v>
      </c>
      <c r="H12" s="47">
        <f t="shared" si="4"/>
        <v>-1.8850234431166712</v>
      </c>
      <c r="I12" s="47">
        <f t="shared" si="5"/>
        <v>1.6880234431166712</v>
      </c>
      <c r="J12" s="101">
        <f t="shared" si="7"/>
        <v>121.92134107027725</v>
      </c>
      <c r="M12" s="53" t="s">
        <v>33</v>
      </c>
      <c r="N12" s="43">
        <f>STDEV(E11:E17)/STDEV(A11:A17)</f>
        <v>3.5586324880389097E-2</v>
      </c>
      <c r="O12" t="s">
        <v>9</v>
      </c>
    </row>
    <row r="13" spans="1:20" ht="16.5" thickBot="1" x14ac:dyDescent="0.45">
      <c r="A13" s="47">
        <v>-0.52700000000000002</v>
      </c>
      <c r="B13" s="22">
        <f t="shared" si="0"/>
        <v>1.8975332068311195</v>
      </c>
      <c r="C13">
        <v>3.42</v>
      </c>
      <c r="D13" s="48">
        <f t="shared" si="6"/>
        <v>1.869</v>
      </c>
      <c r="E13" s="22">
        <f t="shared" si="1"/>
        <v>0.97966962799730506</v>
      </c>
      <c r="F13" s="49">
        <f t="shared" si="2"/>
        <v>97.96696279973051</v>
      </c>
      <c r="G13" s="49">
        <f t="shared" si="3"/>
        <v>2.0330372002694901</v>
      </c>
      <c r="H13" s="47">
        <f t="shared" si="4"/>
        <v>-1.9250338205348836</v>
      </c>
      <c r="I13" s="47">
        <f t="shared" si="5"/>
        <v>1.3980338205348835</v>
      </c>
      <c r="J13" s="101">
        <f t="shared" si="7"/>
        <v>120.5029013539652</v>
      </c>
      <c r="M13" s="54" t="s">
        <v>0</v>
      </c>
      <c r="N13" s="41">
        <f>STDEV(E17:E21)/STDEV(A17:A21)</f>
        <v>0.1312112439502327</v>
      </c>
      <c r="O13" t="s">
        <v>10</v>
      </c>
    </row>
    <row r="14" spans="1:20" ht="16" x14ac:dyDescent="0.4">
      <c r="A14" s="50">
        <v>-0.92100000000000004</v>
      </c>
      <c r="B14" s="22">
        <f t="shared" si="0"/>
        <v>1.0857763300760044</v>
      </c>
      <c r="C14">
        <v>3.4</v>
      </c>
      <c r="D14" s="48">
        <f t="shared" si="6"/>
        <v>1.849</v>
      </c>
      <c r="E14" s="22">
        <f t="shared" si="1"/>
        <v>0.96918627189246498</v>
      </c>
      <c r="F14" s="49">
        <f t="shared" si="2"/>
        <v>96.918627189246493</v>
      </c>
      <c r="G14" s="49">
        <f t="shared" si="3"/>
        <v>3.081372810753507</v>
      </c>
      <c r="H14" s="47">
        <f t="shared" si="4"/>
        <v>-1.9629097713751287</v>
      </c>
      <c r="I14" s="47">
        <f t="shared" si="5"/>
        <v>1.0419097713751286</v>
      </c>
      <c r="J14" s="101">
        <f t="shared" si="7"/>
        <v>119.21341070277241</v>
      </c>
      <c r="M14" s="56" t="s">
        <v>16</v>
      </c>
      <c r="N14" s="44">
        <f>N12*B26/18/(E3/10000)</f>
        <v>0.5499106773204161</v>
      </c>
    </row>
    <row r="15" spans="1:20" x14ac:dyDescent="0.35">
      <c r="A15" s="50">
        <v>-1.321</v>
      </c>
      <c r="B15" s="22">
        <f t="shared" si="0"/>
        <v>0.75700227100681305</v>
      </c>
      <c r="C15">
        <v>3.3730000000000002</v>
      </c>
      <c r="D15" s="48">
        <f t="shared" si="6"/>
        <v>1.8220000000000003</v>
      </c>
      <c r="E15" s="22">
        <f t="shared" si="1"/>
        <v>0.95503374115093109</v>
      </c>
      <c r="F15" s="49">
        <f t="shared" si="2"/>
        <v>95.503374115093109</v>
      </c>
      <c r="G15" s="49">
        <f t="shared" si="3"/>
        <v>4.4966258849068907</v>
      </c>
      <c r="H15" s="47">
        <f t="shared" si="4"/>
        <v>-2.0164710505137977</v>
      </c>
      <c r="I15" s="47">
        <f t="shared" si="5"/>
        <v>0.69547105051379776</v>
      </c>
      <c r="J15" s="101">
        <f t="shared" si="7"/>
        <v>117.47259832366217</v>
      </c>
      <c r="K15" s="18"/>
      <c r="L15" s="19"/>
    </row>
    <row r="16" spans="1:20" ht="15" thickBot="1" x14ac:dyDescent="0.4">
      <c r="A16" s="50">
        <v>-1.879</v>
      </c>
      <c r="B16" s="22">
        <f t="shared" si="0"/>
        <v>0.53219797764768495</v>
      </c>
      <c r="C16">
        <v>3.339</v>
      </c>
      <c r="D16" s="48">
        <f t="shared" si="6"/>
        <v>1.788</v>
      </c>
      <c r="E16" s="22">
        <f t="shared" si="1"/>
        <v>0.93721203577270285</v>
      </c>
      <c r="F16" s="49">
        <f t="shared" si="2"/>
        <v>93.721203577270288</v>
      </c>
      <c r="G16" s="49">
        <f t="shared" si="3"/>
        <v>6.2787964227297124</v>
      </c>
      <c r="H16" s="47">
        <f t="shared" si="4"/>
        <v>-2.0882245271495403</v>
      </c>
      <c r="I16" s="47">
        <f t="shared" si="5"/>
        <v>0.20922452714954032</v>
      </c>
      <c r="J16" s="101">
        <f t="shared" si="7"/>
        <v>115.28046421663443</v>
      </c>
      <c r="K16" s="18"/>
      <c r="L16" s="19"/>
      <c r="P16" s="3"/>
      <c r="Q16" s="3"/>
      <c r="R16" s="3"/>
      <c r="S16" s="3"/>
      <c r="T16" s="3"/>
    </row>
    <row r="17" spans="1:18" ht="15" thickBot="1" x14ac:dyDescent="0.4">
      <c r="A17" s="64">
        <v>-2.13</v>
      </c>
      <c r="B17" s="61">
        <f t="shared" si="0"/>
        <v>0.46948356807511737</v>
      </c>
      <c r="C17" s="57">
        <v>3.3050000000000002</v>
      </c>
      <c r="D17" s="60">
        <f t="shared" si="6"/>
        <v>1.7540000000000002</v>
      </c>
      <c r="E17" s="61">
        <f t="shared" si="1"/>
        <v>0.91939033039447482</v>
      </c>
      <c r="F17" s="58">
        <f t="shared" si="2"/>
        <v>91.93903303944748</v>
      </c>
      <c r="G17" s="58">
        <f t="shared" si="3"/>
        <v>8.0609669605525198</v>
      </c>
      <c r="H17" s="59">
        <f t="shared" si="4"/>
        <v>-2.1652729231900043</v>
      </c>
      <c r="I17" s="59">
        <f t="shared" si="5"/>
        <v>3.5272923190004413E-2</v>
      </c>
      <c r="J17" s="107">
        <f t="shared" si="7"/>
        <v>113.08833010960673</v>
      </c>
      <c r="K17" s="18"/>
      <c r="L17" s="19"/>
    </row>
    <row r="18" spans="1:18" x14ac:dyDescent="0.35">
      <c r="A18" s="50">
        <v>-3.31</v>
      </c>
      <c r="B18" s="22">
        <f t="shared" si="0"/>
        <v>0.30211480362537763</v>
      </c>
      <c r="C18" s="3">
        <v>3.0329999999999999</v>
      </c>
      <c r="D18" s="48">
        <f t="shared" si="6"/>
        <v>1.482</v>
      </c>
      <c r="E18" s="22">
        <f t="shared" si="1"/>
        <v>0.77681668736864962</v>
      </c>
      <c r="F18" s="49">
        <f t="shared" si="2"/>
        <v>77.681668736864964</v>
      </c>
      <c r="G18" s="49">
        <f t="shared" si="3"/>
        <v>22.318331263135036</v>
      </c>
      <c r="H18" s="47">
        <f t="shared" si="4"/>
        <v>-3.0720622758110241</v>
      </c>
      <c r="I18" s="47">
        <f t="shared" si="5"/>
        <v>-0.23793772418897596</v>
      </c>
      <c r="J18" s="101">
        <f t="shared" si="7"/>
        <v>95.551257253384918</v>
      </c>
    </row>
    <row r="19" spans="1:18" x14ac:dyDescent="0.35">
      <c r="A19" s="50">
        <v>-3.46</v>
      </c>
      <c r="B19" s="22">
        <f t="shared" si="0"/>
        <v>0.28901734104046245</v>
      </c>
      <c r="C19">
        <v>2.9740000000000002</v>
      </c>
      <c r="D19" s="48">
        <f t="shared" si="6"/>
        <v>1.4230000000000003</v>
      </c>
      <c r="E19" s="22">
        <f t="shared" si="1"/>
        <v>0.74589078685937149</v>
      </c>
      <c r="F19" s="49">
        <f t="shared" si="2"/>
        <v>74.589078685937153</v>
      </c>
      <c r="G19" s="49">
        <f t="shared" si="3"/>
        <v>25.410921314062847</v>
      </c>
      <c r="H19" s="47">
        <f t="shared" si="4"/>
        <v>-3.3790115034276349</v>
      </c>
      <c r="I19" s="47">
        <f t="shared" si="5"/>
        <v>-8.0988496572365065E-2</v>
      </c>
      <c r="J19" s="101">
        <f t="shared" si="7"/>
        <v>91.74725983236624</v>
      </c>
    </row>
    <row r="20" spans="1:18" x14ac:dyDescent="0.35">
      <c r="A20" s="50">
        <v>-3.6749999999999998</v>
      </c>
      <c r="B20" s="22">
        <f t="shared" si="0"/>
        <v>0.27210884353741499</v>
      </c>
      <c r="C20">
        <v>2.9089999999999998</v>
      </c>
      <c r="D20" s="48">
        <f t="shared" si="6"/>
        <v>1.3579999999999999</v>
      </c>
      <c r="E20" s="22">
        <f t="shared" si="1"/>
        <v>0.71181987951864112</v>
      </c>
      <c r="F20" s="49">
        <f t="shared" si="2"/>
        <v>71.181987951864116</v>
      </c>
      <c r="G20" s="49">
        <f t="shared" si="3"/>
        <v>28.818012048135884</v>
      </c>
      <c r="H20" s="47">
        <f t="shared" si="4"/>
        <v>-3.7969720352800476</v>
      </c>
      <c r="I20" s="47">
        <f t="shared" si="5"/>
        <v>0.12197203528004774</v>
      </c>
      <c r="J20" s="101">
        <f t="shared" si="7"/>
        <v>87.556415215989674</v>
      </c>
      <c r="P20" s="10"/>
      <c r="Q20" s="9"/>
      <c r="R20" s="9"/>
    </row>
    <row r="21" spans="1:18" x14ac:dyDescent="0.35">
      <c r="A21" s="50">
        <v>-3.91</v>
      </c>
      <c r="B21" s="22">
        <f t="shared" si="0"/>
        <v>0.25575447570332482</v>
      </c>
      <c r="C21" s="3">
        <v>2.8660000000000001</v>
      </c>
      <c r="D21" s="48">
        <f t="shared" si="6"/>
        <v>1.3150000000000002</v>
      </c>
      <c r="E21" s="22">
        <f t="shared" si="1"/>
        <v>0.68928066389323506</v>
      </c>
      <c r="F21" s="49">
        <f t="shared" si="2"/>
        <v>68.928066389323504</v>
      </c>
      <c r="G21" s="49">
        <f t="shared" si="3"/>
        <v>31.071933610676496</v>
      </c>
      <c r="H21" s="47">
        <f t="shared" si="4"/>
        <v>-4.1353592499552345</v>
      </c>
      <c r="I21" s="47">
        <f t="shared" si="5"/>
        <v>0.22535924995523438</v>
      </c>
      <c r="J21" s="101">
        <f t="shared" si="7"/>
        <v>84.784010315925229</v>
      </c>
      <c r="P21" s="10"/>
      <c r="Q21" s="9"/>
      <c r="R21" s="9"/>
    </row>
    <row r="22" spans="1:18" x14ac:dyDescent="0.35">
      <c r="B22" s="6"/>
      <c r="D22" s="48"/>
      <c r="E22" s="22"/>
      <c r="F22" s="49"/>
      <c r="G22" s="49"/>
      <c r="H22" s="47"/>
      <c r="I22" s="47"/>
      <c r="P22" s="10"/>
      <c r="Q22" s="9"/>
      <c r="R22" s="9"/>
    </row>
    <row r="23" spans="1:18" x14ac:dyDescent="0.35">
      <c r="B23" s="6"/>
      <c r="D23" s="48"/>
      <c r="E23" s="22"/>
      <c r="F23" s="49"/>
      <c r="G23" s="49"/>
      <c r="H23" s="47"/>
      <c r="I23" s="47"/>
      <c r="P23" s="10"/>
      <c r="Q23" s="9"/>
      <c r="R23" s="9"/>
    </row>
    <row r="24" spans="1:18" ht="15" x14ac:dyDescent="0.4">
      <c r="A24" s="13" t="s">
        <v>4</v>
      </c>
      <c r="B24" s="13"/>
      <c r="C24" s="23"/>
      <c r="D24" s="14"/>
      <c r="G24" s="34" t="s">
        <v>14</v>
      </c>
      <c r="Q24" s="9"/>
      <c r="R24" s="9"/>
    </row>
    <row r="25" spans="1:18" x14ac:dyDescent="0.35">
      <c r="A25" s="3" t="s">
        <v>26</v>
      </c>
      <c r="B25" s="27">
        <f>STDEV(D11:D17)/STDEV(A11:A17)</f>
        <v>6.7891092364894948E-2</v>
      </c>
      <c r="C25" s="5" t="s">
        <v>24</v>
      </c>
      <c r="D25" s="28">
        <f>COUNT(D11:D17)</f>
        <v>7</v>
      </c>
      <c r="G25" s="35" t="s">
        <v>26</v>
      </c>
      <c r="H25" s="30">
        <f>-STDEV(B17:B22)/STDEV(G17:G22)</f>
        <v>-9.5614664369753685E-3</v>
      </c>
      <c r="I25" s="5" t="s">
        <v>24</v>
      </c>
      <c r="J25" s="28">
        <f>COUNT(B17:B22)</f>
        <v>5</v>
      </c>
      <c r="Q25" s="9"/>
      <c r="R25" s="9"/>
    </row>
    <row r="26" spans="1:18" ht="15.5" x14ac:dyDescent="0.35">
      <c r="A26" s="3" t="s">
        <v>3</v>
      </c>
      <c r="B26" s="24">
        <f>AVERAGE(D11:D17)-B25*AVERAGE(A11:A17)</f>
        <v>1.907785999062473</v>
      </c>
      <c r="C26" s="26" t="s">
        <v>7</v>
      </c>
      <c r="G26" s="35" t="s">
        <v>3</v>
      </c>
      <c r="H26" s="31">
        <f>AVERAGE(B17:B22)-H25*AVERAGE(G17:G22)</f>
        <v>0.53891020978647974</v>
      </c>
      <c r="I26" s="25"/>
      <c r="Q26" s="9"/>
      <c r="R26" s="9"/>
    </row>
    <row r="27" spans="1:18" x14ac:dyDescent="0.35">
      <c r="Q27" s="9"/>
      <c r="R27" s="9"/>
    </row>
    <row r="28" spans="1:18" x14ac:dyDescent="0.35">
      <c r="Q28" s="9"/>
      <c r="R28" s="9"/>
    </row>
    <row r="29" spans="1:18" x14ac:dyDescent="0.35">
      <c r="Q29" s="9"/>
      <c r="R29" s="9"/>
    </row>
    <row r="34" spans="17:18" x14ac:dyDescent="0.35">
      <c r="Q34" s="15"/>
      <c r="R34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20F6-5665-4EE6-9EA9-5CA829D538C2}">
  <dimension ref="A1:T39"/>
  <sheetViews>
    <sheetView zoomScale="60" zoomScaleNormal="60" zoomScaleSheetLayoutView="50" workbookViewId="0">
      <selection activeCell="N52" sqref="N52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8.54296875" customWidth="1"/>
    <col min="11" max="11" width="8.6328125" customWidth="1"/>
    <col min="12" max="12" width="7.7265625" customWidth="1"/>
    <col min="13" max="13" width="21.7265625" customWidth="1"/>
    <col min="14" max="14" width="7.4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44845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>
        <v>76.694999999999993</v>
      </c>
      <c r="J3" s="116"/>
    </row>
    <row r="4" spans="1:20" x14ac:dyDescent="0.35">
      <c r="A4" s="3" t="s">
        <v>22</v>
      </c>
      <c r="B4" s="102">
        <v>1.6080000000000001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B39/B4</f>
        <v>1.5197175461143511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-1/G39</f>
        <v>-1.910964677468957</v>
      </c>
      <c r="O8" t="s">
        <v>12</v>
      </c>
    </row>
    <row r="9" spans="1:20" ht="15" x14ac:dyDescent="0.4">
      <c r="A9" s="94">
        <v>-0.08</v>
      </c>
      <c r="B9" s="95">
        <f t="shared" ref="B9:B35" si="0">-1/A9</f>
        <v>12.5</v>
      </c>
      <c r="C9" s="99">
        <v>4.1310000000000002</v>
      </c>
      <c r="D9" s="96">
        <f>C9-$B$3-$B$4</f>
        <v>2.5230000000000001</v>
      </c>
      <c r="E9" s="95">
        <f t="shared" ref="E9:E35" si="1">(D9/$B$39)</f>
        <v>1.0324483353883755</v>
      </c>
      <c r="F9" s="97">
        <f t="shared" ref="F9:F35" si="2">100*E9</f>
        <v>103.24483353883755</v>
      </c>
      <c r="G9" s="97">
        <f t="shared" ref="G9:G35" si="3">100-F9</f>
        <v>-3.244833538837554</v>
      </c>
      <c r="H9" s="94">
        <f t="shared" ref="H9:H35" si="4">-1/($G$39+$G$38*G9)</f>
        <v>-1.8202051437970606</v>
      </c>
      <c r="I9" s="94">
        <f t="shared" ref="I9:I35" si="5">A9-H9</f>
        <v>1.7402051437970605</v>
      </c>
      <c r="J9" s="106">
        <f>D9/$B$4*100</f>
        <v>156.90298507462686</v>
      </c>
      <c r="M9" s="53" t="s">
        <v>23</v>
      </c>
      <c r="N9" s="40">
        <f>H31</f>
        <v>-2.2652301679363611</v>
      </c>
      <c r="O9" t="s">
        <v>5</v>
      </c>
    </row>
    <row r="10" spans="1:20" ht="15.5" thickBot="1" x14ac:dyDescent="0.45">
      <c r="A10" s="94">
        <v>-0.08</v>
      </c>
      <c r="B10" s="95">
        <f t="shared" si="0"/>
        <v>12.5</v>
      </c>
      <c r="C10" s="99">
        <v>4.12</v>
      </c>
      <c r="D10" s="96">
        <f t="shared" ref="D10:D35" si="6">C10-$B$3-$B$4</f>
        <v>2.512</v>
      </c>
      <c r="E10" s="95">
        <f t="shared" si="1"/>
        <v>1.0279469752261592</v>
      </c>
      <c r="F10" s="97">
        <f t="shared" si="2"/>
        <v>102.79469752261592</v>
      </c>
      <c r="G10" s="97">
        <f t="shared" si="3"/>
        <v>-2.7946975226159196</v>
      </c>
      <c r="H10" s="94">
        <f t="shared" si="4"/>
        <v>-1.8322772242264991</v>
      </c>
      <c r="I10" s="94">
        <f t="shared" si="5"/>
        <v>1.752277224226499</v>
      </c>
      <c r="J10" s="106">
        <f t="shared" ref="J10:J35" si="7">D10/$B$4*100</f>
        <v>156.21890547263681</v>
      </c>
      <c r="M10" s="54" t="s">
        <v>31</v>
      </c>
      <c r="N10" s="41">
        <f>F31</f>
        <v>89.822595964228469</v>
      </c>
      <c r="O10" t="s">
        <v>6</v>
      </c>
    </row>
    <row r="11" spans="1:20" ht="16.5" customHeight="1" thickBot="1" x14ac:dyDescent="0.45">
      <c r="A11" s="94">
        <v>-0.13</v>
      </c>
      <c r="B11" s="95">
        <f t="shared" si="0"/>
        <v>7.6923076923076916</v>
      </c>
      <c r="C11" s="99">
        <v>4.1139999999999999</v>
      </c>
      <c r="D11" s="96">
        <f t="shared" si="6"/>
        <v>2.5059999999999998</v>
      </c>
      <c r="E11" s="95">
        <f t="shared" si="1"/>
        <v>1.02549168786495</v>
      </c>
      <c r="F11" s="97">
        <f t="shared" si="2"/>
        <v>102.549168786495</v>
      </c>
      <c r="G11" s="97">
        <f t="shared" si="3"/>
        <v>-2.5491687864950023</v>
      </c>
      <c r="H11" s="94">
        <f t="shared" si="4"/>
        <v>-1.8389297334145243</v>
      </c>
      <c r="I11" s="94">
        <f t="shared" si="5"/>
        <v>1.7089297334145241</v>
      </c>
      <c r="J11" s="106">
        <f t="shared" si="7"/>
        <v>155.84577114427859</v>
      </c>
      <c r="M11" s="55" t="s">
        <v>1</v>
      </c>
      <c r="N11" s="42">
        <f>STDEV(I21:I31)/STDEV(E21:E31)</f>
        <v>19.838422056751018</v>
      </c>
      <c r="O11" t="s">
        <v>8</v>
      </c>
    </row>
    <row r="12" spans="1:20" ht="16" x14ac:dyDescent="0.4">
      <c r="A12" s="94">
        <v>-0.09</v>
      </c>
      <c r="B12" s="95">
        <f t="shared" si="0"/>
        <v>11.111111111111111</v>
      </c>
      <c r="C12" s="95">
        <v>4.1059999999999999</v>
      </c>
      <c r="D12" s="96">
        <f t="shared" si="6"/>
        <v>2.4979999999999998</v>
      </c>
      <c r="E12" s="95">
        <f t="shared" si="1"/>
        <v>1.0222179713833381</v>
      </c>
      <c r="F12" s="97">
        <f t="shared" si="2"/>
        <v>102.22179713833381</v>
      </c>
      <c r="G12" s="97">
        <f t="shared" si="3"/>
        <v>-2.2217971383338124</v>
      </c>
      <c r="H12" s="94">
        <f t="shared" si="4"/>
        <v>-1.8478752553782594</v>
      </c>
      <c r="I12" s="94">
        <f t="shared" si="5"/>
        <v>1.7578752553782593</v>
      </c>
      <c r="J12" s="106">
        <f t="shared" si="7"/>
        <v>155.34825870646765</v>
      </c>
      <c r="M12" s="53" t="s">
        <v>33</v>
      </c>
      <c r="N12" s="43">
        <f>STDEV(E21:E31)/STDEV(A21:A31)</f>
        <v>4.28578202985078E-2</v>
      </c>
      <c r="O12" t="s">
        <v>9</v>
      </c>
    </row>
    <row r="13" spans="1:20" ht="16.5" thickBot="1" x14ac:dyDescent="0.45">
      <c r="A13" s="94">
        <v>-0.13500000000000001</v>
      </c>
      <c r="B13" s="95">
        <f t="shared" si="0"/>
        <v>7.4074074074074066</v>
      </c>
      <c r="C13" s="99">
        <v>4.0960000000000001</v>
      </c>
      <c r="D13" s="96">
        <f t="shared" si="6"/>
        <v>2.488</v>
      </c>
      <c r="E13" s="95">
        <f t="shared" si="1"/>
        <v>1.0181258257813233</v>
      </c>
      <c r="F13" s="97">
        <f t="shared" si="2"/>
        <v>101.81258257813232</v>
      </c>
      <c r="G13" s="97">
        <f t="shared" si="3"/>
        <v>-1.8125825781323215</v>
      </c>
      <c r="H13" s="94">
        <f t="shared" si="4"/>
        <v>-1.8591802945658504</v>
      </c>
      <c r="I13" s="94">
        <f t="shared" si="5"/>
        <v>1.7241802945658504</v>
      </c>
      <c r="J13" s="106">
        <f t="shared" si="7"/>
        <v>154.72636815920399</v>
      </c>
      <c r="M13" s="54" t="s">
        <v>0</v>
      </c>
      <c r="N13" s="41">
        <f>STDEV(E31:E35)/STDEV(A31:A35)</f>
        <v>0.18301344354152446</v>
      </c>
      <c r="O13" t="s">
        <v>10</v>
      </c>
    </row>
    <row r="14" spans="1:20" ht="16" x14ac:dyDescent="0.4">
      <c r="A14" s="94">
        <v>-0.15</v>
      </c>
      <c r="B14" s="95">
        <f t="shared" si="0"/>
        <v>6.666666666666667</v>
      </c>
      <c r="C14" s="99">
        <v>4.085</v>
      </c>
      <c r="D14" s="96">
        <f t="shared" si="6"/>
        <v>2.4769999999999999</v>
      </c>
      <c r="E14" s="95">
        <f t="shared" si="1"/>
        <v>1.0136244656191067</v>
      </c>
      <c r="F14" s="97">
        <f t="shared" si="2"/>
        <v>101.36244656191067</v>
      </c>
      <c r="G14" s="97">
        <f t="shared" si="3"/>
        <v>-1.3624465619106729</v>
      </c>
      <c r="H14" s="94">
        <f t="shared" si="4"/>
        <v>-1.8717766857962299</v>
      </c>
      <c r="I14" s="94">
        <f t="shared" si="5"/>
        <v>1.72177668579623</v>
      </c>
      <c r="J14" s="106">
        <f t="shared" si="7"/>
        <v>154.04228855721391</v>
      </c>
      <c r="M14" s="56" t="s">
        <v>16</v>
      </c>
      <c r="N14" s="44">
        <f>N12*B39/18/(E3/10000)</f>
        <v>0.7586464759062943</v>
      </c>
    </row>
    <row r="15" spans="1:20" x14ac:dyDescent="0.35">
      <c r="A15" s="94">
        <v>-0.19</v>
      </c>
      <c r="B15" s="95">
        <f t="shared" si="0"/>
        <v>5.2631578947368425</v>
      </c>
      <c r="C15" s="99">
        <v>4.0720000000000001</v>
      </c>
      <c r="D15" s="96">
        <f t="shared" si="6"/>
        <v>2.464</v>
      </c>
      <c r="E15" s="95">
        <f t="shared" si="1"/>
        <v>1.0083046763364871</v>
      </c>
      <c r="F15" s="97">
        <f t="shared" si="2"/>
        <v>100.83046763364871</v>
      </c>
      <c r="G15" s="97">
        <f t="shared" si="3"/>
        <v>-0.83046763364870912</v>
      </c>
      <c r="H15" s="94">
        <f t="shared" si="4"/>
        <v>-1.886885165675559</v>
      </c>
      <c r="I15" s="94">
        <f t="shared" si="5"/>
        <v>1.696885165675559</v>
      </c>
      <c r="J15" s="106">
        <f t="shared" si="7"/>
        <v>153.23383084577114</v>
      </c>
    </row>
    <row r="16" spans="1:20" x14ac:dyDescent="0.35">
      <c r="A16" s="94">
        <v>-0.22</v>
      </c>
      <c r="B16" s="95">
        <f t="shared" si="0"/>
        <v>4.5454545454545459</v>
      </c>
      <c r="C16" s="94">
        <v>4.0640000000000001</v>
      </c>
      <c r="D16" s="96">
        <f t="shared" si="6"/>
        <v>2.456</v>
      </c>
      <c r="E16" s="95">
        <f t="shared" si="1"/>
        <v>1.0050309598548752</v>
      </c>
      <c r="F16" s="97">
        <f t="shared" si="2"/>
        <v>100.50309598548752</v>
      </c>
      <c r="G16" s="97">
        <f t="shared" si="3"/>
        <v>-0.50309598548751921</v>
      </c>
      <c r="H16" s="94">
        <f t="shared" si="4"/>
        <v>-1.8963045269315113</v>
      </c>
      <c r="I16" s="94">
        <f t="shared" si="5"/>
        <v>1.6763045269315113</v>
      </c>
      <c r="J16" s="106">
        <f t="shared" si="7"/>
        <v>152.73631840796017</v>
      </c>
      <c r="Q16" s="3"/>
      <c r="R16" s="3"/>
      <c r="S16" s="3"/>
      <c r="T16" s="3"/>
    </row>
    <row r="17" spans="1:18" x14ac:dyDescent="0.35">
      <c r="A17" s="94">
        <v>-0.23</v>
      </c>
      <c r="B17" s="95">
        <f t="shared" si="0"/>
        <v>4.3478260869565215</v>
      </c>
      <c r="C17" s="99">
        <v>4.0549999999999997</v>
      </c>
      <c r="D17" s="96">
        <f t="shared" si="6"/>
        <v>2.4469999999999996</v>
      </c>
      <c r="E17" s="95">
        <f t="shared" si="1"/>
        <v>1.0013480288130616</v>
      </c>
      <c r="F17" s="97">
        <f t="shared" si="2"/>
        <v>100.13480288130616</v>
      </c>
      <c r="G17" s="97">
        <f t="shared" si="3"/>
        <v>-0.13480288130615747</v>
      </c>
      <c r="H17" s="94">
        <f t="shared" si="4"/>
        <v>-1.9070143542335509</v>
      </c>
      <c r="I17" s="94">
        <f t="shared" si="5"/>
        <v>1.6770143542335509</v>
      </c>
      <c r="J17" s="106">
        <f t="shared" si="7"/>
        <v>152.17661691542287</v>
      </c>
    </row>
    <row r="18" spans="1:18" x14ac:dyDescent="0.35">
      <c r="A18" s="94">
        <v>-0.25</v>
      </c>
      <c r="B18" s="95">
        <f t="shared" si="0"/>
        <v>4</v>
      </c>
      <c r="C18" s="99">
        <v>4.0460000000000003</v>
      </c>
      <c r="D18" s="96">
        <f t="shared" si="6"/>
        <v>2.4380000000000002</v>
      </c>
      <c r="E18" s="95">
        <f t="shared" si="1"/>
        <v>0.99766509777124845</v>
      </c>
      <c r="F18" s="97">
        <f t="shared" si="2"/>
        <v>99.766509777124838</v>
      </c>
      <c r="G18" s="97">
        <f t="shared" si="3"/>
        <v>0.23349022287516163</v>
      </c>
      <c r="H18" s="94">
        <f t="shared" si="4"/>
        <v>-1.9178458411911474</v>
      </c>
      <c r="I18" s="94">
        <f t="shared" si="5"/>
        <v>1.6678458411911474</v>
      </c>
      <c r="J18" s="106">
        <f t="shared" si="7"/>
        <v>151.61691542288557</v>
      </c>
    </row>
    <row r="19" spans="1:18" x14ac:dyDescent="0.35">
      <c r="A19" s="94">
        <v>-0.23899999999999999</v>
      </c>
      <c r="B19" s="95">
        <f t="shared" si="0"/>
        <v>4.1841004184100417</v>
      </c>
      <c r="C19" s="99">
        <v>4.0380000000000003</v>
      </c>
      <c r="D19" s="96">
        <f t="shared" si="6"/>
        <v>2.4300000000000002</v>
      </c>
      <c r="E19" s="95">
        <f t="shared" si="1"/>
        <v>0.99439138128963644</v>
      </c>
      <c r="F19" s="97">
        <f t="shared" si="2"/>
        <v>99.439138128963648</v>
      </c>
      <c r="G19" s="97">
        <f t="shared" si="3"/>
        <v>0.56086187103635154</v>
      </c>
      <c r="H19" s="94">
        <f t="shared" si="4"/>
        <v>-1.9275776479846898</v>
      </c>
      <c r="I19" s="94">
        <f t="shared" si="5"/>
        <v>1.6885776479846899</v>
      </c>
      <c r="J19" s="106">
        <f t="shared" si="7"/>
        <v>151.11940298507463</v>
      </c>
    </row>
    <row r="20" spans="1:18" x14ac:dyDescent="0.35">
      <c r="A20" s="94">
        <v>-0.28000000000000003</v>
      </c>
      <c r="B20" s="95">
        <f t="shared" si="0"/>
        <v>3.5714285714285712</v>
      </c>
      <c r="C20" s="99">
        <v>4.03</v>
      </c>
      <c r="D20" s="96">
        <f t="shared" si="6"/>
        <v>2.4220000000000002</v>
      </c>
      <c r="E20" s="95">
        <f t="shared" si="1"/>
        <v>0.99111766480802443</v>
      </c>
      <c r="F20" s="97">
        <f t="shared" si="2"/>
        <v>99.111766480802444</v>
      </c>
      <c r="G20" s="97">
        <f t="shared" si="3"/>
        <v>0.88823351919755567</v>
      </c>
      <c r="H20" s="94">
        <f t="shared" si="4"/>
        <v>-1.9374087235449406</v>
      </c>
      <c r="I20" s="94">
        <f t="shared" si="5"/>
        <v>1.6574087235449406</v>
      </c>
      <c r="J20" s="106">
        <f t="shared" si="7"/>
        <v>150.62189054726369</v>
      </c>
      <c r="Q20" s="9"/>
      <c r="R20" s="9"/>
    </row>
    <row r="21" spans="1:18" x14ac:dyDescent="0.35">
      <c r="A21" s="50">
        <v>-0.28999999999999998</v>
      </c>
      <c r="B21" s="52">
        <f t="shared" si="0"/>
        <v>3.4482758620689657</v>
      </c>
      <c r="C21" s="51">
        <v>4.0199999999999996</v>
      </c>
      <c r="D21" s="62">
        <f t="shared" si="6"/>
        <v>2.4119999999999995</v>
      </c>
      <c r="E21" s="52">
        <f t="shared" si="1"/>
        <v>0.98702551920600923</v>
      </c>
      <c r="F21" s="63">
        <f t="shared" si="2"/>
        <v>98.702551920600925</v>
      </c>
      <c r="G21" s="63">
        <f t="shared" si="3"/>
        <v>1.297448079399075</v>
      </c>
      <c r="H21" s="50">
        <f t="shared" si="4"/>
        <v>-1.9498394934614103</v>
      </c>
      <c r="I21" s="50">
        <f t="shared" si="5"/>
        <v>1.6598394934614102</v>
      </c>
      <c r="J21" s="108">
        <f t="shared" si="7"/>
        <v>149.99999999999994</v>
      </c>
      <c r="Q21" s="9"/>
      <c r="R21" s="9"/>
    </row>
    <row r="22" spans="1:18" x14ac:dyDescent="0.35">
      <c r="A22" s="50">
        <v>-0.37</v>
      </c>
      <c r="B22" s="121">
        <f t="shared" si="0"/>
        <v>2.7027027027027026</v>
      </c>
      <c r="C22" s="51">
        <v>4.0069999999999997</v>
      </c>
      <c r="D22" s="122">
        <f t="shared" si="6"/>
        <v>2.3989999999999996</v>
      </c>
      <c r="E22" s="121">
        <f t="shared" si="1"/>
        <v>0.98170572992338978</v>
      </c>
      <c r="F22" s="63">
        <f t="shared" si="2"/>
        <v>98.170572992338975</v>
      </c>
      <c r="G22" s="63">
        <f t="shared" si="3"/>
        <v>1.8294270076610246</v>
      </c>
      <c r="H22" s="50">
        <f t="shared" si="4"/>
        <v>-1.9662399769495253</v>
      </c>
      <c r="I22" s="50">
        <f t="shared" si="5"/>
        <v>1.5962399769495255</v>
      </c>
      <c r="J22" s="108">
        <f t="shared" si="7"/>
        <v>149.19154228855717</v>
      </c>
      <c r="Q22" s="9"/>
      <c r="R22" s="9"/>
    </row>
    <row r="23" spans="1:18" x14ac:dyDescent="0.35">
      <c r="A23" s="50">
        <v>-0.53</v>
      </c>
      <c r="B23" s="121">
        <f t="shared" si="0"/>
        <v>1.8867924528301885</v>
      </c>
      <c r="C23" s="51">
        <v>3.9929999999999999</v>
      </c>
      <c r="D23" s="122">
        <f t="shared" si="6"/>
        <v>2.3849999999999998</v>
      </c>
      <c r="E23" s="121">
        <f t="shared" si="1"/>
        <v>0.97597672608056896</v>
      </c>
      <c r="F23" s="63">
        <f t="shared" si="2"/>
        <v>97.597672608056897</v>
      </c>
      <c r="G23" s="63">
        <f t="shared" si="3"/>
        <v>2.4023273919431034</v>
      </c>
      <c r="H23" s="50">
        <f t="shared" si="4"/>
        <v>-1.9842134022372437</v>
      </c>
      <c r="I23" s="50">
        <f t="shared" si="5"/>
        <v>1.4542134022372437</v>
      </c>
      <c r="J23" s="108">
        <f t="shared" si="7"/>
        <v>148.32089552238804</v>
      </c>
      <c r="Q23" s="9"/>
      <c r="R23" s="9"/>
    </row>
    <row r="24" spans="1:18" x14ac:dyDescent="0.35">
      <c r="A24" s="50">
        <v>-0.69</v>
      </c>
      <c r="B24" s="6">
        <f t="shared" si="0"/>
        <v>1.4492753623188408</v>
      </c>
      <c r="C24" s="51">
        <v>3.98</v>
      </c>
      <c r="D24" s="7">
        <f t="shared" si="6"/>
        <v>2.3719999999999999</v>
      </c>
      <c r="E24" s="6">
        <f t="shared" si="1"/>
        <v>0.97065693679794951</v>
      </c>
      <c r="F24" s="49">
        <f t="shared" si="2"/>
        <v>97.065693679794947</v>
      </c>
      <c r="G24" s="49">
        <f t="shared" si="3"/>
        <v>2.934306320205053</v>
      </c>
      <c r="H24" s="47">
        <f t="shared" si="4"/>
        <v>-2.0011997529322723</v>
      </c>
      <c r="I24" s="47">
        <f t="shared" si="5"/>
        <v>1.3111997529322723</v>
      </c>
      <c r="J24" s="108">
        <f t="shared" si="7"/>
        <v>147.51243781094524</v>
      </c>
      <c r="Q24" s="9"/>
      <c r="R24" s="9"/>
    </row>
    <row r="25" spans="1:18" x14ac:dyDescent="0.35">
      <c r="A25" s="50">
        <v>-0.75</v>
      </c>
      <c r="B25" s="6">
        <f t="shared" si="0"/>
        <v>1.3333333333333333</v>
      </c>
      <c r="C25" s="51">
        <v>3.9689999999999999</v>
      </c>
      <c r="D25" s="7">
        <f t="shared" si="6"/>
        <v>2.3609999999999998</v>
      </c>
      <c r="E25" s="6">
        <f t="shared" si="1"/>
        <v>0.96615557663573304</v>
      </c>
      <c r="F25" s="49">
        <f t="shared" si="2"/>
        <v>96.615557663573298</v>
      </c>
      <c r="G25" s="49">
        <f t="shared" si="3"/>
        <v>3.3844423364267016</v>
      </c>
      <c r="H25" s="47">
        <f t="shared" si="4"/>
        <v>-2.015801634893946</v>
      </c>
      <c r="I25" s="47">
        <f t="shared" si="5"/>
        <v>1.265801634893946</v>
      </c>
      <c r="J25" s="108">
        <f t="shared" si="7"/>
        <v>146.82835820895519</v>
      </c>
      <c r="Q25" s="9"/>
      <c r="R25" s="9"/>
    </row>
    <row r="26" spans="1:18" x14ac:dyDescent="0.35">
      <c r="A26" s="50">
        <v>-0.96</v>
      </c>
      <c r="B26" s="52">
        <f t="shared" si="0"/>
        <v>1.0416666666666667</v>
      </c>
      <c r="C26" s="51">
        <v>3.9540000000000002</v>
      </c>
      <c r="D26" s="62">
        <f t="shared" si="6"/>
        <v>2.3460000000000001</v>
      </c>
      <c r="E26" s="52">
        <f t="shared" si="1"/>
        <v>0.96001735823271073</v>
      </c>
      <c r="F26" s="63">
        <f t="shared" si="2"/>
        <v>96.001735823271076</v>
      </c>
      <c r="G26" s="63">
        <f t="shared" si="3"/>
        <v>3.9982641767289238</v>
      </c>
      <c r="H26" s="50">
        <f t="shared" si="4"/>
        <v>-2.0360601481638394</v>
      </c>
      <c r="I26" s="50">
        <f t="shared" si="5"/>
        <v>1.0760601481638394</v>
      </c>
      <c r="J26" s="108">
        <f t="shared" si="7"/>
        <v>145.8955223880597</v>
      </c>
      <c r="Q26" s="9"/>
      <c r="R26" s="9"/>
    </row>
    <row r="27" spans="1:18" x14ac:dyDescent="0.35">
      <c r="A27" s="50">
        <v>-1.28</v>
      </c>
      <c r="B27" s="52">
        <f t="shared" si="0"/>
        <v>0.78125</v>
      </c>
      <c r="C27" s="51">
        <v>3.9239999999999999</v>
      </c>
      <c r="D27" s="62">
        <f t="shared" si="6"/>
        <v>2.3159999999999998</v>
      </c>
      <c r="E27" s="52">
        <f t="shared" si="1"/>
        <v>0.94774092142666566</v>
      </c>
      <c r="F27" s="63">
        <f t="shared" si="2"/>
        <v>94.774092142666561</v>
      </c>
      <c r="G27" s="63">
        <f t="shared" si="3"/>
        <v>5.2259078573334392</v>
      </c>
      <c r="H27" s="50">
        <f t="shared" si="4"/>
        <v>-2.0778238022270865</v>
      </c>
      <c r="I27" s="50">
        <f t="shared" si="5"/>
        <v>0.79782380222708649</v>
      </c>
      <c r="J27" s="108">
        <f t="shared" si="7"/>
        <v>144.02985074626864</v>
      </c>
      <c r="Q27" s="9"/>
      <c r="R27" s="9"/>
    </row>
    <row r="28" spans="1:18" x14ac:dyDescent="0.35">
      <c r="A28" s="50">
        <v>-1.55</v>
      </c>
      <c r="B28" s="52">
        <f t="shared" si="0"/>
        <v>0.64516129032258063</v>
      </c>
      <c r="C28" s="51">
        <v>3.899</v>
      </c>
      <c r="D28" s="62">
        <f t="shared" si="6"/>
        <v>2.2909999999999999</v>
      </c>
      <c r="E28" s="52">
        <f t="shared" si="1"/>
        <v>0.93751055742162837</v>
      </c>
      <c r="F28" s="63">
        <f t="shared" si="2"/>
        <v>93.751055742162833</v>
      </c>
      <c r="G28" s="63">
        <f t="shared" si="3"/>
        <v>6.2489442578371666</v>
      </c>
      <c r="H28" s="50">
        <f t="shared" si="4"/>
        <v>-2.1139583874775636</v>
      </c>
      <c r="I28" s="50">
        <f t="shared" si="5"/>
        <v>0.56395838747756355</v>
      </c>
      <c r="J28" s="108">
        <f t="shared" si="7"/>
        <v>142.47512437810943</v>
      </c>
      <c r="Q28" s="9"/>
      <c r="R28" s="9"/>
    </row>
    <row r="29" spans="1:18" x14ac:dyDescent="0.35">
      <c r="A29" s="50">
        <v>-1.89</v>
      </c>
      <c r="B29" s="52">
        <f t="shared" si="0"/>
        <v>0.52910052910052918</v>
      </c>
      <c r="C29" s="51">
        <v>3.87</v>
      </c>
      <c r="D29" s="62">
        <f t="shared" si="6"/>
        <v>2.262</v>
      </c>
      <c r="E29" s="52">
        <f t="shared" si="1"/>
        <v>0.92564333517578501</v>
      </c>
      <c r="F29" s="63">
        <f t="shared" si="2"/>
        <v>92.564333517578504</v>
      </c>
      <c r="G29" s="63">
        <f t="shared" si="3"/>
        <v>7.435666482421496</v>
      </c>
      <c r="H29" s="50">
        <f t="shared" si="4"/>
        <v>-2.1574814469092054</v>
      </c>
      <c r="I29" s="50">
        <f t="shared" si="5"/>
        <v>0.2674814469092055</v>
      </c>
      <c r="J29" s="108">
        <f t="shared" si="7"/>
        <v>140.67164179104478</v>
      </c>
      <c r="Q29" s="9"/>
      <c r="R29" s="9"/>
    </row>
    <row r="30" spans="1:18" ht="15" thickBot="1" x14ac:dyDescent="0.4">
      <c r="A30" s="50">
        <v>-2.09</v>
      </c>
      <c r="B30" s="52">
        <f t="shared" si="0"/>
        <v>0.47846889952153115</v>
      </c>
      <c r="C30" s="51">
        <v>3.827</v>
      </c>
      <c r="D30" s="62">
        <f t="shared" si="6"/>
        <v>2.2189999999999999</v>
      </c>
      <c r="E30" s="52">
        <f t="shared" si="1"/>
        <v>0.90804710908712061</v>
      </c>
      <c r="F30" s="63">
        <f t="shared" si="2"/>
        <v>90.804710908712067</v>
      </c>
      <c r="G30" s="63">
        <f t="shared" si="3"/>
        <v>9.1952890912879326</v>
      </c>
      <c r="H30" s="50">
        <f t="shared" si="4"/>
        <v>-2.2254182465644141</v>
      </c>
      <c r="I30" s="50">
        <f t="shared" si="5"/>
        <v>0.13541824656441426</v>
      </c>
      <c r="J30" s="108">
        <f t="shared" si="7"/>
        <v>137.99751243781094</v>
      </c>
    </row>
    <row r="31" spans="1:18" ht="15" thickBot="1" x14ac:dyDescent="0.4">
      <c r="A31" s="64">
        <v>-2.23</v>
      </c>
      <c r="B31" s="117">
        <f t="shared" si="0"/>
        <v>0.44843049327354262</v>
      </c>
      <c r="C31" s="65">
        <v>3.8029999999999999</v>
      </c>
      <c r="D31" s="118">
        <f t="shared" si="6"/>
        <v>2.1949999999999998</v>
      </c>
      <c r="E31" s="117">
        <f t="shared" si="1"/>
        <v>0.89822595964228469</v>
      </c>
      <c r="F31" s="119">
        <f t="shared" si="2"/>
        <v>89.822595964228469</v>
      </c>
      <c r="G31" s="119">
        <f t="shared" si="3"/>
        <v>10.177404035771531</v>
      </c>
      <c r="H31" s="120">
        <f t="shared" si="4"/>
        <v>-2.2652301679363611</v>
      </c>
      <c r="I31" s="120">
        <f t="shared" si="5"/>
        <v>3.5230167936361134E-2</v>
      </c>
      <c r="J31" s="115">
        <f t="shared" si="7"/>
        <v>136.50497512437809</v>
      </c>
    </row>
    <row r="32" spans="1:18" x14ac:dyDescent="0.35">
      <c r="A32" s="50">
        <v>-2.33</v>
      </c>
      <c r="B32" s="52">
        <f t="shared" si="0"/>
        <v>0.42918454935622319</v>
      </c>
      <c r="C32" s="51">
        <v>3.7690000000000001</v>
      </c>
      <c r="D32" s="62">
        <f t="shared" si="6"/>
        <v>2.161</v>
      </c>
      <c r="E32" s="52">
        <f t="shared" si="1"/>
        <v>0.88431266459543389</v>
      </c>
      <c r="F32" s="63">
        <f t="shared" si="2"/>
        <v>88.431266459543394</v>
      </c>
      <c r="G32" s="63">
        <f t="shared" si="3"/>
        <v>11.568733540456606</v>
      </c>
      <c r="H32" s="50">
        <f t="shared" si="4"/>
        <v>-2.3241321608081176</v>
      </c>
      <c r="I32" s="50">
        <f t="shared" si="5"/>
        <v>-5.8678391918824957E-3</v>
      </c>
      <c r="J32" s="108">
        <f t="shared" si="7"/>
        <v>134.39054726368158</v>
      </c>
    </row>
    <row r="33" spans="1:18" x14ac:dyDescent="0.35">
      <c r="A33" s="50">
        <v>-2.52</v>
      </c>
      <c r="B33" s="52">
        <f t="shared" si="0"/>
        <v>0.3968253968253968</v>
      </c>
      <c r="C33" s="51">
        <v>3.6949999999999998</v>
      </c>
      <c r="D33" s="62">
        <f t="shared" si="6"/>
        <v>2.0869999999999997</v>
      </c>
      <c r="E33" s="52">
        <f t="shared" si="1"/>
        <v>0.85403078714052294</v>
      </c>
      <c r="F33" s="63">
        <f t="shared" si="2"/>
        <v>85.403078714052299</v>
      </c>
      <c r="G33" s="63">
        <f t="shared" si="3"/>
        <v>14.596921285947701</v>
      </c>
      <c r="H33" s="50">
        <f t="shared" si="4"/>
        <v>-2.4635545898762801</v>
      </c>
      <c r="I33" s="50">
        <f t="shared" si="5"/>
        <v>-5.6445410123719952E-2</v>
      </c>
      <c r="J33" s="108">
        <f t="shared" si="7"/>
        <v>129.78855721393032</v>
      </c>
    </row>
    <row r="34" spans="1:18" x14ac:dyDescent="0.35">
      <c r="A34" s="50">
        <v>-2.81</v>
      </c>
      <c r="B34" s="52">
        <f t="shared" si="0"/>
        <v>0.35587188612099646</v>
      </c>
      <c r="C34" s="51">
        <v>3.5459999999999998</v>
      </c>
      <c r="D34" s="62">
        <f t="shared" si="6"/>
        <v>1.9379999999999997</v>
      </c>
      <c r="E34" s="52">
        <f t="shared" si="1"/>
        <v>0.79305781767049999</v>
      </c>
      <c r="F34" s="63">
        <f t="shared" si="2"/>
        <v>79.305781767049993</v>
      </c>
      <c r="G34" s="63">
        <f t="shared" si="3"/>
        <v>20.694218232950007</v>
      </c>
      <c r="H34" s="50">
        <f t="shared" si="4"/>
        <v>-2.8020052077765492</v>
      </c>
      <c r="I34" s="50">
        <f t="shared" si="5"/>
        <v>-7.9947922234508972E-3</v>
      </c>
      <c r="J34" s="108">
        <f t="shared" si="7"/>
        <v>120.52238805970146</v>
      </c>
      <c r="Q34" s="15"/>
      <c r="R34" s="15"/>
    </row>
    <row r="35" spans="1:18" x14ac:dyDescent="0.35">
      <c r="A35" s="50">
        <v>-3.05</v>
      </c>
      <c r="B35" s="52">
        <f t="shared" si="0"/>
        <v>0.32786885245901642</v>
      </c>
      <c r="C35" s="51">
        <v>3.4449999999999998</v>
      </c>
      <c r="D35" s="62">
        <f t="shared" si="6"/>
        <v>1.8369999999999997</v>
      </c>
      <c r="E35" s="52">
        <f t="shared" si="1"/>
        <v>0.75172714709014887</v>
      </c>
      <c r="F35" s="63">
        <f t="shared" si="2"/>
        <v>75.172714709014883</v>
      </c>
      <c r="G35" s="63">
        <f t="shared" si="3"/>
        <v>24.827285290985117</v>
      </c>
      <c r="H35" s="50">
        <f t="shared" si="4"/>
        <v>-3.0897383801906275</v>
      </c>
      <c r="I35" s="50">
        <f t="shared" si="5"/>
        <v>3.9738380190627698E-2</v>
      </c>
      <c r="J35" s="108">
        <f t="shared" si="7"/>
        <v>114.24129353233829</v>
      </c>
    </row>
    <row r="37" spans="1:18" ht="15" x14ac:dyDescent="0.4">
      <c r="A37" s="13" t="s">
        <v>4</v>
      </c>
      <c r="B37" s="13"/>
      <c r="C37" s="23"/>
      <c r="D37" s="14"/>
      <c r="E37" s="6"/>
      <c r="F37" s="34" t="s">
        <v>14</v>
      </c>
    </row>
    <row r="38" spans="1:18" x14ac:dyDescent="0.35">
      <c r="A38" s="3" t="s">
        <v>26</v>
      </c>
      <c r="B38" s="27">
        <f>STDEV(D21:D31)/STDEV(A21:A31)</f>
        <v>0.10473190464533989</v>
      </c>
      <c r="C38" s="5" t="s">
        <v>24</v>
      </c>
      <c r="D38" s="28">
        <f>COUNT(D21:D31)</f>
        <v>11</v>
      </c>
      <c r="F38" s="35" t="s">
        <v>26</v>
      </c>
      <c r="G38" s="30">
        <f>-STDEV(B31:B35)/STDEV(G31:G35)</f>
        <v>-8.0413105879651586E-3</v>
      </c>
      <c r="H38" s="5" t="s">
        <v>24</v>
      </c>
      <c r="I38" s="28">
        <f>COUNT(B31:B35)</f>
        <v>5</v>
      </c>
    </row>
    <row r="39" spans="1:18" ht="15.5" x14ac:dyDescent="0.35">
      <c r="A39" s="3" t="s">
        <v>3</v>
      </c>
      <c r="B39" s="24">
        <f>AVERAGE(D21:D31)-B38*AVERAGE(A21:A31)</f>
        <v>2.4437058141518766</v>
      </c>
      <c r="C39" s="26" t="s">
        <v>7</v>
      </c>
      <c r="F39" s="35" t="s">
        <v>3</v>
      </c>
      <c r="G39" s="31">
        <f>AVERAGE(B31:B35)-G38*AVERAGE(G31:G35)</f>
        <v>0.52329591006594867</v>
      </c>
      <c r="H39" s="25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BCC4-8FE3-4CCE-AB92-B2FBDF98D7FD}">
  <dimension ref="A1:T34"/>
  <sheetViews>
    <sheetView zoomScale="60" zoomScaleNormal="60" workbookViewId="0">
      <selection activeCell="E4" sqref="E4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8.54296875" customWidth="1"/>
    <col min="11" max="11" width="8.6328125" customWidth="1"/>
    <col min="12" max="12" width="7.7265625" customWidth="1"/>
    <col min="13" max="13" width="21.453125" customWidth="1"/>
    <col min="14" max="14" width="9.4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44845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>
        <v>55.017000000000003</v>
      </c>
      <c r="J3" s="116"/>
    </row>
    <row r="4" spans="1:20" x14ac:dyDescent="0.35">
      <c r="A4" s="3" t="s">
        <v>22</v>
      </c>
      <c r="B4" s="102">
        <v>1.179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B30/B4</f>
        <v>1.3208246414433165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-1/G30</f>
        <v>-2.281088255233183</v>
      </c>
      <c r="O8" t="s">
        <v>12</v>
      </c>
    </row>
    <row r="9" spans="1:20" ht="15" x14ac:dyDescent="0.4">
      <c r="A9" s="50">
        <v>-0.3</v>
      </c>
      <c r="B9" s="52">
        <f t="shared" ref="B9:B26" si="0">-1/A9</f>
        <v>3.3333333333333335</v>
      </c>
      <c r="C9" s="51">
        <v>2.7170000000000001</v>
      </c>
      <c r="D9" s="62">
        <f>C9-$B$3-$B$4</f>
        <v>1.538</v>
      </c>
      <c r="E9" s="52">
        <f t="shared" ref="E9:E26" si="1">(D9/$B$30)</f>
        <v>0.98763703681679749</v>
      </c>
      <c r="F9" s="63">
        <f t="shared" ref="F9:F26" si="2">100*E9</f>
        <v>98.763703681679743</v>
      </c>
      <c r="G9" s="63">
        <f t="shared" ref="G9:G26" si="3">100-F9</f>
        <v>1.2362963183202567</v>
      </c>
      <c r="H9" s="50">
        <f t="shared" ref="H9:H26" si="4">-1/($G$30+$G$29*G9)</f>
        <v>-2.3271183627769911</v>
      </c>
      <c r="I9" s="50">
        <f t="shared" ref="I9:I26" si="5">A9-H9</f>
        <v>2.0271183627769913</v>
      </c>
      <c r="J9" s="108">
        <f>D9/$B$4*100</f>
        <v>130.44953350296862</v>
      </c>
      <c r="M9" s="53" t="s">
        <v>23</v>
      </c>
      <c r="N9" s="40">
        <f>H18</f>
        <v>-2.7646811215270071</v>
      </c>
      <c r="O9" t="s">
        <v>5</v>
      </c>
    </row>
    <row r="10" spans="1:20" ht="15.5" thickBot="1" x14ac:dyDescent="0.45">
      <c r="A10" s="50">
        <v>-0.48</v>
      </c>
      <c r="B10" s="52">
        <f t="shared" si="0"/>
        <v>2.0833333333333335</v>
      </c>
      <c r="C10" s="51">
        <v>2.7050000000000001</v>
      </c>
      <c r="D10" s="62">
        <f t="shared" ref="D10:D26" si="6">C10-$B$3-$B$4</f>
        <v>1.526</v>
      </c>
      <c r="E10" s="52">
        <f t="shared" si="1"/>
        <v>0.97993115616543103</v>
      </c>
      <c r="F10" s="63">
        <f t="shared" si="2"/>
        <v>97.993115616543108</v>
      </c>
      <c r="G10" s="63">
        <f t="shared" si="3"/>
        <v>2.0068843834568924</v>
      </c>
      <c r="H10" s="50">
        <f t="shared" si="4"/>
        <v>-2.3567608829996232</v>
      </c>
      <c r="I10" s="50">
        <f t="shared" si="5"/>
        <v>1.8767608829996232</v>
      </c>
      <c r="J10" s="108">
        <f t="shared" ref="J10:J26" si="7">D10/$B$4*100</f>
        <v>129.43172179813399</v>
      </c>
      <c r="M10" s="54" t="s">
        <v>31</v>
      </c>
      <c r="N10" s="41">
        <f>F18</f>
        <v>89.067137195376972</v>
      </c>
      <c r="O10" t="s">
        <v>6</v>
      </c>
    </row>
    <row r="11" spans="1:20" ht="16.5" customHeight="1" thickBot="1" x14ac:dyDescent="0.45">
      <c r="A11" s="50">
        <v>-0.67</v>
      </c>
      <c r="B11" s="52">
        <f t="shared" si="0"/>
        <v>1.4925373134328357</v>
      </c>
      <c r="C11" s="51">
        <v>2.694</v>
      </c>
      <c r="D11" s="62">
        <f t="shared" si="6"/>
        <v>1.5149999999999999</v>
      </c>
      <c r="E11" s="52">
        <f t="shared" si="1"/>
        <v>0.97286743223501171</v>
      </c>
      <c r="F11" s="63">
        <f t="shared" si="2"/>
        <v>97.286743223501176</v>
      </c>
      <c r="G11" s="63">
        <f t="shared" si="3"/>
        <v>2.7132567764988238</v>
      </c>
      <c r="H11" s="50">
        <f t="shared" si="4"/>
        <v>-2.3846044220765807</v>
      </c>
      <c r="I11" s="50">
        <f t="shared" si="5"/>
        <v>1.7146044220765808</v>
      </c>
      <c r="J11" s="108">
        <f t="shared" si="7"/>
        <v>128.49872773536896</v>
      </c>
      <c r="M11" s="55" t="s">
        <v>1</v>
      </c>
      <c r="N11" s="42">
        <f>STDEV(I9:I18)/STDEV(E9:E18)</f>
        <v>21.450306528967527</v>
      </c>
      <c r="O11" t="s">
        <v>8</v>
      </c>
    </row>
    <row r="12" spans="1:20" ht="16" x14ac:dyDescent="0.4">
      <c r="A12" s="50">
        <v>-0.94</v>
      </c>
      <c r="B12" s="52">
        <f t="shared" si="0"/>
        <v>1.0638297872340425</v>
      </c>
      <c r="C12" s="50">
        <v>2.6829999999999998</v>
      </c>
      <c r="D12" s="62">
        <f t="shared" si="6"/>
        <v>1.5039999999999998</v>
      </c>
      <c r="E12" s="52">
        <f t="shared" si="1"/>
        <v>0.96580370830459239</v>
      </c>
      <c r="F12" s="63">
        <f t="shared" si="2"/>
        <v>96.580370830459245</v>
      </c>
      <c r="G12" s="63">
        <f t="shared" si="3"/>
        <v>3.4196291695407552</v>
      </c>
      <c r="H12" s="50">
        <f t="shared" si="4"/>
        <v>-2.41311373202802</v>
      </c>
      <c r="I12" s="50">
        <f t="shared" si="5"/>
        <v>1.4731137320280201</v>
      </c>
      <c r="J12" s="108">
        <f t="shared" si="7"/>
        <v>127.56573367260388</v>
      </c>
      <c r="M12" s="53" t="s">
        <v>33</v>
      </c>
      <c r="N12" s="43">
        <f>STDEV(E9:E18)/STDEV(A9:A18)</f>
        <v>3.8618156730555436E-2</v>
      </c>
      <c r="O12" t="s">
        <v>9</v>
      </c>
    </row>
    <row r="13" spans="1:20" ht="16.5" thickBot="1" x14ac:dyDescent="0.45">
      <c r="A13" s="50">
        <v>-1.08</v>
      </c>
      <c r="B13" s="52">
        <f t="shared" si="0"/>
        <v>0.92592592592592582</v>
      </c>
      <c r="C13" s="51">
        <v>2.6680000000000001</v>
      </c>
      <c r="D13" s="62">
        <f t="shared" si="6"/>
        <v>1.4890000000000001</v>
      </c>
      <c r="E13" s="52">
        <f t="shared" si="1"/>
        <v>0.95617135749038462</v>
      </c>
      <c r="F13" s="63">
        <f t="shared" si="2"/>
        <v>95.617135749038468</v>
      </c>
      <c r="G13" s="63">
        <f t="shared" si="3"/>
        <v>4.3828642509615321</v>
      </c>
      <c r="H13" s="50">
        <f t="shared" si="4"/>
        <v>-2.4531068626847596</v>
      </c>
      <c r="I13" s="50">
        <f t="shared" si="5"/>
        <v>1.3731068626847596</v>
      </c>
      <c r="J13" s="108">
        <f t="shared" si="7"/>
        <v>126.29346904156064</v>
      </c>
      <c r="M13" s="54" t="s">
        <v>0</v>
      </c>
      <c r="N13" s="41">
        <f>STDEV(E18:E26)/STDEV(A18:A26)</f>
        <v>0.14743031054111871</v>
      </c>
      <c r="O13" t="s">
        <v>10</v>
      </c>
    </row>
    <row r="14" spans="1:20" ht="16" x14ac:dyDescent="0.4">
      <c r="A14" s="50">
        <v>-1.47</v>
      </c>
      <c r="B14" s="52">
        <f t="shared" si="0"/>
        <v>0.68027210884353739</v>
      </c>
      <c r="C14" s="51">
        <v>2.6480000000000001</v>
      </c>
      <c r="D14" s="62">
        <f t="shared" si="6"/>
        <v>1.4690000000000001</v>
      </c>
      <c r="E14" s="52">
        <f t="shared" si="1"/>
        <v>0.94332822307144049</v>
      </c>
      <c r="F14" s="63">
        <f t="shared" si="2"/>
        <v>94.332822307144042</v>
      </c>
      <c r="G14" s="63">
        <f t="shared" si="3"/>
        <v>5.6671776928559581</v>
      </c>
      <c r="H14" s="50">
        <f t="shared" si="4"/>
        <v>-2.5085397284102791</v>
      </c>
      <c r="I14" s="50">
        <f t="shared" si="5"/>
        <v>1.0385397284102791</v>
      </c>
      <c r="J14" s="108">
        <f t="shared" si="7"/>
        <v>124.59711620016964</v>
      </c>
      <c r="M14" s="56" t="s">
        <v>16</v>
      </c>
      <c r="N14" s="44">
        <f>N12*B30/18/(E3/10000)</f>
        <v>0.6072689809700399</v>
      </c>
    </row>
    <row r="15" spans="1:20" x14ac:dyDescent="0.35">
      <c r="A15" s="50">
        <v>-1.78</v>
      </c>
      <c r="B15" s="52">
        <f t="shared" si="0"/>
        <v>0.5617977528089888</v>
      </c>
      <c r="C15" s="51">
        <v>2.6339999999999999</v>
      </c>
      <c r="D15" s="62">
        <f t="shared" si="6"/>
        <v>1.4549999999999998</v>
      </c>
      <c r="E15" s="52">
        <f t="shared" si="1"/>
        <v>0.93433802897817952</v>
      </c>
      <c r="F15" s="63">
        <f t="shared" si="2"/>
        <v>93.433802897817955</v>
      </c>
      <c r="G15" s="63">
        <f t="shared" si="3"/>
        <v>6.5661971021820449</v>
      </c>
      <c r="H15" s="50">
        <f t="shared" si="4"/>
        <v>-2.5488573056213126</v>
      </c>
      <c r="I15" s="50">
        <f t="shared" si="5"/>
        <v>0.7688573056213126</v>
      </c>
      <c r="J15" s="108">
        <f t="shared" si="7"/>
        <v>123.40966921119592</v>
      </c>
    </row>
    <row r="16" spans="1:20" x14ac:dyDescent="0.35">
      <c r="A16" s="50">
        <v>-2.0299999999999998</v>
      </c>
      <c r="B16" s="52">
        <f t="shared" si="0"/>
        <v>0.49261083743842371</v>
      </c>
      <c r="C16" s="50">
        <v>2.6219999999999999</v>
      </c>
      <c r="D16" s="62">
        <f t="shared" si="6"/>
        <v>1.4429999999999998</v>
      </c>
      <c r="E16" s="52">
        <f t="shared" si="1"/>
        <v>0.92663214832681307</v>
      </c>
      <c r="F16" s="63">
        <f t="shared" si="2"/>
        <v>92.663214832681305</v>
      </c>
      <c r="G16" s="63">
        <f t="shared" si="3"/>
        <v>7.3367851673186948</v>
      </c>
      <c r="H16" s="50">
        <f t="shared" si="4"/>
        <v>-2.5844611306574241</v>
      </c>
      <c r="I16" s="50">
        <f t="shared" si="5"/>
        <v>0.55446113065742431</v>
      </c>
      <c r="J16" s="108">
        <f t="shared" si="7"/>
        <v>122.3918575063613</v>
      </c>
      <c r="Q16" s="3"/>
      <c r="R16" s="3"/>
      <c r="S16" s="3"/>
      <c r="T16" s="3"/>
    </row>
    <row r="17" spans="1:18" ht="15" thickBot="1" x14ac:dyDescent="0.4">
      <c r="A17" s="50">
        <v>-2.48</v>
      </c>
      <c r="B17" s="52">
        <f t="shared" si="0"/>
        <v>0.40322580645161293</v>
      </c>
      <c r="C17" s="51">
        <v>2.589</v>
      </c>
      <c r="D17" s="62">
        <f t="shared" si="6"/>
        <v>1.41</v>
      </c>
      <c r="E17" s="52">
        <f t="shared" si="1"/>
        <v>0.90544097653555544</v>
      </c>
      <c r="F17" s="63">
        <f t="shared" si="2"/>
        <v>90.544097653555539</v>
      </c>
      <c r="G17" s="63">
        <f t="shared" si="3"/>
        <v>9.4559023464444607</v>
      </c>
      <c r="H17" s="50">
        <f t="shared" si="4"/>
        <v>-2.687705285779129</v>
      </c>
      <c r="I17" s="50">
        <f t="shared" si="5"/>
        <v>0.20770528577912906</v>
      </c>
      <c r="J17" s="108">
        <f t="shared" si="7"/>
        <v>119.59287531806615</v>
      </c>
    </row>
    <row r="18" spans="1:18" ht="15" thickBot="1" x14ac:dyDescent="0.4">
      <c r="A18" s="64">
        <v>-2.68</v>
      </c>
      <c r="B18" s="117">
        <f t="shared" si="0"/>
        <v>0.37313432835820892</v>
      </c>
      <c r="C18" s="65">
        <v>2.5659999999999998</v>
      </c>
      <c r="D18" s="118">
        <f t="shared" si="6"/>
        <v>1.3869999999999998</v>
      </c>
      <c r="E18" s="117">
        <f t="shared" si="1"/>
        <v>0.89067137195376977</v>
      </c>
      <c r="F18" s="119">
        <f t="shared" si="2"/>
        <v>89.067137195376972</v>
      </c>
      <c r="G18" s="119">
        <f t="shared" si="3"/>
        <v>10.932862804623028</v>
      </c>
      <c r="H18" s="120">
        <f t="shared" si="4"/>
        <v>-2.7646811215270071</v>
      </c>
      <c r="I18" s="120">
        <f t="shared" si="5"/>
        <v>8.4681121527006908E-2</v>
      </c>
      <c r="J18" s="115">
        <f t="shared" si="7"/>
        <v>117.64206955046647</v>
      </c>
    </row>
    <row r="19" spans="1:18" x14ac:dyDescent="0.35">
      <c r="A19" s="50">
        <v>-2.79</v>
      </c>
      <c r="B19" s="52">
        <f t="shared" si="0"/>
        <v>0.35842293906810035</v>
      </c>
      <c r="C19" s="51">
        <v>2.552</v>
      </c>
      <c r="D19" s="62">
        <f t="shared" si="6"/>
        <v>1.373</v>
      </c>
      <c r="E19" s="52">
        <f t="shared" si="1"/>
        <v>0.88168117786050904</v>
      </c>
      <c r="F19" s="63">
        <f t="shared" si="2"/>
        <v>88.1681177860509</v>
      </c>
      <c r="G19" s="63">
        <f t="shared" si="3"/>
        <v>11.8318822139491</v>
      </c>
      <c r="H19" s="50">
        <f t="shared" si="4"/>
        <v>-2.8137330238611606</v>
      </c>
      <c r="I19" s="50">
        <f t="shared" si="5"/>
        <v>2.3733023861160607E-2</v>
      </c>
      <c r="J19" s="108">
        <f t="shared" si="7"/>
        <v>116.4546225614928</v>
      </c>
    </row>
    <row r="20" spans="1:18" x14ac:dyDescent="0.35">
      <c r="A20" s="50">
        <v>-2.87</v>
      </c>
      <c r="B20" s="52">
        <f t="shared" si="0"/>
        <v>0.34843205574912889</v>
      </c>
      <c r="C20" s="51">
        <v>2.5409999999999999</v>
      </c>
      <c r="D20" s="62">
        <f t="shared" si="6"/>
        <v>1.3619999999999999</v>
      </c>
      <c r="E20" s="52">
        <f t="shared" si="1"/>
        <v>0.87461745393008972</v>
      </c>
      <c r="F20" s="63">
        <f t="shared" si="2"/>
        <v>87.461745393008968</v>
      </c>
      <c r="G20" s="63">
        <f t="shared" si="3"/>
        <v>12.538254606991032</v>
      </c>
      <c r="H20" s="50">
        <f t="shared" si="4"/>
        <v>-2.8535121448977026</v>
      </c>
      <c r="I20" s="50">
        <f t="shared" si="5"/>
        <v>-1.6487855102297555E-2</v>
      </c>
      <c r="J20" s="108">
        <f t="shared" si="7"/>
        <v>115.52162849872771</v>
      </c>
      <c r="Q20" s="9"/>
      <c r="R20" s="9"/>
    </row>
    <row r="21" spans="1:18" x14ac:dyDescent="0.35">
      <c r="A21" s="50">
        <v>-2.92</v>
      </c>
      <c r="B21" s="52">
        <f t="shared" si="0"/>
        <v>0.34246575342465752</v>
      </c>
      <c r="C21" s="51">
        <v>2.5289999999999999</v>
      </c>
      <c r="D21" s="62">
        <f t="shared" si="6"/>
        <v>1.3499999999999999</v>
      </c>
      <c r="E21" s="52">
        <f t="shared" si="1"/>
        <v>0.86691157327872326</v>
      </c>
      <c r="F21" s="63">
        <f t="shared" si="2"/>
        <v>86.691157327872332</v>
      </c>
      <c r="G21" s="63">
        <f t="shared" si="3"/>
        <v>13.308842672127668</v>
      </c>
      <c r="H21" s="50">
        <f t="shared" si="4"/>
        <v>-2.8982104205455164</v>
      </c>
      <c r="I21" s="50">
        <f t="shared" si="5"/>
        <v>-2.1789579454483565E-2</v>
      </c>
      <c r="J21" s="108">
        <f t="shared" si="7"/>
        <v>114.50381679389312</v>
      </c>
      <c r="Q21" s="9"/>
      <c r="R21" s="9"/>
    </row>
    <row r="22" spans="1:18" x14ac:dyDescent="0.35">
      <c r="A22" s="50">
        <v>-3.04</v>
      </c>
      <c r="B22" s="121">
        <f t="shared" si="0"/>
        <v>0.32894736842105265</v>
      </c>
      <c r="C22" s="51">
        <v>2.5129999999999999</v>
      </c>
      <c r="D22" s="122">
        <f t="shared" si="6"/>
        <v>1.3339999999999999</v>
      </c>
      <c r="E22" s="121">
        <f t="shared" si="1"/>
        <v>0.85663706574356802</v>
      </c>
      <c r="F22" s="63">
        <f t="shared" si="2"/>
        <v>85.663706574356809</v>
      </c>
      <c r="G22" s="63">
        <f t="shared" si="3"/>
        <v>14.336293425643191</v>
      </c>
      <c r="H22" s="50">
        <f t="shared" si="4"/>
        <v>-2.9600328854576818</v>
      </c>
      <c r="I22" s="50">
        <f t="shared" si="5"/>
        <v>-7.9967114542318196E-2</v>
      </c>
      <c r="J22" s="108">
        <f t="shared" si="7"/>
        <v>113.1467345207803</v>
      </c>
      <c r="Q22" s="9"/>
      <c r="R22" s="9"/>
    </row>
    <row r="23" spans="1:18" x14ac:dyDescent="0.35">
      <c r="A23" s="50">
        <v>-3.13</v>
      </c>
      <c r="B23" s="121">
        <f t="shared" si="0"/>
        <v>0.31948881789137379</v>
      </c>
      <c r="C23" s="51">
        <v>2.4940000000000002</v>
      </c>
      <c r="D23" s="122">
        <f t="shared" si="6"/>
        <v>1.3150000000000002</v>
      </c>
      <c r="E23" s="121">
        <f t="shared" si="1"/>
        <v>0.84443608804557135</v>
      </c>
      <c r="F23" s="63">
        <f t="shared" si="2"/>
        <v>84.44360880455713</v>
      </c>
      <c r="G23" s="63">
        <f t="shared" si="3"/>
        <v>15.55639119544287</v>
      </c>
      <c r="H23" s="50">
        <f t="shared" si="4"/>
        <v>-3.0369617538417328</v>
      </c>
      <c r="I23" s="50">
        <f t="shared" si="5"/>
        <v>-9.3038246158267057E-2</v>
      </c>
      <c r="J23" s="108">
        <f t="shared" si="7"/>
        <v>111.53519932145888</v>
      </c>
      <c r="Q23" s="9"/>
      <c r="R23" s="9"/>
    </row>
    <row r="24" spans="1:18" x14ac:dyDescent="0.35">
      <c r="A24" s="50">
        <v>-3.34</v>
      </c>
      <c r="B24" s="6">
        <f t="shared" si="0"/>
        <v>0.29940119760479045</v>
      </c>
      <c r="C24" s="51">
        <v>2.4369999999999998</v>
      </c>
      <c r="D24" s="7">
        <f t="shared" si="6"/>
        <v>1.2579999999999998</v>
      </c>
      <c r="E24" s="6">
        <f t="shared" si="1"/>
        <v>0.80783315495158059</v>
      </c>
      <c r="F24" s="49">
        <f t="shared" si="2"/>
        <v>80.783315495158064</v>
      </c>
      <c r="G24" s="49">
        <f t="shared" si="3"/>
        <v>19.216684504841936</v>
      </c>
      <c r="H24" s="47">
        <f t="shared" si="4"/>
        <v>-3.2937689530321288</v>
      </c>
      <c r="I24" s="47">
        <f t="shared" si="5"/>
        <v>-4.6231046967871059E-2</v>
      </c>
      <c r="J24" s="108">
        <f t="shared" si="7"/>
        <v>106.70059372349448</v>
      </c>
      <c r="Q24" s="9"/>
      <c r="R24" s="9"/>
    </row>
    <row r="25" spans="1:18" x14ac:dyDescent="0.35">
      <c r="A25" s="50">
        <v>-3.4</v>
      </c>
      <c r="B25" s="6">
        <f t="shared" si="0"/>
        <v>0.29411764705882354</v>
      </c>
      <c r="C25" s="51">
        <v>2.395</v>
      </c>
      <c r="D25" s="7">
        <f t="shared" si="6"/>
        <v>1.216</v>
      </c>
      <c r="E25" s="6">
        <f t="shared" si="1"/>
        <v>0.78086257267179826</v>
      </c>
      <c r="F25" s="49">
        <f t="shared" si="2"/>
        <v>78.086257267179832</v>
      </c>
      <c r="G25" s="49">
        <f t="shared" si="3"/>
        <v>21.913742732820168</v>
      </c>
      <c r="H25" s="47">
        <f t="shared" si="4"/>
        <v>-3.5126333536785577</v>
      </c>
      <c r="I25" s="47">
        <f t="shared" si="5"/>
        <v>0.11263335367855776</v>
      </c>
      <c r="J25" s="108">
        <f t="shared" si="7"/>
        <v>103.13825275657335</v>
      </c>
      <c r="Q25" s="9"/>
      <c r="R25" s="9"/>
    </row>
    <row r="26" spans="1:18" x14ac:dyDescent="0.35">
      <c r="A26" s="50">
        <v>-3.61</v>
      </c>
      <c r="B26" s="52">
        <f t="shared" si="0"/>
        <v>0.2770083102493075</v>
      </c>
      <c r="C26" s="51">
        <v>2.37</v>
      </c>
      <c r="D26" s="62">
        <f t="shared" si="6"/>
        <v>1.1910000000000001</v>
      </c>
      <c r="E26" s="52">
        <f t="shared" si="1"/>
        <v>0.7648086546481182</v>
      </c>
      <c r="F26" s="63">
        <f t="shared" si="2"/>
        <v>76.480865464811814</v>
      </c>
      <c r="G26" s="63">
        <f t="shared" si="3"/>
        <v>23.519134535188186</v>
      </c>
      <c r="H26" s="50">
        <f t="shared" si="4"/>
        <v>-3.657287822139295</v>
      </c>
      <c r="I26" s="50">
        <f t="shared" si="5"/>
        <v>4.7287822139295166E-2</v>
      </c>
      <c r="J26" s="108">
        <f t="shared" si="7"/>
        <v>101.01781170483461</v>
      </c>
      <c r="Q26" s="9"/>
      <c r="R26" s="9"/>
    </row>
    <row r="27" spans="1:18" x14ac:dyDescent="0.35">
      <c r="Q27" s="9"/>
      <c r="R27" s="9"/>
    </row>
    <row r="28" spans="1:18" ht="15" x14ac:dyDescent="0.4">
      <c r="A28" s="13" t="s">
        <v>4</v>
      </c>
      <c r="B28" s="13"/>
      <c r="C28" s="23"/>
      <c r="D28" s="14"/>
      <c r="E28" s="6"/>
      <c r="F28" s="34" t="s">
        <v>14</v>
      </c>
      <c r="Q28" s="9"/>
      <c r="R28" s="9"/>
    </row>
    <row r="29" spans="1:18" x14ac:dyDescent="0.35">
      <c r="A29" s="3" t="s">
        <v>26</v>
      </c>
      <c r="B29" s="27">
        <f>STDEV(D9:D18)/STDEV(A9:A18)</f>
        <v>6.013821154685163E-2</v>
      </c>
      <c r="C29" s="5" t="s">
        <v>24</v>
      </c>
      <c r="D29" s="28">
        <f>COUNT(D9:D18)</f>
        <v>10</v>
      </c>
      <c r="F29" s="35" t="s">
        <v>26</v>
      </c>
      <c r="G29" s="30">
        <f>-STDEV(B18:B26)/STDEV(G18:G26)</f>
        <v>-7.0138884112146919E-3</v>
      </c>
      <c r="H29" s="5" t="s">
        <v>24</v>
      </c>
      <c r="I29" s="28">
        <f>COUNT(B18:B26)</f>
        <v>9</v>
      </c>
      <c r="Q29" s="9"/>
      <c r="R29" s="9"/>
    </row>
    <row r="30" spans="1:18" ht="15.5" x14ac:dyDescent="0.35">
      <c r="A30" s="3" t="s">
        <v>3</v>
      </c>
      <c r="B30" s="24">
        <f>AVERAGE(D9:D18)-B29*AVERAGE(A9:A18)</f>
        <v>1.5572522522616703</v>
      </c>
      <c r="C30" s="26" t="s">
        <v>7</v>
      </c>
      <c r="F30" s="35" t="s">
        <v>3</v>
      </c>
      <c r="G30" s="31">
        <f>AVERAGE(B18:B26)-G29*AVERAGE(G18:G26)</f>
        <v>0.43838724683529423</v>
      </c>
      <c r="H30" s="25"/>
    </row>
    <row r="34" spans="17:18" x14ac:dyDescent="0.35">
      <c r="Q34" s="15"/>
      <c r="R34" s="1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4"/>
  <sheetViews>
    <sheetView zoomScale="60" zoomScaleNormal="60" workbookViewId="0">
      <selection activeCell="P28" sqref="P28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9" customWidth="1"/>
    <col min="11" max="12" width="9.08984375" customWidth="1"/>
    <col min="13" max="13" width="19.1796875" customWidth="1"/>
    <col min="14" max="14" width="8.6328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44804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>
        <v>33.945999999999998</v>
      </c>
      <c r="J3" s="116"/>
    </row>
    <row r="4" spans="1:20" x14ac:dyDescent="0.35">
      <c r="A4" s="3" t="s">
        <v>22</v>
      </c>
      <c r="B4" s="102">
        <v>0.90600000000000003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B27/B4</f>
        <v>1.0504591596225161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-1/H27</f>
        <v>-2.6101426251008859</v>
      </c>
      <c r="O8" t="s">
        <v>12</v>
      </c>
    </row>
    <row r="9" spans="1:20" ht="15" x14ac:dyDescent="0.4">
      <c r="A9" s="94">
        <v>-0.113</v>
      </c>
      <c r="B9" s="95">
        <f t="shared" ref="B9:B22" si="0">-1/A9</f>
        <v>8.8495575221238933</v>
      </c>
      <c r="C9" s="91">
        <v>1.8640000000000001</v>
      </c>
      <c r="D9" s="96">
        <f t="shared" ref="D9:D22" si="1">C9-$B$3-$B$4</f>
        <v>0.95800000000000007</v>
      </c>
      <c r="E9" s="95">
        <f t="shared" ref="E9:E22" si="2">(D9/$B$27)</f>
        <v>1.0066028115437016</v>
      </c>
      <c r="F9" s="97">
        <f t="shared" ref="F9:F22" si="3">100*E9</f>
        <v>100.66028115437015</v>
      </c>
      <c r="G9" s="97">
        <f t="shared" ref="G9:G22" si="4">100-F9</f>
        <v>-0.66028115437015344</v>
      </c>
      <c r="H9" s="94">
        <f t="shared" ref="H9:H22" si="5">-1/($H$27+$H$26*G9)</f>
        <v>-2.579139899105964</v>
      </c>
      <c r="I9" s="94">
        <f t="shared" ref="I9:I22" si="6">A9-H9</f>
        <v>2.466139899105964</v>
      </c>
      <c r="J9" s="106">
        <f>D9/$B$4*100</f>
        <v>105.73951434878587</v>
      </c>
      <c r="M9" s="53" t="s">
        <v>23</v>
      </c>
      <c r="N9" s="40">
        <f>H16</f>
        <v>-2.9403991872219706</v>
      </c>
      <c r="O9" t="s">
        <v>5</v>
      </c>
    </row>
    <row r="10" spans="1:20" ht="15.5" thickBot="1" x14ac:dyDescent="0.45">
      <c r="A10" s="94">
        <v>-0.222</v>
      </c>
      <c r="B10" s="95">
        <f t="shared" si="0"/>
        <v>4.5045045045045047</v>
      </c>
      <c r="C10" s="91">
        <v>1.86</v>
      </c>
      <c r="D10" s="96">
        <f t="shared" si="1"/>
        <v>0.95400000000000007</v>
      </c>
      <c r="E10" s="95">
        <f t="shared" si="2"/>
        <v>1.0023998770487383</v>
      </c>
      <c r="F10" s="97">
        <f t="shared" si="3"/>
        <v>100.23998770487384</v>
      </c>
      <c r="G10" s="97">
        <f t="shared" si="4"/>
        <v>-0.23998770487384036</v>
      </c>
      <c r="H10" s="94">
        <f t="shared" si="5"/>
        <v>-2.5987884392530827</v>
      </c>
      <c r="I10" s="94">
        <f t="shared" si="6"/>
        <v>2.3767884392530827</v>
      </c>
      <c r="J10" s="106">
        <f t="shared" ref="J10:J22" si="7">D10/$B$4*100</f>
        <v>105.29801324503312</v>
      </c>
      <c r="M10" s="54" t="s">
        <v>31</v>
      </c>
      <c r="N10" s="41">
        <f>F16</f>
        <v>93.830512600054846</v>
      </c>
      <c r="O10" t="s">
        <v>6</v>
      </c>
    </row>
    <row r="11" spans="1:20" ht="16.5" customHeight="1" thickBot="1" x14ac:dyDescent="0.45">
      <c r="A11" s="94">
        <v>-0.247</v>
      </c>
      <c r="B11" s="95">
        <f t="shared" si="0"/>
        <v>4.048582995951417</v>
      </c>
      <c r="C11" s="91">
        <v>1.8560000000000001</v>
      </c>
      <c r="D11" s="96">
        <f t="shared" si="1"/>
        <v>0.95000000000000007</v>
      </c>
      <c r="E11" s="95">
        <f t="shared" si="2"/>
        <v>0.998196942553775</v>
      </c>
      <c r="F11" s="97">
        <f t="shared" si="3"/>
        <v>99.819694255377499</v>
      </c>
      <c r="G11" s="97">
        <f t="shared" si="4"/>
        <v>0.18030574462250115</v>
      </c>
      <c r="H11" s="94">
        <f t="shared" si="5"/>
        <v>-2.6187386527217877</v>
      </c>
      <c r="I11" s="94">
        <f t="shared" si="6"/>
        <v>2.3717386527217879</v>
      </c>
      <c r="J11" s="106">
        <f t="shared" si="7"/>
        <v>104.85651214128036</v>
      </c>
      <c r="M11" s="55" t="s">
        <v>1</v>
      </c>
      <c r="N11" s="42">
        <f>STDEV(I12:I16)/STDEV(E12:E16)</f>
        <v>39.866260575942661</v>
      </c>
      <c r="O11" t="s">
        <v>8</v>
      </c>
    </row>
    <row r="12" spans="1:20" ht="16" x14ac:dyDescent="0.4">
      <c r="A12" s="47">
        <v>-0.30299999999999999</v>
      </c>
      <c r="B12" s="22">
        <f t="shared" si="0"/>
        <v>3.3003300330033003</v>
      </c>
      <c r="C12" s="3">
        <v>1.853</v>
      </c>
      <c r="D12" s="48">
        <f t="shared" si="1"/>
        <v>0.94699999999999995</v>
      </c>
      <c r="E12" s="22">
        <f t="shared" si="2"/>
        <v>0.99504474168255241</v>
      </c>
      <c r="F12" s="49">
        <f t="shared" si="3"/>
        <v>99.504474168255243</v>
      </c>
      <c r="G12" s="49">
        <f t="shared" si="4"/>
        <v>0.49552583174475728</v>
      </c>
      <c r="H12" s="47">
        <f t="shared" si="5"/>
        <v>-2.6339034895585338</v>
      </c>
      <c r="I12" s="47">
        <f t="shared" si="6"/>
        <v>2.3309034895585339</v>
      </c>
      <c r="J12" s="101">
        <f t="shared" si="7"/>
        <v>104.52538631346577</v>
      </c>
      <c r="M12" s="53" t="s">
        <v>33</v>
      </c>
      <c r="N12" s="43">
        <f>STDEV(E12:E16)/STDEV(A12:A16)</f>
        <v>2.2093892885863976E-2</v>
      </c>
      <c r="O12" t="s">
        <v>9</v>
      </c>
    </row>
    <row r="13" spans="1:20" ht="16.5" thickBot="1" x14ac:dyDescent="0.45">
      <c r="A13" s="47">
        <v>-0.67500000000000004</v>
      </c>
      <c r="B13" s="22">
        <f t="shared" si="0"/>
        <v>1.4814814814814814</v>
      </c>
      <c r="C13" s="35">
        <v>1.8420000000000001</v>
      </c>
      <c r="D13" s="48">
        <f t="shared" si="1"/>
        <v>0.93600000000000005</v>
      </c>
      <c r="E13" s="22">
        <f t="shared" si="2"/>
        <v>0.98348667182140359</v>
      </c>
      <c r="F13" s="49">
        <f t="shared" si="3"/>
        <v>98.34866718214036</v>
      </c>
      <c r="G13" s="49">
        <f t="shared" si="4"/>
        <v>1.6513328178596396</v>
      </c>
      <c r="H13" s="47">
        <f t="shared" si="5"/>
        <v>-2.6910431527297196</v>
      </c>
      <c r="I13" s="47">
        <f t="shared" si="6"/>
        <v>2.0160431527297193</v>
      </c>
      <c r="J13" s="101">
        <f t="shared" si="7"/>
        <v>103.31125827814569</v>
      </c>
      <c r="M13" s="54" t="s">
        <v>0</v>
      </c>
      <c r="N13" s="41">
        <f>STDEV(E16:E22)/STDEV(A16:A22)</f>
        <v>0.10562670436330636</v>
      </c>
      <c r="O13" t="s">
        <v>10</v>
      </c>
    </row>
    <row r="14" spans="1:20" ht="16" x14ac:dyDescent="0.4">
      <c r="A14" s="50">
        <v>-1.159</v>
      </c>
      <c r="B14" s="22">
        <f t="shared" si="0"/>
        <v>0.86281276962899045</v>
      </c>
      <c r="C14" s="35">
        <v>1.8320000000000001</v>
      </c>
      <c r="D14" s="48">
        <f t="shared" si="1"/>
        <v>0.92600000000000005</v>
      </c>
      <c r="E14" s="22">
        <f t="shared" si="2"/>
        <v>0.97297933558399541</v>
      </c>
      <c r="F14" s="49">
        <f t="shared" si="3"/>
        <v>97.297933558399535</v>
      </c>
      <c r="G14" s="49">
        <f t="shared" si="4"/>
        <v>2.7020664416004649</v>
      </c>
      <c r="H14" s="47">
        <f t="shared" si="5"/>
        <v>-2.745182924669221</v>
      </c>
      <c r="I14" s="47">
        <f t="shared" si="6"/>
        <v>1.586182924669221</v>
      </c>
      <c r="J14" s="101">
        <f t="shared" si="7"/>
        <v>102.20750551876381</v>
      </c>
      <c r="M14" s="56" t="s">
        <v>16</v>
      </c>
      <c r="N14" s="44">
        <f>N12*B27/18/(E3/10000)</f>
        <v>0.34412680484739083</v>
      </c>
    </row>
    <row r="15" spans="1:20" ht="15" thickBot="1" x14ac:dyDescent="0.4">
      <c r="A15" s="50">
        <v>-2.0539999999999998</v>
      </c>
      <c r="B15" s="22">
        <f t="shared" si="0"/>
        <v>0.48685491723466412</v>
      </c>
      <c r="C15" s="35">
        <v>1.8160000000000001</v>
      </c>
      <c r="D15" s="48">
        <f t="shared" si="1"/>
        <v>0.91</v>
      </c>
      <c r="E15" s="22">
        <f t="shared" si="2"/>
        <v>0.95616759760414238</v>
      </c>
      <c r="F15" s="49">
        <f t="shared" si="3"/>
        <v>95.61675976041424</v>
      </c>
      <c r="G15" s="49">
        <f t="shared" si="4"/>
        <v>4.3832402395857599</v>
      </c>
      <c r="H15" s="47">
        <f t="shared" si="5"/>
        <v>-2.8364883853865472</v>
      </c>
      <c r="I15" s="47">
        <f t="shared" si="6"/>
        <v>0.78248838538654741</v>
      </c>
      <c r="J15" s="101">
        <f t="shared" si="7"/>
        <v>100.44150110375276</v>
      </c>
      <c r="K15" s="18"/>
    </row>
    <row r="16" spans="1:20" ht="15" thickBot="1" x14ac:dyDescent="0.4">
      <c r="A16" s="64">
        <v>-2.78</v>
      </c>
      <c r="B16" s="61">
        <f t="shared" si="0"/>
        <v>0.35971223021582738</v>
      </c>
      <c r="C16" s="66">
        <v>1.7989999999999999</v>
      </c>
      <c r="D16" s="60">
        <f t="shared" si="1"/>
        <v>0.8929999999999999</v>
      </c>
      <c r="E16" s="61">
        <f t="shared" si="2"/>
        <v>0.93830512600054838</v>
      </c>
      <c r="F16" s="58">
        <f t="shared" si="3"/>
        <v>93.830512600054846</v>
      </c>
      <c r="G16" s="58">
        <f t="shared" si="4"/>
        <v>6.1694873999451545</v>
      </c>
      <c r="H16" s="59">
        <f t="shared" si="5"/>
        <v>-2.9403991872219706</v>
      </c>
      <c r="I16" s="59">
        <f t="shared" si="6"/>
        <v>0.16039918722197077</v>
      </c>
      <c r="J16" s="107">
        <f t="shared" si="7"/>
        <v>98.565121412803506</v>
      </c>
      <c r="K16" s="18"/>
      <c r="P16" s="3"/>
      <c r="Q16" s="3"/>
      <c r="R16" s="3"/>
      <c r="S16" s="3"/>
      <c r="T16" s="3"/>
    </row>
    <row r="17" spans="1:18" x14ac:dyDescent="0.35">
      <c r="A17" s="50">
        <v>-3.55</v>
      </c>
      <c r="B17" s="22">
        <f t="shared" si="0"/>
        <v>0.28169014084507044</v>
      </c>
      <c r="C17" s="35">
        <v>1.7350000000000001</v>
      </c>
      <c r="D17" s="48">
        <f t="shared" si="1"/>
        <v>0.82900000000000007</v>
      </c>
      <c r="E17" s="22">
        <f t="shared" si="2"/>
        <v>0.87105817408113628</v>
      </c>
      <c r="F17" s="49">
        <f t="shared" si="3"/>
        <v>87.105817408113623</v>
      </c>
      <c r="G17" s="49">
        <f t="shared" si="4"/>
        <v>12.894182591886377</v>
      </c>
      <c r="H17" s="47">
        <f t="shared" si="5"/>
        <v>-3.4107986555922571</v>
      </c>
      <c r="I17" s="47">
        <f t="shared" si="6"/>
        <v>-0.13920134440774268</v>
      </c>
      <c r="J17" s="101">
        <f t="shared" si="7"/>
        <v>91.501103752759377</v>
      </c>
      <c r="K17" s="18"/>
    </row>
    <row r="18" spans="1:18" x14ac:dyDescent="0.35">
      <c r="A18" s="50">
        <v>-3.78</v>
      </c>
      <c r="B18" s="22">
        <f t="shared" si="0"/>
        <v>0.26455026455026459</v>
      </c>
      <c r="C18" s="35">
        <v>1.7130000000000001</v>
      </c>
      <c r="D18" s="48">
        <f t="shared" si="1"/>
        <v>0.80700000000000005</v>
      </c>
      <c r="E18" s="22">
        <f t="shared" si="2"/>
        <v>0.8479420343588383</v>
      </c>
      <c r="F18" s="49">
        <f t="shared" si="3"/>
        <v>84.79420343588383</v>
      </c>
      <c r="G18" s="49">
        <f t="shared" si="4"/>
        <v>15.20579656411617</v>
      </c>
      <c r="H18" s="47">
        <f t="shared" si="5"/>
        <v>-3.6092819910887588</v>
      </c>
      <c r="I18" s="47">
        <f t="shared" si="6"/>
        <v>-0.170718008911241</v>
      </c>
      <c r="J18" s="101">
        <f t="shared" si="7"/>
        <v>89.072847682119203</v>
      </c>
    </row>
    <row r="19" spans="1:18" x14ac:dyDescent="0.35">
      <c r="A19" s="50">
        <v>-3.87</v>
      </c>
      <c r="B19" s="22">
        <f t="shared" si="0"/>
        <v>0.25839793281653745</v>
      </c>
      <c r="C19" s="35">
        <v>1.6990000000000001</v>
      </c>
      <c r="D19" s="48">
        <f t="shared" si="1"/>
        <v>0.79300000000000004</v>
      </c>
      <c r="E19" s="22">
        <f t="shared" si="2"/>
        <v>0.83323176362646689</v>
      </c>
      <c r="F19" s="49">
        <f t="shared" si="3"/>
        <v>83.323176362646691</v>
      </c>
      <c r="G19" s="49">
        <f t="shared" si="4"/>
        <v>16.676823637353309</v>
      </c>
      <c r="H19" s="47">
        <f t="shared" si="5"/>
        <v>-3.7480796472852562</v>
      </c>
      <c r="I19" s="47">
        <f t="shared" si="6"/>
        <v>-0.12192035271474388</v>
      </c>
      <c r="J19" s="101">
        <f t="shared" si="7"/>
        <v>87.527593818984556</v>
      </c>
    </row>
    <row r="20" spans="1:18" x14ac:dyDescent="0.35">
      <c r="A20" s="50">
        <v>-4.13</v>
      </c>
      <c r="B20" s="22">
        <f t="shared" si="0"/>
        <v>0.24213075060532688</v>
      </c>
      <c r="C20" s="35">
        <v>1.6739999999999999</v>
      </c>
      <c r="D20" s="48">
        <f t="shared" si="1"/>
        <v>0.7679999999999999</v>
      </c>
      <c r="E20" s="22">
        <f t="shared" si="2"/>
        <v>0.80696342303294633</v>
      </c>
      <c r="F20" s="49">
        <f t="shared" si="3"/>
        <v>80.696342303294628</v>
      </c>
      <c r="G20" s="49">
        <f t="shared" si="4"/>
        <v>19.303657696705372</v>
      </c>
      <c r="H20" s="47">
        <f t="shared" si="5"/>
        <v>-4.0244420563134948</v>
      </c>
      <c r="I20" s="47">
        <f t="shared" si="6"/>
        <v>-0.10555794368650506</v>
      </c>
      <c r="J20" s="101">
        <f t="shared" si="7"/>
        <v>84.768211920529794</v>
      </c>
      <c r="P20" s="10"/>
      <c r="Q20" s="9"/>
      <c r="R20" s="9"/>
    </row>
    <row r="21" spans="1:18" x14ac:dyDescent="0.35">
      <c r="A21" s="50">
        <v>-4.43</v>
      </c>
      <c r="B21" s="22">
        <f t="shared" si="0"/>
        <v>0.22573363431151244</v>
      </c>
      <c r="C21" s="35">
        <v>1.6459999999999999</v>
      </c>
      <c r="D21" s="48">
        <f t="shared" si="1"/>
        <v>0.73999999999999988</v>
      </c>
      <c r="E21" s="22">
        <f t="shared" si="2"/>
        <v>0.7775428815682035</v>
      </c>
      <c r="F21" s="49">
        <f t="shared" si="3"/>
        <v>77.754288156820351</v>
      </c>
      <c r="G21" s="49">
        <f t="shared" si="4"/>
        <v>22.245711843179649</v>
      </c>
      <c r="H21" s="47">
        <f t="shared" si="5"/>
        <v>-4.3867074541360491</v>
      </c>
      <c r="I21" s="47">
        <f t="shared" si="6"/>
        <v>-4.3292545863950593E-2</v>
      </c>
      <c r="J21" s="101">
        <f t="shared" si="7"/>
        <v>81.677704194260471</v>
      </c>
      <c r="P21" s="10"/>
      <c r="Q21" s="9"/>
      <c r="R21" s="9"/>
    </row>
    <row r="22" spans="1:18" x14ac:dyDescent="0.35">
      <c r="A22" s="50">
        <v>-4.9400000000000004</v>
      </c>
      <c r="B22" s="6">
        <f t="shared" si="0"/>
        <v>0.20242914979757085</v>
      </c>
      <c r="C22" s="35">
        <v>1.5820000000000001</v>
      </c>
      <c r="D22" s="48">
        <f t="shared" si="1"/>
        <v>0.67600000000000005</v>
      </c>
      <c r="E22" s="22">
        <f t="shared" si="2"/>
        <v>0.71029592964879151</v>
      </c>
      <c r="F22" s="49">
        <f t="shared" si="3"/>
        <v>71.029592964879157</v>
      </c>
      <c r="G22" s="49">
        <f t="shared" si="4"/>
        <v>28.970407035120843</v>
      </c>
      <c r="H22" s="47">
        <f t="shared" si="5"/>
        <v>-5.5230922511664824</v>
      </c>
      <c r="I22" s="47">
        <f t="shared" si="6"/>
        <v>0.583092251166482</v>
      </c>
      <c r="J22" s="101">
        <f t="shared" si="7"/>
        <v>74.613686534216342</v>
      </c>
      <c r="P22" s="10"/>
      <c r="Q22" s="9"/>
      <c r="R22" s="9"/>
    </row>
    <row r="23" spans="1:18" x14ac:dyDescent="0.35">
      <c r="A23" s="3"/>
      <c r="B23" s="6"/>
      <c r="C23" s="3"/>
      <c r="D23" s="48"/>
      <c r="E23" s="22"/>
      <c r="F23" s="49"/>
      <c r="G23" s="49"/>
      <c r="H23" s="47"/>
      <c r="I23" s="47"/>
      <c r="P23" s="10"/>
      <c r="Q23" s="9"/>
      <c r="R23" s="9"/>
    </row>
    <row r="24" spans="1:18" x14ac:dyDescent="0.35">
      <c r="A24" s="3"/>
      <c r="B24" s="6"/>
      <c r="C24" s="3"/>
      <c r="D24" s="48"/>
      <c r="E24" s="22"/>
      <c r="F24" s="49"/>
      <c r="G24" s="49"/>
      <c r="H24" s="47"/>
      <c r="I24" s="47"/>
      <c r="Q24" s="9"/>
      <c r="R24" s="9"/>
    </row>
    <row r="25" spans="1:18" ht="15" x14ac:dyDescent="0.4">
      <c r="A25" s="13" t="s">
        <v>4</v>
      </c>
      <c r="B25" s="13"/>
      <c r="C25" s="23"/>
      <c r="D25" s="14"/>
      <c r="G25" s="34" t="s">
        <v>14</v>
      </c>
      <c r="Q25" s="9"/>
      <c r="R25" s="9"/>
    </row>
    <row r="26" spans="1:18" x14ac:dyDescent="0.35">
      <c r="A26" s="3" t="s">
        <v>26</v>
      </c>
      <c r="B26" s="27">
        <f>STDEV(D12:D16)/STDEV(A12:A16)</f>
        <v>2.1027111331229177E-2</v>
      </c>
      <c r="C26" s="5" t="s">
        <v>24</v>
      </c>
      <c r="D26" s="28">
        <f>COUNT(D12:D16)</f>
        <v>5</v>
      </c>
      <c r="G26" s="35" t="s">
        <v>26</v>
      </c>
      <c r="H26" s="30">
        <f>-STDEV(B16:B22)/STDEV(G16:G22)</f>
        <v>-6.9748013202678913E-3</v>
      </c>
      <c r="I26" s="5" t="s">
        <v>24</v>
      </c>
      <c r="J26" s="28">
        <f>COUNT(B16:B22)</f>
        <v>7</v>
      </c>
      <c r="Q26" s="9"/>
      <c r="R26" s="9"/>
    </row>
    <row r="27" spans="1:18" ht="15.5" x14ac:dyDescent="0.35">
      <c r="A27" s="3" t="s">
        <v>3</v>
      </c>
      <c r="B27" s="24">
        <f>AVERAGE(D12:D16)-B26*AVERAGE(A12:A16)</f>
        <v>0.95171599861799971</v>
      </c>
      <c r="C27" s="26" t="s">
        <v>7</v>
      </c>
      <c r="G27" s="35" t="s">
        <v>3</v>
      </c>
      <c r="H27" s="31">
        <f>AVERAGE(B16:B22)-H26*AVERAGE(G16:G22)</f>
        <v>0.38312082657220636</v>
      </c>
      <c r="I27" s="25"/>
      <c r="Q27" s="9"/>
      <c r="R27" s="9"/>
    </row>
    <row r="28" spans="1:18" x14ac:dyDescent="0.35">
      <c r="Q28" s="9"/>
      <c r="R28" s="9"/>
    </row>
    <row r="29" spans="1:18" x14ac:dyDescent="0.35">
      <c r="Q29" s="9"/>
      <c r="R29" s="9"/>
    </row>
    <row r="34" spans="17:18" x14ac:dyDescent="0.35">
      <c r="Q34" s="15"/>
      <c r="R34" s="1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4"/>
  <sheetViews>
    <sheetView zoomScale="60" zoomScaleNormal="60" workbookViewId="0">
      <selection activeCell="L26" sqref="L26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0" customWidth="1"/>
    <col min="11" max="11" width="9.26953125" customWidth="1"/>
    <col min="12" max="12" width="9.36328125" customWidth="1"/>
    <col min="13" max="13" width="19.1796875" customWidth="1"/>
    <col min="14" max="14" width="8.0898437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44804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>
        <v>34.308</v>
      </c>
      <c r="J3" s="116"/>
    </row>
    <row r="4" spans="1:20" x14ac:dyDescent="0.35">
      <c r="A4" s="3" t="s">
        <v>22</v>
      </c>
      <c r="B4" s="102">
        <v>0.877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B33/B4</f>
        <v>1.1367986645823238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-1/H33</f>
        <v>-2.1601109107889096</v>
      </c>
      <c r="O8" t="s">
        <v>12</v>
      </c>
    </row>
    <row r="9" spans="1:20" ht="15" x14ac:dyDescent="0.4">
      <c r="A9" s="94">
        <v>-2.1000000000000001E-2</v>
      </c>
      <c r="B9" s="95">
        <f t="shared" ref="B9:B28" si="0">-1/A9</f>
        <v>47.619047619047613</v>
      </c>
      <c r="C9" s="91">
        <v>1.8819999999999999</v>
      </c>
      <c r="D9" s="96">
        <f>C9-$B$3-$B$4</f>
        <v>1.0049999999999999</v>
      </c>
      <c r="E9" s="95">
        <f t="shared" ref="E9:E28" si="1">(D9/$B$33)</f>
        <v>1.0080519490099165</v>
      </c>
      <c r="F9" s="97">
        <f t="shared" ref="F9:F28" si="2">100*E9</f>
        <v>100.80519490099165</v>
      </c>
      <c r="G9" s="97">
        <f t="shared" ref="G9:G28" si="3">100-F9</f>
        <v>-0.80519490099165125</v>
      </c>
      <c r="H9" s="94">
        <f t="shared" ref="H9:H28" si="4">-1/($H$33+$H$32*G9)</f>
        <v>-2.1118555430048103</v>
      </c>
      <c r="I9" s="94">
        <f t="shared" ref="I9:I28" si="5">A9-H9</f>
        <v>2.0908555430048104</v>
      </c>
      <c r="J9" s="106">
        <f>D9/$B$4*100</f>
        <v>114.59521094640819</v>
      </c>
      <c r="M9" s="53" t="s">
        <v>23</v>
      </c>
      <c r="N9" s="40">
        <f>H24</f>
        <v>-2.766163471840704</v>
      </c>
      <c r="O9" t="s">
        <v>5</v>
      </c>
    </row>
    <row r="10" spans="1:20" ht="15.5" thickBot="1" x14ac:dyDescent="0.45">
      <c r="A10" s="94">
        <v>-6.9000000000000006E-2</v>
      </c>
      <c r="B10" s="95">
        <f t="shared" si="0"/>
        <v>14.492753623188404</v>
      </c>
      <c r="C10" s="91">
        <v>1.879</v>
      </c>
      <c r="D10" s="96">
        <f t="shared" ref="D10:D28" si="6">C10-$B$3-$B$4</f>
        <v>1.002</v>
      </c>
      <c r="E10" s="95">
        <f t="shared" si="1"/>
        <v>1.0050428387143646</v>
      </c>
      <c r="F10" s="97">
        <f t="shared" si="2"/>
        <v>100.50428387143646</v>
      </c>
      <c r="G10" s="97">
        <f t="shared" si="3"/>
        <v>-0.50428387143645637</v>
      </c>
      <c r="H10" s="94">
        <f t="shared" si="4"/>
        <v>-2.1296347255822567</v>
      </c>
      <c r="I10" s="94">
        <f t="shared" si="5"/>
        <v>2.0606347255822568</v>
      </c>
      <c r="J10" s="106">
        <f t="shared" ref="J10:J28" si="7">D10/$B$4*100</f>
        <v>114.25313568985176</v>
      </c>
      <c r="M10" s="54" t="s">
        <v>31</v>
      </c>
      <c r="N10" s="41">
        <f>F24</f>
        <v>92.279382396927673</v>
      </c>
      <c r="O10" t="s">
        <v>6</v>
      </c>
    </row>
    <row r="11" spans="1:20" ht="16.5" customHeight="1" thickBot="1" x14ac:dyDescent="0.45">
      <c r="A11" s="94">
        <v>-9.0999999999999998E-2</v>
      </c>
      <c r="B11" s="95">
        <f t="shared" si="0"/>
        <v>10.989010989010989</v>
      </c>
      <c r="C11" s="91">
        <v>1.8759999999999999</v>
      </c>
      <c r="D11" s="96">
        <f t="shared" si="6"/>
        <v>0.99899999999999989</v>
      </c>
      <c r="E11" s="95">
        <f t="shared" si="1"/>
        <v>1.0020337284188126</v>
      </c>
      <c r="F11" s="97">
        <f t="shared" si="2"/>
        <v>100.20337284188126</v>
      </c>
      <c r="G11" s="97">
        <f t="shared" si="3"/>
        <v>-0.20337284188126148</v>
      </c>
      <c r="H11" s="94">
        <f t="shared" si="4"/>
        <v>-2.1477158067333133</v>
      </c>
      <c r="I11" s="94">
        <f t="shared" si="5"/>
        <v>2.0567158067333131</v>
      </c>
      <c r="J11" s="106">
        <f t="shared" si="7"/>
        <v>113.9110604332953</v>
      </c>
      <c r="M11" s="55" t="s">
        <v>1</v>
      </c>
      <c r="N11" s="42">
        <f>STDEV(I12:I24)/STDEV(E12:E24)</f>
        <v>30.446608625588535</v>
      </c>
      <c r="O11" t="s">
        <v>8</v>
      </c>
    </row>
    <row r="12" spans="1:20" ht="16" x14ac:dyDescent="0.4">
      <c r="A12" s="47">
        <v>-8.6999999999999994E-2</v>
      </c>
      <c r="B12" s="22">
        <f t="shared" si="0"/>
        <v>11.494252873563219</v>
      </c>
      <c r="C12">
        <v>1.8740000000000001</v>
      </c>
      <c r="D12" s="48">
        <f t="shared" si="6"/>
        <v>0.99700000000000011</v>
      </c>
      <c r="E12" s="22">
        <f t="shared" si="1"/>
        <v>1.0000276548884448</v>
      </c>
      <c r="F12" s="49">
        <f t="shared" si="2"/>
        <v>100.00276548884447</v>
      </c>
      <c r="G12" s="49">
        <f t="shared" si="3"/>
        <v>-2.7654888444743619E-3</v>
      </c>
      <c r="H12" s="47">
        <f t="shared" si="4"/>
        <v>-2.1599414011939899</v>
      </c>
      <c r="I12" s="47">
        <f t="shared" si="5"/>
        <v>2.0729414011939897</v>
      </c>
      <c r="J12" s="108">
        <f t="shared" si="7"/>
        <v>113.68301026225771</v>
      </c>
      <c r="M12" s="53" t="s">
        <v>33</v>
      </c>
      <c r="N12" s="43">
        <f>STDEV(E12:E24)/STDEV(A12:A24)</f>
        <v>2.6325658869295106E-2</v>
      </c>
      <c r="O12" t="s">
        <v>9</v>
      </c>
    </row>
    <row r="13" spans="1:20" ht="16.5" thickBot="1" x14ac:dyDescent="0.45">
      <c r="A13" s="47">
        <v>-0.13200000000000001</v>
      </c>
      <c r="B13" s="22">
        <f t="shared" si="0"/>
        <v>7.5757575757575752</v>
      </c>
      <c r="C13">
        <v>1.8720000000000001</v>
      </c>
      <c r="D13" s="48">
        <f t="shared" si="6"/>
        <v>0.99500000000000011</v>
      </c>
      <c r="E13" s="22">
        <f t="shared" si="1"/>
        <v>0.99802158135807673</v>
      </c>
      <c r="F13" s="49">
        <f t="shared" si="2"/>
        <v>99.802158135807673</v>
      </c>
      <c r="G13" s="49">
        <f t="shared" si="3"/>
        <v>0.19784186419232697</v>
      </c>
      <c r="H13" s="47">
        <f t="shared" si="4"/>
        <v>-2.1723069777150465</v>
      </c>
      <c r="I13" s="47">
        <f t="shared" si="5"/>
        <v>2.0403069777150464</v>
      </c>
      <c r="J13" s="108">
        <f t="shared" si="7"/>
        <v>113.45496009122007</v>
      </c>
      <c r="M13" s="54" t="s">
        <v>0</v>
      </c>
      <c r="N13" s="41">
        <f>STDEV(E24:E28)/STDEV(A24:A28)</f>
        <v>8.5762043560050266E-2</v>
      </c>
      <c r="O13" t="s">
        <v>10</v>
      </c>
    </row>
    <row r="14" spans="1:20" ht="16" x14ac:dyDescent="0.4">
      <c r="A14" s="50">
        <v>-0.16800000000000001</v>
      </c>
      <c r="B14" s="22">
        <f t="shared" si="0"/>
        <v>5.9523809523809517</v>
      </c>
      <c r="C14">
        <v>1.871</v>
      </c>
      <c r="D14" s="48">
        <f t="shared" si="6"/>
        <v>0.99399999999999999</v>
      </c>
      <c r="E14" s="22">
        <f t="shared" si="1"/>
        <v>0.99701854459289263</v>
      </c>
      <c r="F14" s="49">
        <f t="shared" si="2"/>
        <v>99.701854459289265</v>
      </c>
      <c r="G14" s="49">
        <f t="shared" si="3"/>
        <v>0.29814554071073474</v>
      </c>
      <c r="H14" s="47">
        <f t="shared" si="4"/>
        <v>-2.1785430127096035</v>
      </c>
      <c r="I14" s="47">
        <f t="shared" si="5"/>
        <v>2.0105430127096033</v>
      </c>
      <c r="J14" s="108">
        <f t="shared" si="7"/>
        <v>113.34093500570125</v>
      </c>
      <c r="M14" s="56" t="s">
        <v>16</v>
      </c>
      <c r="N14" s="44">
        <f>N12*B33/18/(E3/10000)</f>
        <v>0.42500544193936235</v>
      </c>
    </row>
    <row r="15" spans="1:20" x14ac:dyDescent="0.35">
      <c r="A15" s="50">
        <v>-0.29899999999999999</v>
      </c>
      <c r="B15" s="22">
        <f t="shared" si="0"/>
        <v>3.3444816053511706</v>
      </c>
      <c r="C15">
        <v>1.8620000000000001</v>
      </c>
      <c r="D15" s="48">
        <f t="shared" si="6"/>
        <v>0.9850000000000001</v>
      </c>
      <c r="E15" s="22">
        <f t="shared" si="1"/>
        <v>0.98799121370623677</v>
      </c>
      <c r="F15" s="49">
        <f t="shared" si="2"/>
        <v>98.799121370623681</v>
      </c>
      <c r="G15" s="49">
        <f t="shared" si="3"/>
        <v>1.2008786293763194</v>
      </c>
      <c r="H15" s="47">
        <f t="shared" si="4"/>
        <v>-2.2363212169880224</v>
      </c>
      <c r="I15" s="47">
        <f t="shared" si="5"/>
        <v>1.9373212169880225</v>
      </c>
      <c r="J15" s="108">
        <f t="shared" si="7"/>
        <v>112.31470923603193</v>
      </c>
      <c r="K15" s="18"/>
    </row>
    <row r="16" spans="1:20" x14ac:dyDescent="0.35">
      <c r="A16" s="50">
        <v>-0.54800000000000004</v>
      </c>
      <c r="B16" s="22">
        <f t="shared" si="0"/>
        <v>1.824817518248175</v>
      </c>
      <c r="C16" s="3">
        <v>1.855</v>
      </c>
      <c r="D16" s="48">
        <f t="shared" si="6"/>
        <v>0.97799999999999998</v>
      </c>
      <c r="E16" s="22">
        <f t="shared" si="1"/>
        <v>0.98096995634994866</v>
      </c>
      <c r="F16" s="49">
        <f t="shared" si="2"/>
        <v>98.096995634994869</v>
      </c>
      <c r="G16" s="49">
        <f t="shared" si="3"/>
        <v>1.9030043650051311</v>
      </c>
      <c r="H16" s="47">
        <f t="shared" si="4"/>
        <v>-2.2834232719151433</v>
      </c>
      <c r="I16" s="47">
        <f t="shared" si="5"/>
        <v>1.7354232719151432</v>
      </c>
      <c r="J16" s="108">
        <f t="shared" si="7"/>
        <v>111.51653363740022</v>
      </c>
      <c r="K16" s="18"/>
      <c r="P16" s="3"/>
      <c r="Q16" s="3"/>
      <c r="R16" s="3"/>
      <c r="S16" s="3"/>
      <c r="T16" s="3"/>
    </row>
    <row r="17" spans="1:18" x14ac:dyDescent="0.35">
      <c r="A17" s="50">
        <v>-0.85399999999999998</v>
      </c>
      <c r="B17" s="22">
        <f t="shared" si="0"/>
        <v>1.1709601873536299</v>
      </c>
      <c r="C17" s="35">
        <v>1.8480000000000001</v>
      </c>
      <c r="D17" s="48">
        <f t="shared" si="6"/>
        <v>0.97100000000000009</v>
      </c>
      <c r="E17" s="22">
        <f t="shared" si="1"/>
        <v>0.97394869899366077</v>
      </c>
      <c r="F17" s="49">
        <f t="shared" si="2"/>
        <v>97.394869899366071</v>
      </c>
      <c r="G17" s="49">
        <f t="shared" si="3"/>
        <v>2.6051301006339287</v>
      </c>
      <c r="H17" s="47">
        <f t="shared" si="4"/>
        <v>-2.3325521714970208</v>
      </c>
      <c r="I17" s="47">
        <f t="shared" si="5"/>
        <v>1.4785521714970207</v>
      </c>
      <c r="J17" s="108">
        <f t="shared" si="7"/>
        <v>110.71835803876854</v>
      </c>
      <c r="K17" s="18"/>
    </row>
    <row r="18" spans="1:18" x14ac:dyDescent="0.35">
      <c r="A18" s="50">
        <v>-1.1539999999999999</v>
      </c>
      <c r="B18" s="22">
        <f t="shared" si="0"/>
        <v>0.86655112651646449</v>
      </c>
      <c r="C18" s="35">
        <v>1.843</v>
      </c>
      <c r="D18" s="48">
        <f t="shared" si="6"/>
        <v>0.96599999999999997</v>
      </c>
      <c r="E18" s="22">
        <f t="shared" si="1"/>
        <v>0.96893351516774073</v>
      </c>
      <c r="F18" s="49">
        <f t="shared" si="2"/>
        <v>96.893351516774075</v>
      </c>
      <c r="G18" s="49">
        <f t="shared" si="3"/>
        <v>3.1066484832259249</v>
      </c>
      <c r="H18" s="47">
        <f t="shared" si="4"/>
        <v>-2.3689587679485653</v>
      </c>
      <c r="I18" s="47">
        <f t="shared" si="5"/>
        <v>1.2149587679485654</v>
      </c>
      <c r="J18" s="108">
        <f t="shared" si="7"/>
        <v>110.14823261117445</v>
      </c>
    </row>
    <row r="19" spans="1:18" x14ac:dyDescent="0.35">
      <c r="A19" s="50">
        <v>-1.5229999999999999</v>
      </c>
      <c r="B19" s="22">
        <f t="shared" si="0"/>
        <v>0.65659881812212739</v>
      </c>
      <c r="C19" s="35">
        <v>1.8380000000000001</v>
      </c>
      <c r="D19" s="48">
        <f t="shared" si="6"/>
        <v>0.96100000000000008</v>
      </c>
      <c r="E19" s="22">
        <f t="shared" si="1"/>
        <v>0.96391833134182081</v>
      </c>
      <c r="F19" s="49">
        <f t="shared" si="2"/>
        <v>96.391833134182079</v>
      </c>
      <c r="G19" s="49">
        <f t="shared" si="3"/>
        <v>3.6081668658179211</v>
      </c>
      <c r="H19" s="47">
        <f t="shared" si="4"/>
        <v>-2.4065198558919301</v>
      </c>
      <c r="I19" s="47">
        <f t="shared" si="5"/>
        <v>0.88351985589193016</v>
      </c>
      <c r="J19" s="108">
        <f t="shared" si="7"/>
        <v>109.57810718358039</v>
      </c>
    </row>
    <row r="20" spans="1:18" x14ac:dyDescent="0.35">
      <c r="A20" s="50">
        <v>-1.653</v>
      </c>
      <c r="B20" s="22">
        <f t="shared" si="0"/>
        <v>0.60496067755595884</v>
      </c>
      <c r="C20" s="35">
        <v>1.833</v>
      </c>
      <c r="D20" s="48">
        <f t="shared" si="6"/>
        <v>0.95599999999999996</v>
      </c>
      <c r="E20" s="22">
        <f t="shared" si="1"/>
        <v>0.95890314751590078</v>
      </c>
      <c r="F20" s="49">
        <f t="shared" si="2"/>
        <v>95.890314751590083</v>
      </c>
      <c r="G20" s="49">
        <f t="shared" si="3"/>
        <v>4.1096852484099173</v>
      </c>
      <c r="H20" s="47">
        <f t="shared" si="4"/>
        <v>-2.4452912352751373</v>
      </c>
      <c r="I20" s="47">
        <f t="shared" si="5"/>
        <v>0.79229123527513723</v>
      </c>
      <c r="J20" s="108">
        <f t="shared" si="7"/>
        <v>109.00798175598632</v>
      </c>
      <c r="P20" s="10"/>
      <c r="Q20" s="9"/>
      <c r="R20" s="9"/>
    </row>
    <row r="21" spans="1:18" x14ac:dyDescent="0.35">
      <c r="A21" s="50">
        <v>-1.9319999999999999</v>
      </c>
      <c r="B21" s="22">
        <f t="shared" si="0"/>
        <v>0.51759834368530022</v>
      </c>
      <c r="C21" s="35">
        <v>1.8280000000000001</v>
      </c>
      <c r="D21" s="48">
        <f t="shared" si="6"/>
        <v>0.95100000000000007</v>
      </c>
      <c r="E21" s="22">
        <f t="shared" si="1"/>
        <v>0.95388796368998086</v>
      </c>
      <c r="F21" s="49">
        <f t="shared" si="2"/>
        <v>95.388796368998086</v>
      </c>
      <c r="G21" s="49">
        <f t="shared" si="3"/>
        <v>4.6112036310019135</v>
      </c>
      <c r="H21" s="47">
        <f t="shared" si="4"/>
        <v>-2.48533236089549</v>
      </c>
      <c r="I21" s="47">
        <f t="shared" si="5"/>
        <v>0.55333236089549009</v>
      </c>
      <c r="J21" s="108">
        <f t="shared" si="7"/>
        <v>108.43785632839224</v>
      </c>
      <c r="P21" s="10"/>
      <c r="Q21" s="9"/>
      <c r="R21" s="9"/>
    </row>
    <row r="22" spans="1:18" x14ac:dyDescent="0.35">
      <c r="A22" s="50">
        <v>-2.2330000000000001</v>
      </c>
      <c r="B22" s="6">
        <f t="shared" si="0"/>
        <v>0.44782803403493054</v>
      </c>
      <c r="C22" s="35">
        <v>1.8160000000000001</v>
      </c>
      <c r="D22" s="48">
        <f t="shared" si="6"/>
        <v>0.93900000000000006</v>
      </c>
      <c r="E22" s="22">
        <f t="shared" si="1"/>
        <v>0.94185152250777293</v>
      </c>
      <c r="F22" s="49">
        <f t="shared" si="2"/>
        <v>94.185152250777293</v>
      </c>
      <c r="G22" s="49">
        <f t="shared" si="3"/>
        <v>5.8148477492227073</v>
      </c>
      <c r="H22" s="47">
        <f t="shared" si="4"/>
        <v>-2.5870001506637985</v>
      </c>
      <c r="I22" s="47">
        <f t="shared" si="5"/>
        <v>0.35400015066379842</v>
      </c>
      <c r="J22" s="108">
        <f t="shared" si="7"/>
        <v>107.06955530216649</v>
      </c>
      <c r="P22" s="10"/>
      <c r="Q22" s="9"/>
      <c r="R22" s="9"/>
    </row>
    <row r="23" spans="1:18" ht="15" thickBot="1" x14ac:dyDescent="0.4">
      <c r="A23" s="50">
        <v>-2.331</v>
      </c>
      <c r="B23" s="6">
        <f t="shared" si="0"/>
        <v>0.42900042900042901</v>
      </c>
      <c r="C23" s="35">
        <v>1.8129999999999999</v>
      </c>
      <c r="D23" s="48">
        <f t="shared" si="6"/>
        <v>0.93599999999999994</v>
      </c>
      <c r="E23" s="22">
        <f t="shared" si="1"/>
        <v>0.93884241221222076</v>
      </c>
      <c r="F23" s="49">
        <f t="shared" si="2"/>
        <v>93.884241221222069</v>
      </c>
      <c r="G23" s="49">
        <f t="shared" si="3"/>
        <v>6.1157587787779306</v>
      </c>
      <c r="H23" s="47">
        <f t="shared" si="4"/>
        <v>-2.6137301945110227</v>
      </c>
      <c r="I23" s="47">
        <f t="shared" si="5"/>
        <v>0.28273019451102277</v>
      </c>
      <c r="J23" s="108">
        <f t="shared" si="7"/>
        <v>106.72748004561004</v>
      </c>
      <c r="P23" s="10"/>
      <c r="Q23" s="9"/>
      <c r="R23" s="9"/>
    </row>
    <row r="24" spans="1:18" ht="15" thickBot="1" x14ac:dyDescent="0.4">
      <c r="A24" s="64">
        <v>-2.77</v>
      </c>
      <c r="B24" s="67">
        <f t="shared" si="0"/>
        <v>0.36101083032490977</v>
      </c>
      <c r="C24" s="66">
        <v>1.7969999999999999</v>
      </c>
      <c r="D24" s="60">
        <f t="shared" si="6"/>
        <v>0.91999999999999993</v>
      </c>
      <c r="E24" s="61">
        <f t="shared" si="1"/>
        <v>0.92279382396927678</v>
      </c>
      <c r="F24" s="58">
        <f t="shared" si="2"/>
        <v>92.279382396927673</v>
      </c>
      <c r="G24" s="58">
        <f t="shared" si="3"/>
        <v>7.720617603072327</v>
      </c>
      <c r="H24" s="59">
        <f t="shared" si="4"/>
        <v>-2.766163471840704</v>
      </c>
      <c r="I24" s="59">
        <f t="shared" si="5"/>
        <v>-3.8365281592960265E-3</v>
      </c>
      <c r="J24" s="115">
        <f t="shared" si="7"/>
        <v>104.903078677309</v>
      </c>
      <c r="Q24" s="9"/>
      <c r="R24" s="9"/>
    </row>
    <row r="25" spans="1:18" x14ac:dyDescent="0.35">
      <c r="A25" s="50">
        <v>-2.89</v>
      </c>
      <c r="B25" s="6">
        <f t="shared" si="0"/>
        <v>0.34602076124567471</v>
      </c>
      <c r="C25" s="35">
        <v>1.786</v>
      </c>
      <c r="D25" s="48">
        <f t="shared" si="6"/>
        <v>0.90900000000000003</v>
      </c>
      <c r="E25" s="22">
        <f t="shared" si="1"/>
        <v>0.91176041955225295</v>
      </c>
      <c r="F25" s="49">
        <f t="shared" si="2"/>
        <v>91.176041955225301</v>
      </c>
      <c r="G25" s="49">
        <f t="shared" si="3"/>
        <v>8.8239580447746988</v>
      </c>
      <c r="H25" s="47">
        <f t="shared" si="4"/>
        <v>-2.8817058723332711</v>
      </c>
      <c r="I25" s="47">
        <f t="shared" si="5"/>
        <v>-8.2941276667289898E-3</v>
      </c>
      <c r="J25" s="108">
        <f t="shared" si="7"/>
        <v>103.64880273660206</v>
      </c>
      <c r="Q25" s="9"/>
      <c r="R25" s="9"/>
    </row>
    <row r="26" spans="1:18" x14ac:dyDescent="0.35">
      <c r="A26" s="50">
        <v>-2.9</v>
      </c>
      <c r="B26" s="6">
        <f t="shared" si="0"/>
        <v>0.34482758620689657</v>
      </c>
      <c r="C26" s="35">
        <v>1.7829999999999999</v>
      </c>
      <c r="D26" s="48">
        <f t="shared" si="6"/>
        <v>0.90599999999999992</v>
      </c>
      <c r="E26" s="22">
        <f t="shared" si="1"/>
        <v>0.90875130925670089</v>
      </c>
      <c r="F26" s="49">
        <f t="shared" si="2"/>
        <v>90.875130925670092</v>
      </c>
      <c r="G26" s="49">
        <f t="shared" si="3"/>
        <v>9.1248690743299079</v>
      </c>
      <c r="H26" s="47">
        <f t="shared" si="4"/>
        <v>-2.9149119480668819</v>
      </c>
      <c r="I26" s="47">
        <f t="shared" si="5"/>
        <v>1.4911948066882008E-2</v>
      </c>
      <c r="J26" s="108">
        <f t="shared" si="7"/>
        <v>103.30672748004559</v>
      </c>
      <c r="Q26" s="9"/>
      <c r="R26" s="9"/>
    </row>
    <row r="27" spans="1:18" x14ac:dyDescent="0.35">
      <c r="A27" s="50">
        <v>-3.09</v>
      </c>
      <c r="B27" s="6">
        <f t="shared" si="0"/>
        <v>0.3236245954692557</v>
      </c>
      <c r="C27" s="35">
        <v>1.768</v>
      </c>
      <c r="D27" s="48">
        <f t="shared" si="6"/>
        <v>0.89100000000000001</v>
      </c>
      <c r="E27" s="22">
        <f t="shared" si="1"/>
        <v>0.89370575777894101</v>
      </c>
      <c r="F27" s="49">
        <f t="shared" si="2"/>
        <v>89.370575777894103</v>
      </c>
      <c r="G27" s="49">
        <f t="shared" si="3"/>
        <v>10.629424222105897</v>
      </c>
      <c r="H27" s="47">
        <f t="shared" si="4"/>
        <v>-3.0931232018232646</v>
      </c>
      <c r="I27" s="47">
        <f t="shared" si="5"/>
        <v>3.123201823264754E-3</v>
      </c>
      <c r="J27" s="108">
        <f t="shared" si="7"/>
        <v>101.5963511972634</v>
      </c>
      <c r="Q27" s="9"/>
      <c r="R27" s="9"/>
    </row>
    <row r="28" spans="1:18" x14ac:dyDescent="0.35">
      <c r="A28" s="50">
        <v>-3.19</v>
      </c>
      <c r="B28" s="6">
        <f t="shared" si="0"/>
        <v>0.31347962382445144</v>
      </c>
      <c r="C28" s="35">
        <v>1.7609999999999999</v>
      </c>
      <c r="D28" s="48">
        <f t="shared" si="6"/>
        <v>0.8839999999999999</v>
      </c>
      <c r="E28" s="22">
        <f t="shared" si="1"/>
        <v>0.8866845004226529</v>
      </c>
      <c r="F28" s="49">
        <f t="shared" si="2"/>
        <v>88.668450042265292</v>
      </c>
      <c r="G28" s="49">
        <f t="shared" si="3"/>
        <v>11.331549957734708</v>
      </c>
      <c r="H28" s="47">
        <f t="shared" si="4"/>
        <v>-3.1839647909094171</v>
      </c>
      <c r="I28" s="47">
        <f t="shared" si="5"/>
        <v>-6.0352090905828604E-3</v>
      </c>
      <c r="J28" s="108">
        <f t="shared" si="7"/>
        <v>100.79817559863169</v>
      </c>
      <c r="Q28" s="9"/>
      <c r="R28" s="9"/>
    </row>
    <row r="29" spans="1:18" x14ac:dyDescent="0.35">
      <c r="B29" s="6"/>
      <c r="D29" s="48"/>
      <c r="E29" s="22"/>
      <c r="F29" s="49"/>
      <c r="G29" s="49"/>
      <c r="H29" s="47"/>
      <c r="I29" s="47"/>
      <c r="Q29" s="9"/>
      <c r="R29" s="9"/>
    </row>
    <row r="31" spans="1:18" ht="15" x14ac:dyDescent="0.4">
      <c r="A31" s="13" t="s">
        <v>4</v>
      </c>
      <c r="B31" s="13"/>
      <c r="C31" s="23"/>
      <c r="D31" s="14"/>
      <c r="G31" s="34" t="s">
        <v>14</v>
      </c>
    </row>
    <row r="32" spans="1:18" x14ac:dyDescent="0.35">
      <c r="A32" s="3" t="s">
        <v>26</v>
      </c>
      <c r="B32" s="27">
        <f>STDEV(D12:D24)/STDEV(A12:A24)</f>
        <v>2.6245956063700154E-2</v>
      </c>
      <c r="C32" s="5" t="s">
        <v>24</v>
      </c>
      <c r="D32" s="28">
        <f>COUNT(D12:D24)</f>
        <v>13</v>
      </c>
      <c r="G32" s="35" t="s">
        <v>26</v>
      </c>
      <c r="H32" s="30">
        <f>-STDEV(B24:B28)/STDEV(G24:G28)</f>
        <v>-1.3137246703153334E-2</v>
      </c>
      <c r="I32" s="5" t="s">
        <v>24</v>
      </c>
      <c r="J32" s="28">
        <f>COUNT(B24:B28)</f>
        <v>5</v>
      </c>
    </row>
    <row r="33" spans="1:18" ht="15.5" x14ac:dyDescent="0.35">
      <c r="A33" s="3" t="s">
        <v>3</v>
      </c>
      <c r="B33" s="24">
        <f>AVERAGE(D12:D24)-B32*AVERAGE(A12:A24)</f>
        <v>0.99697242883869808</v>
      </c>
      <c r="C33" s="26" t="s">
        <v>7</v>
      </c>
      <c r="G33" s="35" t="s">
        <v>3</v>
      </c>
      <c r="H33" s="31">
        <f>AVERAGE(B24:B28)-H32*AVERAGE(G24:G28)</f>
        <v>0.46293919215230611</v>
      </c>
      <c r="I33" s="25"/>
    </row>
    <row r="34" spans="1:18" x14ac:dyDescent="0.35">
      <c r="Q34" s="15"/>
      <c r="R34" s="1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4"/>
  <sheetViews>
    <sheetView zoomScale="60" zoomScaleNormal="60" workbookViewId="0">
      <selection activeCell="M15" sqref="M15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1.36328125" customWidth="1"/>
    <col min="11" max="11" width="9.36328125" customWidth="1"/>
    <col min="12" max="12" width="10.453125" customWidth="1"/>
    <col min="13" max="13" width="19.1796875" customWidth="1"/>
    <col min="14" max="14" width="8.179687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44804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31.038</v>
      </c>
      <c r="J3" s="116"/>
    </row>
    <row r="4" spans="1:20" x14ac:dyDescent="0.35">
      <c r="A4" s="3" t="s">
        <v>22</v>
      </c>
      <c r="B4" s="102">
        <v>0.76700000000000002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B31/B4</f>
        <v>1.3685913033151262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-1/H31</f>
        <v>-2.1585238597748306</v>
      </c>
      <c r="O8" t="s">
        <v>12</v>
      </c>
    </row>
    <row r="9" spans="1:20" ht="15" x14ac:dyDescent="0.4">
      <c r="A9" s="47">
        <v>-2.5999999999999999E-2</v>
      </c>
      <c r="B9" s="22">
        <f t="shared" ref="B9:B26" si="0">-1/A9</f>
        <v>38.46153846153846</v>
      </c>
      <c r="C9">
        <v>1.8220000000000001</v>
      </c>
      <c r="D9" s="48">
        <f>C9-$B$3-$B$4</f>
        <v>1.0550000000000002</v>
      </c>
      <c r="E9" s="22">
        <f t="shared" ref="E9:E26" si="1">(D9/$B$31)</f>
        <v>1.0050399374378349</v>
      </c>
      <c r="F9" s="49">
        <f t="shared" ref="F9:F26" si="2">100*E9</f>
        <v>100.5039937437835</v>
      </c>
      <c r="G9" s="49">
        <f t="shared" ref="G9:G26" si="3">100-F9</f>
        <v>-0.50399374378349648</v>
      </c>
      <c r="H9" s="47">
        <f t="shared" ref="H9:H26" si="4">-1/($H$31+$H$30*G9)</f>
        <v>-2.1381203153457271</v>
      </c>
      <c r="I9" s="47">
        <f t="shared" ref="I9:I26" si="5">A9-H9</f>
        <v>2.1121203153457273</v>
      </c>
      <c r="J9" s="108">
        <f>D9/$B$4*100</f>
        <v>137.54889178617995</v>
      </c>
      <c r="M9" s="53" t="s">
        <v>23</v>
      </c>
      <c r="N9" s="40">
        <f>H21</f>
        <v>-2.5209832926335278</v>
      </c>
      <c r="O9" t="s">
        <v>5</v>
      </c>
    </row>
    <row r="10" spans="1:20" ht="15.5" thickBot="1" x14ac:dyDescent="0.45">
      <c r="A10" s="50">
        <v>-6.8000000000000005E-2</v>
      </c>
      <c r="B10" s="22">
        <f t="shared" si="0"/>
        <v>14.705882352941176</v>
      </c>
      <c r="C10">
        <v>1.819</v>
      </c>
      <c r="D10" s="48">
        <f t="shared" ref="D10:D26" si="6">C10-$B$3-$B$4</f>
        <v>1.052</v>
      </c>
      <c r="E10" s="22">
        <f t="shared" si="1"/>
        <v>1.0021820039664475</v>
      </c>
      <c r="F10" s="49">
        <f t="shared" si="2"/>
        <v>100.21820039664475</v>
      </c>
      <c r="G10" s="49">
        <f t="shared" si="3"/>
        <v>-0.21820039664474677</v>
      </c>
      <c r="H10" s="47">
        <f t="shared" si="4"/>
        <v>-2.1496426905237525</v>
      </c>
      <c r="I10" s="47">
        <f t="shared" si="5"/>
        <v>2.0816426905237524</v>
      </c>
      <c r="J10" s="108">
        <f t="shared" ref="J10:J26" si="7">D10/$B$4*100</f>
        <v>137.15775749674054</v>
      </c>
      <c r="M10" s="54" t="s">
        <v>31</v>
      </c>
      <c r="N10" s="41">
        <f>F21</f>
        <v>92.40651557485306</v>
      </c>
      <c r="O10" t="s">
        <v>6</v>
      </c>
    </row>
    <row r="11" spans="1:20" ht="16.5" customHeight="1" thickBot="1" x14ac:dyDescent="0.45">
      <c r="A11" s="50">
        <v>-0.11</v>
      </c>
      <c r="B11" s="22">
        <f t="shared" si="0"/>
        <v>9.0909090909090917</v>
      </c>
      <c r="C11">
        <v>1.819</v>
      </c>
      <c r="D11" s="48">
        <f t="shared" si="6"/>
        <v>1.052</v>
      </c>
      <c r="E11" s="22">
        <f t="shared" si="1"/>
        <v>1.0021820039664475</v>
      </c>
      <c r="F11" s="49">
        <f t="shared" si="2"/>
        <v>100.21820039664475</v>
      </c>
      <c r="G11" s="49">
        <f t="shared" si="3"/>
        <v>-0.21820039664474677</v>
      </c>
      <c r="H11" s="47">
        <f t="shared" si="4"/>
        <v>-2.1496426905237525</v>
      </c>
      <c r="I11" s="47">
        <f t="shared" si="5"/>
        <v>2.0396426905237526</v>
      </c>
      <c r="J11" s="108">
        <f t="shared" si="7"/>
        <v>137.15775749674054</v>
      </c>
      <c r="M11" s="55" t="s">
        <v>1</v>
      </c>
      <c r="N11" s="42">
        <f>STDEV(I9:I21)/STDEV(E9:E21)</f>
        <v>23.934877174409639</v>
      </c>
      <c r="O11" t="s">
        <v>8</v>
      </c>
    </row>
    <row r="12" spans="1:20" ht="16" x14ac:dyDescent="0.4">
      <c r="A12" s="47">
        <v>-0.17199999999999999</v>
      </c>
      <c r="B12" s="22">
        <f t="shared" si="0"/>
        <v>5.8139534883720936</v>
      </c>
      <c r="C12">
        <v>1.8149999999999999</v>
      </c>
      <c r="D12" s="48">
        <f t="shared" si="6"/>
        <v>1.048</v>
      </c>
      <c r="E12" s="22">
        <f t="shared" si="1"/>
        <v>0.99837142600459794</v>
      </c>
      <c r="F12" s="49">
        <f t="shared" si="2"/>
        <v>99.837142600459799</v>
      </c>
      <c r="G12" s="49">
        <f t="shared" si="3"/>
        <v>0.16285739954020073</v>
      </c>
      <c r="H12" s="47">
        <f t="shared" si="4"/>
        <v>-2.1652004378915057</v>
      </c>
      <c r="I12" s="47">
        <f t="shared" si="5"/>
        <v>1.9932004378915058</v>
      </c>
      <c r="J12" s="108">
        <f t="shared" si="7"/>
        <v>136.63624511082136</v>
      </c>
      <c r="M12" s="53" t="s">
        <v>33</v>
      </c>
      <c r="N12" s="43">
        <f>STDEV(E9:E21)/STDEV(A9:A21)</f>
        <v>3.5151882311506434E-2</v>
      </c>
      <c r="O12" t="s">
        <v>9</v>
      </c>
    </row>
    <row r="13" spans="1:20" ht="16.5" thickBot="1" x14ac:dyDescent="0.45">
      <c r="A13" s="47">
        <v>-0.219</v>
      </c>
      <c r="B13" s="22">
        <f t="shared" si="0"/>
        <v>4.5662100456621006</v>
      </c>
      <c r="C13" s="3">
        <v>1.8120000000000001</v>
      </c>
      <c r="D13" s="48">
        <f t="shared" si="6"/>
        <v>1.0449999999999999</v>
      </c>
      <c r="E13" s="22">
        <f t="shared" si="1"/>
        <v>0.99551349253321053</v>
      </c>
      <c r="F13" s="49">
        <f t="shared" si="2"/>
        <v>99.55134925332105</v>
      </c>
      <c r="G13" s="49">
        <f t="shared" si="3"/>
        <v>0.44865074667895044</v>
      </c>
      <c r="H13" s="47">
        <f t="shared" si="4"/>
        <v>-2.1770173386440663</v>
      </c>
      <c r="I13" s="47">
        <f t="shared" si="5"/>
        <v>1.9580173386440662</v>
      </c>
      <c r="J13" s="108">
        <f t="shared" si="7"/>
        <v>136.24511082138199</v>
      </c>
      <c r="M13" s="54" t="s">
        <v>0</v>
      </c>
      <c r="N13" s="41">
        <f>STDEV(E21:E26)/STDEV(A21:A26)</f>
        <v>0.13358823912504722</v>
      </c>
      <c r="O13" t="s">
        <v>10</v>
      </c>
    </row>
    <row r="14" spans="1:20" ht="16" x14ac:dyDescent="0.4">
      <c r="A14" s="50">
        <v>-0.311</v>
      </c>
      <c r="B14" s="22">
        <f t="shared" si="0"/>
        <v>3.215434083601286</v>
      </c>
      <c r="C14" s="35">
        <v>1.8089999999999999</v>
      </c>
      <c r="D14" s="48">
        <f t="shared" si="6"/>
        <v>1.0419999999999998</v>
      </c>
      <c r="E14" s="22">
        <f t="shared" si="1"/>
        <v>0.99265555906182323</v>
      </c>
      <c r="F14" s="49">
        <f t="shared" si="2"/>
        <v>99.265555906182328</v>
      </c>
      <c r="G14" s="49">
        <f t="shared" si="3"/>
        <v>0.73444409381767173</v>
      </c>
      <c r="H14" s="47">
        <f t="shared" si="4"/>
        <v>-2.188963932171728</v>
      </c>
      <c r="I14" s="47">
        <f t="shared" si="5"/>
        <v>1.8779639321717281</v>
      </c>
      <c r="J14" s="108">
        <f t="shared" si="7"/>
        <v>135.85397653194261</v>
      </c>
      <c r="M14" s="56" t="s">
        <v>16</v>
      </c>
      <c r="N14" s="44">
        <f>N12*B31/18/(E3/10000)</f>
        <v>0.66046756032510401</v>
      </c>
    </row>
    <row r="15" spans="1:20" x14ac:dyDescent="0.35">
      <c r="A15" s="50">
        <v>-0.32300000000000001</v>
      </c>
      <c r="B15" s="22">
        <f t="shared" si="0"/>
        <v>3.0959752321981422</v>
      </c>
      <c r="C15" s="35">
        <v>1.8029999999999999</v>
      </c>
      <c r="D15" s="48">
        <f t="shared" si="6"/>
        <v>1.036</v>
      </c>
      <c r="E15" s="22">
        <f t="shared" si="1"/>
        <v>0.98693969211904908</v>
      </c>
      <c r="F15" s="49">
        <f t="shared" si="2"/>
        <v>98.693969211904914</v>
      </c>
      <c r="G15" s="49">
        <f t="shared" si="3"/>
        <v>1.3060307880950859</v>
      </c>
      <c r="H15" s="47">
        <f t="shared" si="4"/>
        <v>-2.2132548327452692</v>
      </c>
      <c r="I15" s="47">
        <f t="shared" si="5"/>
        <v>1.8902548327452693</v>
      </c>
      <c r="J15" s="108">
        <f t="shared" si="7"/>
        <v>135.07170795306388</v>
      </c>
      <c r="K15" s="18"/>
      <c r="L15" s="19"/>
    </row>
    <row r="16" spans="1:20" x14ac:dyDescent="0.35">
      <c r="A16" s="50">
        <v>-0.374</v>
      </c>
      <c r="B16" s="22">
        <f t="shared" si="0"/>
        <v>2.6737967914438503</v>
      </c>
      <c r="C16" s="35">
        <v>1.7969999999999999</v>
      </c>
      <c r="D16" s="48">
        <f t="shared" si="6"/>
        <v>1.0299999999999998</v>
      </c>
      <c r="E16" s="22">
        <f t="shared" si="1"/>
        <v>0.98122382517627438</v>
      </c>
      <c r="F16" s="49">
        <f t="shared" si="2"/>
        <v>98.122382517627443</v>
      </c>
      <c r="G16" s="49">
        <f t="shared" si="3"/>
        <v>1.8776174823725569</v>
      </c>
      <c r="H16" s="47">
        <f t="shared" si="4"/>
        <v>-2.238090894497486</v>
      </c>
      <c r="I16" s="47">
        <f t="shared" si="5"/>
        <v>1.8640908944974859</v>
      </c>
      <c r="J16" s="108">
        <f t="shared" si="7"/>
        <v>134.28943937418512</v>
      </c>
      <c r="K16" s="18"/>
      <c r="L16" s="19"/>
      <c r="P16" s="3"/>
      <c r="Q16" s="3"/>
      <c r="R16" s="3"/>
      <c r="S16" s="3"/>
      <c r="T16" s="3"/>
    </row>
    <row r="17" spans="1:18" x14ac:dyDescent="0.35">
      <c r="A17" s="50">
        <v>-0.41499999999999998</v>
      </c>
      <c r="B17" s="22">
        <f t="shared" si="0"/>
        <v>2.4096385542168677</v>
      </c>
      <c r="C17" s="35">
        <v>1.7909999999999999</v>
      </c>
      <c r="D17" s="48">
        <f t="shared" si="6"/>
        <v>1.024</v>
      </c>
      <c r="E17" s="22">
        <f t="shared" si="1"/>
        <v>0.97550795823350023</v>
      </c>
      <c r="F17" s="49">
        <f t="shared" si="2"/>
        <v>97.550795823350029</v>
      </c>
      <c r="G17" s="49">
        <f t="shared" si="3"/>
        <v>2.449204176649971</v>
      </c>
      <c r="H17" s="47">
        <f t="shared" si="4"/>
        <v>-2.2634906783046702</v>
      </c>
      <c r="I17" s="47">
        <f t="shared" si="5"/>
        <v>1.8484906783046702</v>
      </c>
      <c r="J17" s="108">
        <f t="shared" si="7"/>
        <v>133.50717079530639</v>
      </c>
      <c r="K17" s="18"/>
      <c r="L17" s="19"/>
    </row>
    <row r="18" spans="1:18" x14ac:dyDescent="0.35">
      <c r="A18" s="50">
        <v>-0.502</v>
      </c>
      <c r="B18" s="22">
        <f t="shared" si="0"/>
        <v>1.9920318725099602</v>
      </c>
      <c r="C18" s="35">
        <v>1.7829999999999999</v>
      </c>
      <c r="D18" s="48">
        <f t="shared" si="6"/>
        <v>1.016</v>
      </c>
      <c r="E18" s="22">
        <f t="shared" si="1"/>
        <v>0.96788680230980095</v>
      </c>
      <c r="F18" s="49">
        <f t="shared" si="2"/>
        <v>96.788680230980091</v>
      </c>
      <c r="G18" s="49">
        <f t="shared" si="3"/>
        <v>3.2113197690199087</v>
      </c>
      <c r="H18" s="47">
        <f t="shared" si="4"/>
        <v>-2.298267640124366</v>
      </c>
      <c r="I18" s="47">
        <f t="shared" si="5"/>
        <v>1.796267640124366</v>
      </c>
      <c r="J18" s="108">
        <f t="shared" si="7"/>
        <v>132.46414602346806</v>
      </c>
    </row>
    <row r="19" spans="1:18" x14ac:dyDescent="0.35">
      <c r="A19" s="50">
        <v>-1.004</v>
      </c>
      <c r="B19" s="22">
        <f t="shared" si="0"/>
        <v>0.99601593625498008</v>
      </c>
      <c r="C19" s="35">
        <v>1.7709999999999999</v>
      </c>
      <c r="D19" s="48">
        <f t="shared" si="6"/>
        <v>1.004</v>
      </c>
      <c r="E19" s="22">
        <f t="shared" si="1"/>
        <v>0.9564550684242521</v>
      </c>
      <c r="F19" s="49">
        <f t="shared" si="2"/>
        <v>95.645506842425206</v>
      </c>
      <c r="G19" s="49">
        <f t="shared" si="3"/>
        <v>4.3544931575747938</v>
      </c>
      <c r="H19" s="47">
        <f t="shared" si="4"/>
        <v>-2.3524840652025558</v>
      </c>
      <c r="I19" s="47">
        <f t="shared" si="5"/>
        <v>1.3484840652025558</v>
      </c>
      <c r="J19" s="108">
        <f t="shared" si="7"/>
        <v>130.89960886571055</v>
      </c>
    </row>
    <row r="20" spans="1:18" ht="15" thickBot="1" x14ac:dyDescent="0.4">
      <c r="A20" s="50">
        <v>-1.84</v>
      </c>
      <c r="B20" s="22">
        <f t="shared" si="0"/>
        <v>0.54347826086956519</v>
      </c>
      <c r="C20" s="35">
        <v>1.752</v>
      </c>
      <c r="D20" s="48">
        <f t="shared" si="6"/>
        <v>0.98499999999999999</v>
      </c>
      <c r="E20" s="22">
        <f t="shared" si="1"/>
        <v>0.93835482310546647</v>
      </c>
      <c r="F20" s="49">
        <f t="shared" si="2"/>
        <v>93.835482310546652</v>
      </c>
      <c r="G20" s="49">
        <f t="shared" si="3"/>
        <v>6.1645176894533478</v>
      </c>
      <c r="H20" s="47">
        <f t="shared" si="4"/>
        <v>-2.4437610682406579</v>
      </c>
      <c r="I20" s="47">
        <f t="shared" si="5"/>
        <v>0.60376106824065778</v>
      </c>
      <c r="J20" s="108">
        <f t="shared" si="7"/>
        <v>128.4224250325945</v>
      </c>
      <c r="P20" s="10"/>
      <c r="Q20" s="9"/>
      <c r="R20" s="9"/>
    </row>
    <row r="21" spans="1:18" ht="15" thickBot="1" x14ac:dyDescent="0.4">
      <c r="A21" s="64">
        <v>-2.42</v>
      </c>
      <c r="B21" s="61">
        <f t="shared" si="0"/>
        <v>0.41322314049586778</v>
      </c>
      <c r="C21" s="66">
        <v>1.7370000000000001</v>
      </c>
      <c r="D21" s="60">
        <f t="shared" si="6"/>
        <v>0.97000000000000008</v>
      </c>
      <c r="E21" s="61">
        <f t="shared" si="1"/>
        <v>0.92406515574853054</v>
      </c>
      <c r="F21" s="58">
        <f t="shared" si="2"/>
        <v>92.40651557485306</v>
      </c>
      <c r="G21" s="58">
        <f t="shared" si="3"/>
        <v>7.59348442514694</v>
      </c>
      <c r="H21" s="59">
        <f t="shared" si="4"/>
        <v>-2.5209832926335278</v>
      </c>
      <c r="I21" s="59">
        <f t="shared" si="5"/>
        <v>0.1009832926335279</v>
      </c>
      <c r="J21" s="115">
        <f t="shared" si="7"/>
        <v>126.46675358539765</v>
      </c>
      <c r="P21" s="10"/>
      <c r="Q21" s="9"/>
      <c r="R21" s="9"/>
    </row>
    <row r="22" spans="1:18" x14ac:dyDescent="0.35">
      <c r="A22" s="50">
        <v>-3.11</v>
      </c>
      <c r="B22" s="6">
        <f t="shared" si="0"/>
        <v>0.32154340836012862</v>
      </c>
      <c r="C22" s="35">
        <v>1.675</v>
      </c>
      <c r="D22" s="48">
        <f t="shared" si="6"/>
        <v>0.90800000000000003</v>
      </c>
      <c r="E22" s="22">
        <f t="shared" si="1"/>
        <v>0.86500119733986158</v>
      </c>
      <c r="F22" s="49">
        <f t="shared" si="2"/>
        <v>86.500119733986153</v>
      </c>
      <c r="G22" s="49">
        <f t="shared" si="3"/>
        <v>13.499880266013847</v>
      </c>
      <c r="H22" s="47">
        <f t="shared" si="4"/>
        <v>-2.8997226690624416</v>
      </c>
      <c r="I22" s="47">
        <f t="shared" si="5"/>
        <v>-0.21027733093755829</v>
      </c>
      <c r="J22" s="108">
        <f t="shared" si="7"/>
        <v>118.38331160365058</v>
      </c>
      <c r="P22" s="10"/>
      <c r="Q22" s="9"/>
      <c r="R22" s="9"/>
    </row>
    <row r="23" spans="1:18" x14ac:dyDescent="0.35">
      <c r="A23" s="50">
        <v>-3.34</v>
      </c>
      <c r="B23" s="6">
        <f t="shared" si="0"/>
        <v>0.29940119760479045</v>
      </c>
      <c r="C23" s="35">
        <v>1.641</v>
      </c>
      <c r="D23" s="48">
        <f t="shared" si="6"/>
        <v>0.874</v>
      </c>
      <c r="E23" s="22">
        <f t="shared" si="1"/>
        <v>0.83261128466413981</v>
      </c>
      <c r="F23" s="49">
        <f t="shared" si="2"/>
        <v>83.261128466413979</v>
      </c>
      <c r="G23" s="49">
        <f t="shared" si="3"/>
        <v>16.738871533586021</v>
      </c>
      <c r="H23" s="47">
        <f t="shared" si="4"/>
        <v>-3.1600708448078167</v>
      </c>
      <c r="I23" s="47">
        <f t="shared" si="5"/>
        <v>-0.17992915519218311</v>
      </c>
      <c r="J23" s="108">
        <f t="shared" si="7"/>
        <v>113.95045632333766</v>
      </c>
      <c r="P23" s="10"/>
      <c r="Q23" s="9"/>
      <c r="R23" s="9"/>
    </row>
    <row r="24" spans="1:18" x14ac:dyDescent="0.35">
      <c r="A24" s="50">
        <v>-3.34</v>
      </c>
      <c r="B24" s="6">
        <f t="shared" si="0"/>
        <v>0.29940119760479045</v>
      </c>
      <c r="C24" s="35">
        <v>1.627</v>
      </c>
      <c r="D24" s="48">
        <f t="shared" si="6"/>
        <v>0.86</v>
      </c>
      <c r="E24" s="22">
        <f t="shared" si="1"/>
        <v>0.81927426179766616</v>
      </c>
      <c r="F24" s="49">
        <f t="shared" si="2"/>
        <v>81.927426179766613</v>
      </c>
      <c r="G24" s="49">
        <f t="shared" si="3"/>
        <v>18.072573820233387</v>
      </c>
      <c r="H24" s="47">
        <f t="shared" si="4"/>
        <v>-3.2813829417827654</v>
      </c>
      <c r="I24" s="47">
        <f t="shared" si="5"/>
        <v>-5.8617058217234508E-2</v>
      </c>
      <c r="J24" s="108">
        <f t="shared" si="7"/>
        <v>112.1251629726206</v>
      </c>
      <c r="Q24" s="9"/>
      <c r="R24" s="9"/>
    </row>
    <row r="25" spans="1:18" x14ac:dyDescent="0.35">
      <c r="A25" s="50">
        <v>-3.53</v>
      </c>
      <c r="B25" s="6">
        <f t="shared" si="0"/>
        <v>0.28328611898016998</v>
      </c>
      <c r="C25" s="35">
        <v>1.591</v>
      </c>
      <c r="D25" s="48">
        <f t="shared" si="6"/>
        <v>0.82399999999999995</v>
      </c>
      <c r="E25" s="22">
        <f t="shared" si="1"/>
        <v>0.78497906014101959</v>
      </c>
      <c r="F25" s="49">
        <f t="shared" si="2"/>
        <v>78.497906014101957</v>
      </c>
      <c r="G25" s="49">
        <f t="shared" si="3"/>
        <v>21.502093985898043</v>
      </c>
      <c r="H25" s="47">
        <f t="shared" si="4"/>
        <v>-3.6407815377516028</v>
      </c>
      <c r="I25" s="47">
        <f t="shared" si="5"/>
        <v>0.11078153775160304</v>
      </c>
      <c r="J25" s="108">
        <f t="shared" si="7"/>
        <v>107.4315514993481</v>
      </c>
      <c r="Q25" s="9"/>
      <c r="R25" s="9"/>
    </row>
    <row r="26" spans="1:18" x14ac:dyDescent="0.35">
      <c r="A26" s="50">
        <v>-3.58</v>
      </c>
      <c r="B26" s="6">
        <f t="shared" si="0"/>
        <v>0.27932960893854747</v>
      </c>
      <c r="C26" s="35">
        <v>1.5720000000000001</v>
      </c>
      <c r="D26" s="48">
        <f t="shared" si="6"/>
        <v>0.80500000000000005</v>
      </c>
      <c r="E26" s="22">
        <f t="shared" si="1"/>
        <v>0.76687881482223408</v>
      </c>
      <c r="F26" s="49">
        <f t="shared" si="2"/>
        <v>76.687881482223403</v>
      </c>
      <c r="G26" s="49">
        <f t="shared" si="3"/>
        <v>23.312118517776597</v>
      </c>
      <c r="H26" s="47">
        <f t="shared" si="4"/>
        <v>-3.8641514643550923</v>
      </c>
      <c r="I26" s="47">
        <f t="shared" si="5"/>
        <v>0.2841514643550922</v>
      </c>
      <c r="J26" s="108">
        <f t="shared" si="7"/>
        <v>104.95436766623207</v>
      </c>
      <c r="Q26" s="9"/>
      <c r="R26" s="9"/>
    </row>
    <row r="27" spans="1:18" x14ac:dyDescent="0.35">
      <c r="A27" s="3"/>
      <c r="B27" s="6"/>
      <c r="C27" s="3"/>
      <c r="D27" s="48"/>
      <c r="E27" s="22"/>
      <c r="F27" s="49"/>
      <c r="G27" s="49"/>
      <c r="H27" s="47"/>
      <c r="I27" s="47"/>
      <c r="Q27" s="9"/>
      <c r="R27" s="9"/>
    </row>
    <row r="28" spans="1:18" x14ac:dyDescent="0.35">
      <c r="Q28" s="9"/>
      <c r="R28" s="9"/>
    </row>
    <row r="29" spans="1:18" ht="15" x14ac:dyDescent="0.4">
      <c r="A29" s="13" t="s">
        <v>4</v>
      </c>
      <c r="B29" s="13"/>
      <c r="C29" s="23"/>
      <c r="D29" s="14"/>
      <c r="G29" s="34" t="s">
        <v>14</v>
      </c>
      <c r="Q29" s="9"/>
      <c r="R29" s="9"/>
    </row>
    <row r="30" spans="1:18" x14ac:dyDescent="0.35">
      <c r="A30" s="3" t="s">
        <v>26</v>
      </c>
      <c r="B30" s="27">
        <f>STDEV(D9:D21)/STDEV(A9:A21)</f>
        <v>3.6899265847267014E-2</v>
      </c>
      <c r="C30" s="5" t="s">
        <v>24</v>
      </c>
      <c r="D30" s="28">
        <f>COUNT(D9:D21)</f>
        <v>13</v>
      </c>
      <c r="G30" s="35" t="s">
        <v>26</v>
      </c>
      <c r="H30" s="30">
        <f>-STDEV(B21:B26)/STDEV(G21:G26)</f>
        <v>-8.7718557042897553E-3</v>
      </c>
      <c r="I30" s="5" t="s">
        <v>24</v>
      </c>
      <c r="J30" s="28">
        <f>COUNT(B21:B26)</f>
        <v>6</v>
      </c>
    </row>
    <row r="31" spans="1:18" ht="15.5" x14ac:dyDescent="0.35">
      <c r="A31" s="3" t="s">
        <v>3</v>
      </c>
      <c r="B31" s="24">
        <f>AVERAGE(D9:D21)-B30*AVERAGE(A9:A21)</f>
        <v>1.0497095296427019</v>
      </c>
      <c r="C31" s="26" t="s">
        <v>7</v>
      </c>
      <c r="G31" s="35" t="s">
        <v>3</v>
      </c>
      <c r="H31" s="31">
        <f>AVERAGE(B21:B26)-H30*AVERAGE(G21:G26)</f>
        <v>0.46327956740970022</v>
      </c>
      <c r="I31" s="25"/>
    </row>
    <row r="34" spans="17:18" x14ac:dyDescent="0.35">
      <c r="Q34" s="15"/>
      <c r="R34" s="1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EA24-D8B8-4386-81EC-9093C497AB02}">
  <dimension ref="A1:P29"/>
  <sheetViews>
    <sheetView zoomScale="60" zoomScaleNormal="60" workbookViewId="0">
      <selection activeCell="T26" sqref="T26"/>
    </sheetView>
  </sheetViews>
  <sheetFormatPr defaultRowHeight="14.5" x14ac:dyDescent="0.35"/>
  <cols>
    <col min="8" max="8" width="9.453125" bestFit="1" customWidth="1"/>
  </cols>
  <sheetData>
    <row r="1" spans="1:16" x14ac:dyDescent="0.35">
      <c r="A1" t="s">
        <v>38</v>
      </c>
      <c r="B1" s="123">
        <v>44846</v>
      </c>
      <c r="M1" s="17"/>
    </row>
    <row r="2" spans="1:16" x14ac:dyDescent="0.35">
      <c r="A2" s="1" t="s">
        <v>21</v>
      </c>
      <c r="B2" s="2"/>
      <c r="C2" s="4"/>
      <c r="M2" s="17"/>
    </row>
    <row r="3" spans="1:16" x14ac:dyDescent="0.35">
      <c r="A3" s="3" t="s">
        <v>25</v>
      </c>
      <c r="B3" s="29"/>
      <c r="C3" s="3"/>
      <c r="D3" t="s">
        <v>15</v>
      </c>
      <c r="E3">
        <v>30.236999999999998</v>
      </c>
      <c r="J3" s="116"/>
    </row>
    <row r="4" spans="1:16" x14ac:dyDescent="0.35">
      <c r="A4" s="3" t="s">
        <v>22</v>
      </c>
      <c r="B4" s="102">
        <v>0.63500000000000001</v>
      </c>
      <c r="C4" s="3"/>
      <c r="J4" s="9"/>
    </row>
    <row r="5" spans="1:16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6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6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B29/B4</f>
        <v>1.2213960448437748</v>
      </c>
      <c r="O7" t="s">
        <v>11</v>
      </c>
    </row>
    <row r="8" spans="1:16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-1/H29</f>
        <v>-2.738416067678227</v>
      </c>
      <c r="O8" t="s">
        <v>12</v>
      </c>
    </row>
    <row r="9" spans="1:16" ht="15" x14ac:dyDescent="0.4">
      <c r="A9" s="132">
        <v>-0.121</v>
      </c>
      <c r="B9" s="95">
        <f t="shared" ref="B9:B25" si="0">-1/A9</f>
        <v>8.2644628099173563</v>
      </c>
      <c r="C9" s="132">
        <v>1.4239999999999999</v>
      </c>
      <c r="D9" s="96">
        <f>C9-$B$3-$B$4</f>
        <v>0.78899999999999992</v>
      </c>
      <c r="E9" s="95">
        <f t="shared" ref="E9:E25" si="1">(D9/$B$29)</f>
        <v>1.0172946689034816</v>
      </c>
      <c r="F9" s="97">
        <f t="shared" ref="F9:F25" si="2">100*E9</f>
        <v>101.72946689034816</v>
      </c>
      <c r="G9" s="97">
        <f t="shared" ref="G9:G25" si="3">100-F9</f>
        <v>-1.7294668903481636</v>
      </c>
      <c r="H9" s="94">
        <f t="shared" ref="H9:H25" si="4">-1/($H$29+$H$28*G9)</f>
        <v>-2.6699422034531981</v>
      </c>
      <c r="I9" s="94">
        <f t="shared" ref="I9:I25" si="5">A9-H9</f>
        <v>2.5489422034531981</v>
      </c>
      <c r="J9" s="106">
        <f>D9/$B$4*100</f>
        <v>124.25196850393701</v>
      </c>
      <c r="M9" s="53" t="s">
        <v>23</v>
      </c>
      <c r="N9" s="40">
        <f>H20</f>
        <v>-3.2445330833129962</v>
      </c>
      <c r="O9" t="s">
        <v>5</v>
      </c>
    </row>
    <row r="10" spans="1:16" ht="15.5" thickBot="1" x14ac:dyDescent="0.45">
      <c r="A10" s="132">
        <v>-6.5000000000000002E-2</v>
      </c>
      <c r="B10" s="95">
        <f t="shared" si="0"/>
        <v>15.384615384615383</v>
      </c>
      <c r="C10" s="132">
        <v>1.423</v>
      </c>
      <c r="D10" s="96">
        <f t="shared" ref="D10:D25" si="6">C10-$B$3-$B$4</f>
        <v>0.78800000000000003</v>
      </c>
      <c r="E10" s="95">
        <f t="shared" si="1"/>
        <v>1.0160053220480909</v>
      </c>
      <c r="F10" s="97">
        <f t="shared" si="2"/>
        <v>101.60053220480908</v>
      </c>
      <c r="G10" s="97">
        <f t="shared" si="3"/>
        <v>-1.6005322048090846</v>
      </c>
      <c r="H10" s="94">
        <f t="shared" si="4"/>
        <v>-2.6749286954455052</v>
      </c>
      <c r="I10" s="94">
        <f t="shared" si="5"/>
        <v>2.6099286954455052</v>
      </c>
      <c r="J10" s="106">
        <f t="shared" ref="J10:J25" si="7">D10/$B$4*100</f>
        <v>124.09448818897637</v>
      </c>
      <c r="M10" s="54" t="s">
        <v>31</v>
      </c>
      <c r="N10" s="41">
        <f>F20</f>
        <v>89.480671764133874</v>
      </c>
      <c r="O10" t="s">
        <v>6</v>
      </c>
    </row>
    <row r="11" spans="1:16" ht="18.5" thickBot="1" x14ac:dyDescent="0.45">
      <c r="A11" s="132">
        <v>-6.4000000000000001E-2</v>
      </c>
      <c r="B11" s="95">
        <f t="shared" si="0"/>
        <v>15.625</v>
      </c>
      <c r="C11" s="132">
        <v>1.423</v>
      </c>
      <c r="D11" s="96">
        <f t="shared" si="6"/>
        <v>0.78800000000000003</v>
      </c>
      <c r="E11" s="95">
        <f t="shared" si="1"/>
        <v>1.0160053220480909</v>
      </c>
      <c r="F11" s="97">
        <f t="shared" si="2"/>
        <v>101.60053220480908</v>
      </c>
      <c r="G11" s="97">
        <f t="shared" si="3"/>
        <v>-1.6005322048090846</v>
      </c>
      <c r="H11" s="94">
        <f t="shared" si="4"/>
        <v>-2.6749286954455052</v>
      </c>
      <c r="I11" s="94">
        <f t="shared" si="5"/>
        <v>2.6109286954455051</v>
      </c>
      <c r="J11" s="106">
        <f t="shared" si="7"/>
        <v>124.09448818897637</v>
      </c>
      <c r="M11" s="55" t="s">
        <v>1</v>
      </c>
      <c r="N11" s="42">
        <f>STDEV(I14:I20)/STDEV(E14:E20)</f>
        <v>26.748038562183059</v>
      </c>
      <c r="O11" t="s">
        <v>8</v>
      </c>
    </row>
    <row r="12" spans="1:16" ht="16" x14ac:dyDescent="0.4">
      <c r="A12" s="132">
        <v>-8.7999999999999995E-2</v>
      </c>
      <c r="B12" s="95">
        <f t="shared" si="0"/>
        <v>11.363636363636365</v>
      </c>
      <c r="C12" s="132">
        <v>1.4179999999999999</v>
      </c>
      <c r="D12" s="96">
        <f t="shared" si="6"/>
        <v>0.78299999999999992</v>
      </c>
      <c r="E12" s="95">
        <f t="shared" si="1"/>
        <v>1.0095585877711357</v>
      </c>
      <c r="F12" s="97">
        <f t="shared" si="2"/>
        <v>100.95585877711358</v>
      </c>
      <c r="G12" s="97">
        <f t="shared" si="3"/>
        <v>-0.95585877711357625</v>
      </c>
      <c r="H12" s="94">
        <f t="shared" si="4"/>
        <v>-2.7001431782137728</v>
      </c>
      <c r="I12" s="94">
        <f t="shared" si="5"/>
        <v>2.6121431782137727</v>
      </c>
      <c r="J12" s="106">
        <f t="shared" si="7"/>
        <v>123.30708661417322</v>
      </c>
      <c r="M12" s="53" t="s">
        <v>33</v>
      </c>
      <c r="N12" s="43">
        <f>STDEV(E14:E20)/STDEV(A14:A20)</f>
        <v>3.1711927483588517E-2</v>
      </c>
      <c r="O12" t="s">
        <v>9</v>
      </c>
    </row>
    <row r="13" spans="1:16" ht="16.5" thickBot="1" x14ac:dyDescent="0.45">
      <c r="A13" s="132">
        <v>-0.121</v>
      </c>
      <c r="B13" s="95">
        <f t="shared" si="0"/>
        <v>8.2644628099173563</v>
      </c>
      <c r="C13" s="132">
        <v>1.4139999999999999</v>
      </c>
      <c r="D13" s="96">
        <f t="shared" si="6"/>
        <v>0.77899999999999991</v>
      </c>
      <c r="E13" s="95">
        <f t="shared" si="1"/>
        <v>1.0044012003495719</v>
      </c>
      <c r="F13" s="97">
        <f t="shared" si="2"/>
        <v>100.44012003495719</v>
      </c>
      <c r="G13" s="97">
        <f t="shared" si="3"/>
        <v>-0.44012003495718943</v>
      </c>
      <c r="H13" s="94">
        <f t="shared" si="4"/>
        <v>-2.7206596204606943</v>
      </c>
      <c r="I13" s="94">
        <f t="shared" si="5"/>
        <v>2.5996596204606943</v>
      </c>
      <c r="J13" s="106">
        <f t="shared" si="7"/>
        <v>122.67716535433068</v>
      </c>
      <c r="M13" s="54" t="s">
        <v>0</v>
      </c>
      <c r="N13" s="41">
        <f>STDEV(E20:E26)/STDEV(A20:A26)</f>
        <v>0.13194721725213102</v>
      </c>
      <c r="O13" t="s">
        <v>10</v>
      </c>
    </row>
    <row r="14" spans="1:16" ht="16" x14ac:dyDescent="0.4">
      <c r="A14" s="125">
        <v>-0.16800000000000001</v>
      </c>
      <c r="B14" s="22">
        <f t="shared" si="0"/>
        <v>5.9523809523809517</v>
      </c>
      <c r="C14" s="125">
        <v>1.409</v>
      </c>
      <c r="D14" s="48">
        <f t="shared" si="6"/>
        <v>0.77400000000000002</v>
      </c>
      <c r="E14" s="22">
        <f t="shared" si="1"/>
        <v>0.99795446607261706</v>
      </c>
      <c r="F14" s="49">
        <f t="shared" si="2"/>
        <v>99.795446607261709</v>
      </c>
      <c r="G14" s="49">
        <f t="shared" si="3"/>
        <v>0.20455339273829054</v>
      </c>
      <c r="H14" s="47">
        <f t="shared" si="4"/>
        <v>-2.7467478171029782</v>
      </c>
      <c r="I14" s="47">
        <f t="shared" si="5"/>
        <v>2.5787478171029781</v>
      </c>
      <c r="J14" s="108">
        <f t="shared" si="7"/>
        <v>121.88976377952756</v>
      </c>
      <c r="M14" s="56" t="s">
        <v>16</v>
      </c>
      <c r="N14" s="44">
        <f>N12*B29/18/(E3/10000)</f>
        <v>0.45189930070582285</v>
      </c>
    </row>
    <row r="15" spans="1:16" x14ac:dyDescent="0.35">
      <c r="A15" s="125">
        <v>-0.27400000000000002</v>
      </c>
      <c r="B15" s="22">
        <f t="shared" si="0"/>
        <v>3.6496350364963499</v>
      </c>
      <c r="C15" s="125">
        <v>1.403</v>
      </c>
      <c r="D15" s="48">
        <f t="shared" si="6"/>
        <v>0.76800000000000002</v>
      </c>
      <c r="E15" s="22">
        <f t="shared" si="1"/>
        <v>0.99021838494027126</v>
      </c>
      <c r="F15" s="49">
        <f t="shared" si="2"/>
        <v>99.021838494027122</v>
      </c>
      <c r="G15" s="49">
        <f t="shared" si="3"/>
        <v>0.97816150597287788</v>
      </c>
      <c r="H15" s="47">
        <f t="shared" si="4"/>
        <v>-2.7787217571294396</v>
      </c>
      <c r="I15" s="47">
        <f t="shared" si="5"/>
        <v>2.5047217571294396</v>
      </c>
      <c r="J15" s="108">
        <f t="shared" si="7"/>
        <v>120.94488188976378</v>
      </c>
      <c r="K15" s="18"/>
      <c r="L15" s="19"/>
    </row>
    <row r="16" spans="1:16" x14ac:dyDescent="0.35">
      <c r="A16" s="125">
        <v>-0.58099999999999996</v>
      </c>
      <c r="B16" s="22">
        <f t="shared" si="0"/>
        <v>1.7211703958691911</v>
      </c>
      <c r="C16" s="125">
        <v>1.3939999999999999</v>
      </c>
      <c r="D16" s="48">
        <f t="shared" si="6"/>
        <v>0.7589999999999999</v>
      </c>
      <c r="E16" s="22">
        <f t="shared" si="1"/>
        <v>0.97861426324175227</v>
      </c>
      <c r="F16" s="49">
        <f t="shared" si="2"/>
        <v>97.861426324175227</v>
      </c>
      <c r="G16" s="49">
        <f t="shared" si="3"/>
        <v>2.1385736758247731</v>
      </c>
      <c r="H16" s="47">
        <f t="shared" si="4"/>
        <v>-2.8281032121343621</v>
      </c>
      <c r="I16" s="47">
        <f t="shared" si="5"/>
        <v>2.2471032121343621</v>
      </c>
      <c r="J16" s="108">
        <f t="shared" si="7"/>
        <v>119.52755905511809</v>
      </c>
      <c r="K16" s="18"/>
      <c r="L16" s="19"/>
      <c r="P16" s="3"/>
    </row>
    <row r="17" spans="1:16" x14ac:dyDescent="0.35">
      <c r="A17" s="125">
        <v>-1.323</v>
      </c>
      <c r="B17" s="22">
        <f t="shared" si="0"/>
        <v>0.75585789871504161</v>
      </c>
      <c r="C17" s="125">
        <v>1.3759999999999999</v>
      </c>
      <c r="D17" s="48">
        <f t="shared" si="6"/>
        <v>0.74099999999999988</v>
      </c>
      <c r="E17" s="22">
        <f t="shared" si="1"/>
        <v>0.95540601984471463</v>
      </c>
      <c r="F17" s="49">
        <f t="shared" si="2"/>
        <v>95.540601984471465</v>
      </c>
      <c r="G17" s="49">
        <f t="shared" si="3"/>
        <v>4.4593980155285351</v>
      </c>
      <c r="H17" s="47">
        <f t="shared" si="4"/>
        <v>-2.9323255972425439</v>
      </c>
      <c r="I17" s="47">
        <f t="shared" si="5"/>
        <v>1.609325597242544</v>
      </c>
      <c r="J17" s="108">
        <f t="shared" si="7"/>
        <v>116.69291338582674</v>
      </c>
      <c r="K17" s="18"/>
      <c r="L17" s="19"/>
    </row>
    <row r="18" spans="1:16" x14ac:dyDescent="0.35">
      <c r="A18" s="125">
        <v>-2.34</v>
      </c>
      <c r="B18" s="22">
        <f t="shared" si="0"/>
        <v>0.42735042735042739</v>
      </c>
      <c r="C18" s="125">
        <v>1.357</v>
      </c>
      <c r="D18" s="48">
        <f t="shared" si="6"/>
        <v>0.72199999999999998</v>
      </c>
      <c r="E18" s="22">
        <f t="shared" si="1"/>
        <v>0.93090842959228615</v>
      </c>
      <c r="F18" s="49">
        <f t="shared" si="2"/>
        <v>93.09084295922861</v>
      </c>
      <c r="G18" s="49">
        <f t="shared" si="3"/>
        <v>6.9091570407713903</v>
      </c>
      <c r="H18" s="47">
        <f t="shared" si="4"/>
        <v>-3.0510090988885912</v>
      </c>
      <c r="I18" s="47">
        <f t="shared" si="5"/>
        <v>0.71100909888859132</v>
      </c>
      <c r="J18" s="108">
        <f t="shared" si="7"/>
        <v>113.70078740157479</v>
      </c>
    </row>
    <row r="19" spans="1:16" ht="15" thickBot="1" x14ac:dyDescent="0.4">
      <c r="A19" s="125">
        <v>-2.97</v>
      </c>
      <c r="B19" s="22">
        <f t="shared" si="0"/>
        <v>0.33670033670033667</v>
      </c>
      <c r="C19" s="125">
        <v>1.339</v>
      </c>
      <c r="D19" s="48">
        <f t="shared" si="6"/>
        <v>0.70399999999999996</v>
      </c>
      <c r="E19" s="22">
        <f t="shared" si="1"/>
        <v>0.9077001861952485</v>
      </c>
      <c r="F19" s="49">
        <f t="shared" si="2"/>
        <v>90.770018619524848</v>
      </c>
      <c r="G19" s="49">
        <f t="shared" si="3"/>
        <v>9.2299813804751523</v>
      </c>
      <c r="H19" s="47">
        <f t="shared" si="4"/>
        <v>-3.1726615341424802</v>
      </c>
      <c r="I19" s="47">
        <f t="shared" si="5"/>
        <v>0.20266153414248</v>
      </c>
      <c r="J19" s="108">
        <f t="shared" si="7"/>
        <v>110.86614173228347</v>
      </c>
    </row>
    <row r="20" spans="1:16" ht="15" thickBot="1" x14ac:dyDescent="0.4">
      <c r="A20" s="134">
        <v>-3.2040000000000002</v>
      </c>
      <c r="B20" s="61">
        <f t="shared" si="0"/>
        <v>0.31210986267166041</v>
      </c>
      <c r="C20" s="135">
        <v>1.329</v>
      </c>
      <c r="D20" s="60">
        <f t="shared" si="6"/>
        <v>0.69399999999999995</v>
      </c>
      <c r="E20" s="61">
        <f t="shared" si="1"/>
        <v>0.89480671764133879</v>
      </c>
      <c r="F20" s="58">
        <f t="shared" si="2"/>
        <v>89.480671764133874</v>
      </c>
      <c r="G20" s="58">
        <f t="shared" si="3"/>
        <v>10.519328235866126</v>
      </c>
      <c r="H20" s="59">
        <f t="shared" si="4"/>
        <v>-3.2445330833129962</v>
      </c>
      <c r="I20" s="59">
        <f t="shared" si="5"/>
        <v>4.0533083312995988E-2</v>
      </c>
      <c r="J20" s="115">
        <f t="shared" si="7"/>
        <v>109.29133858267717</v>
      </c>
      <c r="P20" s="10"/>
    </row>
    <row r="21" spans="1:16" x14ac:dyDescent="0.35">
      <c r="A21" s="133">
        <v>-3.3010000000000002</v>
      </c>
      <c r="B21" s="22">
        <f t="shared" si="0"/>
        <v>0.30293850348379275</v>
      </c>
      <c r="C21" s="133">
        <v>1.32</v>
      </c>
      <c r="D21" s="48">
        <f t="shared" si="6"/>
        <v>0.68500000000000005</v>
      </c>
      <c r="E21" s="22">
        <f t="shared" si="1"/>
        <v>0.88320259594282013</v>
      </c>
      <c r="F21" s="49">
        <f t="shared" si="2"/>
        <v>88.320259594282007</v>
      </c>
      <c r="G21" s="49">
        <f t="shared" si="3"/>
        <v>11.679740405717993</v>
      </c>
      <c r="H21" s="47">
        <f t="shared" si="4"/>
        <v>-3.3120595314441164</v>
      </c>
      <c r="I21" s="47">
        <f t="shared" si="5"/>
        <v>1.10595314441162E-2</v>
      </c>
      <c r="J21" s="108">
        <f t="shared" si="7"/>
        <v>107.87401574803151</v>
      </c>
      <c r="P21" s="10"/>
    </row>
    <row r="22" spans="1:16" x14ac:dyDescent="0.35">
      <c r="A22" s="125">
        <v>-3.44</v>
      </c>
      <c r="B22" s="6">
        <f t="shared" si="0"/>
        <v>0.29069767441860467</v>
      </c>
      <c r="C22" s="125">
        <v>1.3069999999999999</v>
      </c>
      <c r="D22" s="48">
        <f t="shared" si="6"/>
        <v>0.67199999999999993</v>
      </c>
      <c r="E22" s="22">
        <f t="shared" si="1"/>
        <v>0.86644108682273724</v>
      </c>
      <c r="F22" s="49">
        <f t="shared" si="2"/>
        <v>86.644108682273725</v>
      </c>
      <c r="G22" s="49">
        <f t="shared" si="3"/>
        <v>13.355891317726275</v>
      </c>
      <c r="H22" s="47">
        <f t="shared" si="4"/>
        <v>-3.4147137608664577</v>
      </c>
      <c r="I22" s="47">
        <f t="shared" si="5"/>
        <v>-2.5286239133542221E-2</v>
      </c>
      <c r="J22" s="108">
        <f t="shared" si="7"/>
        <v>105.8267716535433</v>
      </c>
      <c r="P22" s="10"/>
    </row>
    <row r="23" spans="1:16" x14ac:dyDescent="0.35">
      <c r="A23" s="125">
        <v>-3.63</v>
      </c>
      <c r="B23" s="6">
        <f t="shared" si="0"/>
        <v>0.27548209366391185</v>
      </c>
      <c r="C23" s="125">
        <v>1.288</v>
      </c>
      <c r="D23" s="48">
        <f t="shared" si="6"/>
        <v>0.65300000000000002</v>
      </c>
      <c r="E23" s="22">
        <f t="shared" si="1"/>
        <v>0.84194349657030876</v>
      </c>
      <c r="F23" s="49">
        <f t="shared" si="2"/>
        <v>84.19434965703087</v>
      </c>
      <c r="G23" s="49">
        <f t="shared" si="3"/>
        <v>15.80565034296913</v>
      </c>
      <c r="H23" s="47">
        <f t="shared" si="4"/>
        <v>-3.5767364758888265</v>
      </c>
      <c r="I23" s="47">
        <f t="shared" si="5"/>
        <v>-5.326352411117341E-2</v>
      </c>
      <c r="J23" s="108">
        <f t="shared" si="7"/>
        <v>102.83464566929135</v>
      </c>
      <c r="P23" s="10"/>
    </row>
    <row r="24" spans="1:16" x14ac:dyDescent="0.35">
      <c r="A24" s="125">
        <v>-3.86</v>
      </c>
      <c r="B24" s="6">
        <f t="shared" si="0"/>
        <v>0.2590673575129534</v>
      </c>
      <c r="C24" s="125">
        <v>1.2609999999999999</v>
      </c>
      <c r="D24" s="48">
        <f t="shared" si="6"/>
        <v>0.62599999999999989</v>
      </c>
      <c r="E24" s="22">
        <f t="shared" si="1"/>
        <v>0.80713113147475213</v>
      </c>
      <c r="F24" s="49">
        <f t="shared" si="2"/>
        <v>80.713113147475212</v>
      </c>
      <c r="G24" s="49">
        <f t="shared" si="3"/>
        <v>19.286886852524788</v>
      </c>
      <c r="H24" s="47">
        <f t="shared" si="4"/>
        <v>-3.8353407629142375</v>
      </c>
      <c r="I24" s="47">
        <f t="shared" si="5"/>
        <v>-2.4659237085762342E-2</v>
      </c>
      <c r="J24" s="108">
        <f t="shared" si="7"/>
        <v>98.582677165354312</v>
      </c>
    </row>
    <row r="25" spans="1:16" x14ac:dyDescent="0.35">
      <c r="A25" s="125">
        <v>-4.37</v>
      </c>
      <c r="B25" s="6">
        <f t="shared" si="0"/>
        <v>0.22883295194508008</v>
      </c>
      <c r="C25" s="125">
        <v>1.2110000000000001</v>
      </c>
      <c r="D25" s="48">
        <f t="shared" si="6"/>
        <v>0.57600000000000007</v>
      </c>
      <c r="E25" s="22">
        <f t="shared" si="1"/>
        <v>0.74266378870520344</v>
      </c>
      <c r="F25" s="49">
        <f t="shared" si="2"/>
        <v>74.266378870520342</v>
      </c>
      <c r="G25" s="49">
        <f t="shared" si="3"/>
        <v>25.733621129479658</v>
      </c>
      <c r="H25" s="47">
        <f t="shared" si="4"/>
        <v>-4.4282483158067114</v>
      </c>
      <c r="I25" s="47">
        <f t="shared" si="5"/>
        <v>5.8248315806711304E-2</v>
      </c>
      <c r="J25" s="108">
        <f t="shared" si="7"/>
        <v>90.708661417322844</v>
      </c>
    </row>
    <row r="27" spans="1:16" ht="15" x14ac:dyDescent="0.4">
      <c r="A27" s="13" t="s">
        <v>4</v>
      </c>
      <c r="B27" s="13"/>
      <c r="C27" s="23"/>
      <c r="D27" s="14"/>
      <c r="G27" s="34" t="s">
        <v>14</v>
      </c>
    </row>
    <row r="28" spans="1:16" x14ac:dyDescent="0.35">
      <c r="A28" s="3" t="s">
        <v>26</v>
      </c>
      <c r="B28" s="27">
        <f>STDEV(D14:D20)/STDEV(A14:A20)</f>
        <v>2.4595342479795536E-2</v>
      </c>
      <c r="C28" s="5" t="s">
        <v>24</v>
      </c>
      <c r="D28" s="28">
        <f>COUNT(D14:D20)</f>
        <v>7</v>
      </c>
      <c r="G28" s="35" t="s">
        <v>26</v>
      </c>
      <c r="H28" s="30">
        <f>-STDEV(B20:B25)/STDEV(G20:G25)</f>
        <v>-5.4151599690794895E-3</v>
      </c>
      <c r="I28" s="5" t="s">
        <v>24</v>
      </c>
      <c r="J28" s="28">
        <f>COUNT(B20:B25)</f>
        <v>6</v>
      </c>
    </row>
    <row r="29" spans="1:16" ht="15.5" x14ac:dyDescent="0.35">
      <c r="A29" s="3" t="s">
        <v>3</v>
      </c>
      <c r="B29" s="24">
        <f>AVERAGE(D14:D20)-B28*AVERAGE(A14:A20)</f>
        <v>0.77558648847579703</v>
      </c>
      <c r="C29" s="26" t="s">
        <v>7</v>
      </c>
      <c r="G29" s="35" t="s">
        <v>3</v>
      </c>
      <c r="H29" s="31">
        <f>AVERAGE(B20:B25)-H28*AVERAGE(G20:G25)</f>
        <v>0.36517460286736214</v>
      </c>
      <c r="I2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6671-6352-4959-84D0-D6E1545AB006}">
  <dimension ref="A1:P32"/>
  <sheetViews>
    <sheetView zoomScale="60" zoomScaleNormal="60" workbookViewId="0">
      <selection activeCell="O30" sqref="M15:O30"/>
    </sheetView>
  </sheetViews>
  <sheetFormatPr defaultRowHeight="14.5" x14ac:dyDescent="0.35"/>
  <cols>
    <col min="8" max="8" width="9.453125" bestFit="1" customWidth="1"/>
  </cols>
  <sheetData>
    <row r="1" spans="1:16" x14ac:dyDescent="0.35">
      <c r="A1" t="s">
        <v>38</v>
      </c>
      <c r="B1" s="123">
        <v>44846</v>
      </c>
      <c r="M1" s="17"/>
    </row>
    <row r="2" spans="1:16" x14ac:dyDescent="0.35">
      <c r="A2" s="1" t="s">
        <v>21</v>
      </c>
      <c r="B2" s="2"/>
      <c r="C2" s="4"/>
      <c r="M2" s="17"/>
    </row>
    <row r="3" spans="1:16" x14ac:dyDescent="0.35">
      <c r="A3" s="3" t="s">
        <v>25</v>
      </c>
      <c r="B3" s="29"/>
      <c r="C3" s="3"/>
      <c r="D3" t="s">
        <v>15</v>
      </c>
      <c r="E3">
        <v>23.640999999999998</v>
      </c>
      <c r="J3" s="116"/>
    </row>
    <row r="4" spans="1:16" x14ac:dyDescent="0.35">
      <c r="A4" s="3" t="s">
        <v>22</v>
      </c>
      <c r="B4" s="102">
        <v>0.58199999999999996</v>
      </c>
      <c r="C4" s="3"/>
      <c r="J4" s="9"/>
    </row>
    <row r="5" spans="1:16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6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6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B32/B4</f>
        <v>1.2209279016528205</v>
      </c>
      <c r="O7" t="s">
        <v>11</v>
      </c>
    </row>
    <row r="8" spans="1:16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-1/H32</f>
        <v>-2.6405555715470159</v>
      </c>
      <c r="O8" t="s">
        <v>12</v>
      </c>
    </row>
    <row r="9" spans="1:16" ht="15" x14ac:dyDescent="0.4">
      <c r="A9" s="131">
        <v>-8.8999999999999996E-2</v>
      </c>
      <c r="B9" s="95">
        <f t="shared" ref="B9:B28" si="0">-1/A9</f>
        <v>11.235955056179776</v>
      </c>
      <c r="C9" s="131">
        <v>1.2929999999999999</v>
      </c>
      <c r="D9" s="96">
        <f>C9-$B$3-$B$4</f>
        <v>0.71099999999999997</v>
      </c>
      <c r="E9" s="95">
        <f t="shared" ref="E9:E28" si="1">(D9/$B$32)</f>
        <v>1.0005910118707952</v>
      </c>
      <c r="F9" s="97">
        <f t="shared" ref="F9:F27" si="2">100*E9</f>
        <v>100.05910118707952</v>
      </c>
      <c r="G9" s="97">
        <f t="shared" ref="G9:G27" si="3">100-F9</f>
        <v>-5.9101187079519946E-2</v>
      </c>
      <c r="H9" s="94">
        <f t="shared" ref="H9:H28" si="4">-1/($H$32+$H$31*G9)</f>
        <v>-2.6381807638448738</v>
      </c>
      <c r="I9" s="94">
        <f t="shared" ref="I9:I27" si="5">A9-H9</f>
        <v>2.5491807638448738</v>
      </c>
      <c r="J9" s="106">
        <f>D9/$B$4*100</f>
        <v>122.16494845360826</v>
      </c>
      <c r="M9" s="53" t="s">
        <v>23</v>
      </c>
      <c r="N9" s="40">
        <f>H24</f>
        <v>-3.1112403415076697</v>
      </c>
      <c r="O9" t="s">
        <v>5</v>
      </c>
    </row>
    <row r="10" spans="1:16" ht="15.5" thickBot="1" x14ac:dyDescent="0.45">
      <c r="A10" s="131">
        <v>-8.2000000000000003E-2</v>
      </c>
      <c r="B10" s="95">
        <f t="shared" si="0"/>
        <v>12.195121951219512</v>
      </c>
      <c r="C10" s="131">
        <v>1.2909999999999999</v>
      </c>
      <c r="D10" s="96">
        <f t="shared" ref="D10:D28" si="6">C10-$B$3-$B$4</f>
        <v>0.70899999999999996</v>
      </c>
      <c r="E10" s="95">
        <f t="shared" si="1"/>
        <v>0.9977764098683457</v>
      </c>
      <c r="F10" s="97">
        <f t="shared" si="2"/>
        <v>99.77764098683457</v>
      </c>
      <c r="G10" s="97">
        <f t="shared" si="3"/>
        <v>0.2223590131654305</v>
      </c>
      <c r="H10" s="94">
        <f t="shared" si="4"/>
        <v>-2.6495288487860833</v>
      </c>
      <c r="I10" s="94">
        <f t="shared" si="5"/>
        <v>2.5675288487860835</v>
      </c>
      <c r="J10" s="106">
        <f t="shared" ref="J10:J27" si="7">D10/$B$4*100</f>
        <v>121.82130584192441</v>
      </c>
      <c r="M10" s="54" t="s">
        <v>31</v>
      </c>
      <c r="N10" s="41">
        <f>F24</f>
        <v>90.067264078383829</v>
      </c>
      <c r="O10" t="s">
        <v>6</v>
      </c>
    </row>
    <row r="11" spans="1:16" ht="18.5" thickBot="1" x14ac:dyDescent="0.45">
      <c r="A11" s="131">
        <v>-0.17499999999999999</v>
      </c>
      <c r="B11" s="95">
        <f t="shared" si="0"/>
        <v>5.7142857142857144</v>
      </c>
      <c r="C11" s="131">
        <v>1.2889999999999999</v>
      </c>
      <c r="D11" s="96">
        <f t="shared" si="6"/>
        <v>0.70699999999999996</v>
      </c>
      <c r="E11" s="95">
        <f t="shared" si="1"/>
        <v>0.99496180786589627</v>
      </c>
      <c r="F11" s="97">
        <f t="shared" si="2"/>
        <v>99.496180786589633</v>
      </c>
      <c r="G11" s="97">
        <f t="shared" si="3"/>
        <v>0.50381921341036673</v>
      </c>
      <c r="H11" s="94">
        <f t="shared" si="4"/>
        <v>-2.6609749826307247</v>
      </c>
      <c r="I11" s="94">
        <f t="shared" si="5"/>
        <v>2.4859749826307249</v>
      </c>
      <c r="J11" s="106">
        <f t="shared" si="7"/>
        <v>121.47766323024057</v>
      </c>
      <c r="M11" s="55" t="s">
        <v>1</v>
      </c>
      <c r="N11" s="42">
        <f>STDEV(I12:I24)/STDEV(E12:E24)</f>
        <v>29.415210524745262</v>
      </c>
      <c r="O11" t="s">
        <v>8</v>
      </c>
    </row>
    <row r="12" spans="1:16" ht="16" x14ac:dyDescent="0.4">
      <c r="A12" s="126">
        <v>-0.157</v>
      </c>
      <c r="B12" s="22">
        <f t="shared" si="0"/>
        <v>6.369426751592357</v>
      </c>
      <c r="C12" s="126">
        <v>1.288</v>
      </c>
      <c r="D12" s="48">
        <f t="shared" si="6"/>
        <v>0.70600000000000007</v>
      </c>
      <c r="E12" s="22">
        <f t="shared" si="1"/>
        <v>0.99355450686467162</v>
      </c>
      <c r="F12" s="49">
        <f t="shared" si="2"/>
        <v>99.355450686467165</v>
      </c>
      <c r="G12" s="49">
        <f t="shared" si="3"/>
        <v>0.64454931353283484</v>
      </c>
      <c r="H12" s="47">
        <f t="shared" si="4"/>
        <v>-2.6667352158553763</v>
      </c>
      <c r="I12" s="47">
        <f t="shared" si="5"/>
        <v>2.5097352158553763</v>
      </c>
      <c r="J12" s="108">
        <f t="shared" si="7"/>
        <v>121.30584192439864</v>
      </c>
      <c r="M12" s="53" t="s">
        <v>33</v>
      </c>
      <c r="N12" s="43">
        <f>STDEV(E12:E24)/STDEV(A12:A24)</f>
        <v>2.9341692397303606E-2</v>
      </c>
      <c r="O12" t="s">
        <v>9</v>
      </c>
    </row>
    <row r="13" spans="1:16" ht="16.5" thickBot="1" x14ac:dyDescent="0.45">
      <c r="A13" s="126">
        <v>-0.25</v>
      </c>
      <c r="B13" s="22">
        <f t="shared" si="0"/>
        <v>4</v>
      </c>
      <c r="C13" s="126">
        <v>1.286</v>
      </c>
      <c r="D13" s="48">
        <f t="shared" si="6"/>
        <v>0.70400000000000007</v>
      </c>
      <c r="E13" s="22">
        <f t="shared" si="1"/>
        <v>0.99073990486222208</v>
      </c>
      <c r="F13" s="49">
        <f t="shared" si="2"/>
        <v>99.073990486222215</v>
      </c>
      <c r="G13" s="49">
        <f t="shared" si="3"/>
        <v>0.92600951377778529</v>
      </c>
      <c r="H13" s="47">
        <f t="shared" si="4"/>
        <v>-2.6783308229495169</v>
      </c>
      <c r="I13" s="47">
        <f t="shared" si="5"/>
        <v>2.4283308229495169</v>
      </c>
      <c r="J13" s="108">
        <f t="shared" si="7"/>
        <v>120.96219931271479</v>
      </c>
      <c r="M13" s="54" t="s">
        <v>0</v>
      </c>
      <c r="N13" s="41">
        <f>STDEV(E24:E28)/STDEV(A24:A28)</f>
        <v>0.15351681054302496</v>
      </c>
      <c r="O13" t="s">
        <v>10</v>
      </c>
    </row>
    <row r="14" spans="1:16" ht="16" x14ac:dyDescent="0.4">
      <c r="A14" s="126">
        <v>-0.28899999999999998</v>
      </c>
      <c r="B14" s="22">
        <f t="shared" si="0"/>
        <v>3.4602076124567476</v>
      </c>
      <c r="C14" s="126">
        <v>1.2849999999999999</v>
      </c>
      <c r="D14" s="48">
        <f t="shared" si="6"/>
        <v>0.70299999999999996</v>
      </c>
      <c r="E14" s="22">
        <f t="shared" si="1"/>
        <v>0.9893326038609972</v>
      </c>
      <c r="F14" s="49">
        <f t="shared" si="2"/>
        <v>98.933260386099718</v>
      </c>
      <c r="G14" s="49">
        <f t="shared" si="3"/>
        <v>1.0667396139002818</v>
      </c>
      <c r="H14" s="47">
        <f t="shared" si="4"/>
        <v>-2.6841665242605282</v>
      </c>
      <c r="I14" s="47">
        <f t="shared" si="5"/>
        <v>2.395166524260528</v>
      </c>
      <c r="J14" s="108">
        <f t="shared" si="7"/>
        <v>120.79037800687284</v>
      </c>
      <c r="M14" s="56" t="s">
        <v>16</v>
      </c>
      <c r="N14" s="44">
        <f>N12*B32/18/(E3/10000)</f>
        <v>0.48995908522897985</v>
      </c>
    </row>
    <row r="15" spans="1:16" x14ac:dyDescent="0.35">
      <c r="A15" s="126">
        <v>-0.45900000000000002</v>
      </c>
      <c r="B15" s="22">
        <f t="shared" si="0"/>
        <v>2.1786492374727668</v>
      </c>
      <c r="C15" s="126">
        <v>1.2829999999999999</v>
      </c>
      <c r="D15" s="48">
        <f t="shared" si="6"/>
        <v>0.70099999999999996</v>
      </c>
      <c r="E15" s="22">
        <f t="shared" si="1"/>
        <v>0.98651800185854777</v>
      </c>
      <c r="F15" s="49">
        <f t="shared" si="2"/>
        <v>98.651800185854782</v>
      </c>
      <c r="G15" s="49">
        <f t="shared" si="3"/>
        <v>1.3481998141452181</v>
      </c>
      <c r="H15" s="47">
        <f t="shared" si="4"/>
        <v>-2.6959145517627978</v>
      </c>
      <c r="I15" s="47">
        <f t="shared" si="5"/>
        <v>2.2369145517627977</v>
      </c>
      <c r="J15" s="108">
        <f t="shared" si="7"/>
        <v>120.44673539518899</v>
      </c>
      <c r="K15" s="18"/>
      <c r="L15" s="19"/>
    </row>
    <row r="16" spans="1:16" x14ac:dyDescent="0.35">
      <c r="A16" s="126">
        <v>-0.71799999999999997</v>
      </c>
      <c r="B16" s="22">
        <f t="shared" si="0"/>
        <v>1.392757660167131</v>
      </c>
      <c r="C16" s="126">
        <v>1.278</v>
      </c>
      <c r="D16" s="48">
        <f t="shared" si="6"/>
        <v>0.69600000000000006</v>
      </c>
      <c r="E16" s="22">
        <f t="shared" si="1"/>
        <v>0.97948149685242414</v>
      </c>
      <c r="F16" s="49">
        <f t="shared" si="2"/>
        <v>97.948149685242413</v>
      </c>
      <c r="G16" s="49">
        <f t="shared" si="3"/>
        <v>2.0518503147575871</v>
      </c>
      <c r="H16" s="47">
        <f t="shared" si="4"/>
        <v>-2.7257395108780318</v>
      </c>
      <c r="I16" s="47">
        <f t="shared" si="5"/>
        <v>2.0077395108780318</v>
      </c>
      <c r="J16" s="108">
        <f t="shared" si="7"/>
        <v>119.5876288659794</v>
      </c>
      <c r="K16" s="18"/>
      <c r="L16" s="19"/>
      <c r="P16" s="3"/>
    </row>
    <row r="17" spans="1:16" x14ac:dyDescent="0.35">
      <c r="A17" s="126">
        <v>-0.85</v>
      </c>
      <c r="B17" s="22">
        <f t="shared" si="0"/>
        <v>1.1764705882352942</v>
      </c>
      <c r="C17" s="126">
        <v>1.274</v>
      </c>
      <c r="D17" s="48">
        <f t="shared" si="6"/>
        <v>0.69200000000000006</v>
      </c>
      <c r="E17" s="22">
        <f t="shared" si="1"/>
        <v>0.97385229284752517</v>
      </c>
      <c r="F17" s="49">
        <f t="shared" si="2"/>
        <v>97.385229284752512</v>
      </c>
      <c r="G17" s="49">
        <f t="shared" si="3"/>
        <v>2.6147707152474879</v>
      </c>
      <c r="H17" s="47">
        <f t="shared" si="4"/>
        <v>-2.7500788548250257</v>
      </c>
      <c r="I17" s="47">
        <f t="shared" si="5"/>
        <v>1.9000788548250256</v>
      </c>
      <c r="J17" s="108">
        <f t="shared" si="7"/>
        <v>118.9003436426117</v>
      </c>
      <c r="K17" s="18"/>
      <c r="L17" s="19"/>
    </row>
    <row r="18" spans="1:16" x14ac:dyDescent="0.35">
      <c r="A18" s="126">
        <v>-1.292</v>
      </c>
      <c r="B18" s="22">
        <f t="shared" si="0"/>
        <v>0.77399380804953555</v>
      </c>
      <c r="C18" s="126">
        <v>1.2669999999999999</v>
      </c>
      <c r="D18" s="48">
        <f t="shared" si="6"/>
        <v>0.68499999999999994</v>
      </c>
      <c r="E18" s="22">
        <f t="shared" si="1"/>
        <v>0.96400118583895178</v>
      </c>
      <c r="F18" s="49">
        <f t="shared" si="2"/>
        <v>96.400118583895178</v>
      </c>
      <c r="G18" s="49">
        <f t="shared" si="3"/>
        <v>3.5998814161048216</v>
      </c>
      <c r="H18" s="47">
        <f t="shared" si="4"/>
        <v>-2.7937352441395662</v>
      </c>
      <c r="I18" s="47">
        <f t="shared" si="5"/>
        <v>1.5017352441395662</v>
      </c>
      <c r="J18" s="108">
        <f t="shared" si="7"/>
        <v>117.69759450171821</v>
      </c>
    </row>
    <row r="19" spans="1:16" x14ac:dyDescent="0.35">
      <c r="A19" s="126">
        <v>-1.77</v>
      </c>
      <c r="B19" s="22">
        <f t="shared" si="0"/>
        <v>0.56497175141242939</v>
      </c>
      <c r="C19" s="126">
        <v>1.258</v>
      </c>
      <c r="D19" s="48">
        <f t="shared" si="6"/>
        <v>0.67600000000000005</v>
      </c>
      <c r="E19" s="22">
        <f t="shared" si="1"/>
        <v>0.95133547682792918</v>
      </c>
      <c r="F19" s="49">
        <f t="shared" si="2"/>
        <v>95.133547682792923</v>
      </c>
      <c r="G19" s="49">
        <f t="shared" si="3"/>
        <v>4.8664523172070773</v>
      </c>
      <c r="H19" s="47">
        <f t="shared" si="4"/>
        <v>-2.8519439744137309</v>
      </c>
      <c r="I19" s="47">
        <f t="shared" si="5"/>
        <v>1.0819439744137309</v>
      </c>
      <c r="J19" s="108">
        <f t="shared" si="7"/>
        <v>116.15120274914091</v>
      </c>
    </row>
    <row r="20" spans="1:16" x14ac:dyDescent="0.35">
      <c r="A20" s="126">
        <v>-2.17</v>
      </c>
      <c r="B20" s="22">
        <f t="shared" si="0"/>
        <v>0.46082949308755761</v>
      </c>
      <c r="C20" s="126">
        <v>1.2509999999999999</v>
      </c>
      <c r="D20" s="48">
        <f t="shared" si="6"/>
        <v>0.66899999999999993</v>
      </c>
      <c r="E20" s="22">
        <f t="shared" si="1"/>
        <v>0.94148436981935579</v>
      </c>
      <c r="F20" s="49">
        <f t="shared" si="2"/>
        <v>94.148436981935575</v>
      </c>
      <c r="G20" s="49">
        <f t="shared" si="3"/>
        <v>5.8515630180644251</v>
      </c>
      <c r="H20" s="47">
        <f t="shared" si="4"/>
        <v>-2.8989220197873462</v>
      </c>
      <c r="I20" s="47">
        <f t="shared" si="5"/>
        <v>0.72892201978734628</v>
      </c>
      <c r="J20" s="108">
        <f t="shared" si="7"/>
        <v>114.94845360824742</v>
      </c>
      <c r="P20" s="10"/>
    </row>
    <row r="21" spans="1:16" x14ac:dyDescent="0.35">
      <c r="A21" s="136">
        <v>-2.4300000000000002</v>
      </c>
      <c r="B21" s="22">
        <f t="shared" si="0"/>
        <v>0.41152263374485593</v>
      </c>
      <c r="C21" s="136">
        <v>1.2450000000000001</v>
      </c>
      <c r="D21" s="48">
        <f t="shared" si="6"/>
        <v>0.66300000000000014</v>
      </c>
      <c r="E21" s="22">
        <f t="shared" si="1"/>
        <v>0.93304056381200762</v>
      </c>
      <c r="F21" s="49">
        <f t="shared" si="2"/>
        <v>93.304056381200766</v>
      </c>
      <c r="G21" s="49">
        <f t="shared" si="3"/>
        <v>6.6959436187992338</v>
      </c>
      <c r="H21" s="47">
        <f t="shared" si="4"/>
        <v>-2.940438377579849</v>
      </c>
      <c r="I21" s="47">
        <f t="shared" si="5"/>
        <v>0.51043837757984889</v>
      </c>
      <c r="J21" s="108">
        <f t="shared" si="7"/>
        <v>113.91752577319592</v>
      </c>
      <c r="P21" s="10"/>
    </row>
    <row r="22" spans="1:16" x14ac:dyDescent="0.35">
      <c r="A22" s="126">
        <v>-2.73</v>
      </c>
      <c r="B22" s="6">
        <f t="shared" si="0"/>
        <v>0.36630036630036628</v>
      </c>
      <c r="C22" s="126">
        <v>1.2370000000000001</v>
      </c>
      <c r="D22" s="48">
        <f t="shared" si="6"/>
        <v>0.65500000000000014</v>
      </c>
      <c r="E22" s="22">
        <f t="shared" si="1"/>
        <v>0.92178215580220957</v>
      </c>
      <c r="F22" s="49">
        <f t="shared" si="2"/>
        <v>92.17821558022095</v>
      </c>
      <c r="G22" s="49">
        <f t="shared" si="3"/>
        <v>7.8217844197790498</v>
      </c>
      <c r="H22" s="47">
        <f t="shared" si="4"/>
        <v>-2.9976792993146879</v>
      </c>
      <c r="I22" s="47">
        <f t="shared" si="5"/>
        <v>0.26767929931468792</v>
      </c>
      <c r="J22" s="108">
        <f t="shared" si="7"/>
        <v>112.5429553264605</v>
      </c>
      <c r="P22" s="10"/>
    </row>
    <row r="23" spans="1:16" ht="15" thickBot="1" x14ac:dyDescent="0.4">
      <c r="A23" s="126">
        <v>-2.91</v>
      </c>
      <c r="B23" s="6">
        <f t="shared" si="0"/>
        <v>0.3436426116838488</v>
      </c>
      <c r="C23" s="126">
        <v>1.2310000000000001</v>
      </c>
      <c r="D23" s="48">
        <f t="shared" si="6"/>
        <v>0.64900000000000013</v>
      </c>
      <c r="E23" s="22">
        <f t="shared" si="1"/>
        <v>0.91333834979486117</v>
      </c>
      <c r="F23" s="49">
        <f t="shared" si="2"/>
        <v>91.333834979486113</v>
      </c>
      <c r="G23" s="49">
        <f t="shared" si="3"/>
        <v>8.6661650205138869</v>
      </c>
      <c r="H23" s="47">
        <f t="shared" si="4"/>
        <v>-3.0420941753228137</v>
      </c>
      <c r="I23" s="47">
        <f t="shared" si="5"/>
        <v>0.13209417532281353</v>
      </c>
      <c r="J23" s="108">
        <f t="shared" si="7"/>
        <v>111.51202749140896</v>
      </c>
      <c r="P23" s="10"/>
    </row>
    <row r="24" spans="1:16" ht="15" thickBot="1" x14ac:dyDescent="0.4">
      <c r="A24" s="137">
        <v>-3.09</v>
      </c>
      <c r="B24" s="67">
        <f t="shared" si="0"/>
        <v>0.3236245954692557</v>
      </c>
      <c r="C24" s="138">
        <v>1.222</v>
      </c>
      <c r="D24" s="60">
        <f t="shared" si="6"/>
        <v>0.64</v>
      </c>
      <c r="E24" s="61">
        <f t="shared" si="1"/>
        <v>0.90067264078383824</v>
      </c>
      <c r="F24" s="58">
        <f t="shared" si="2"/>
        <v>90.067264078383829</v>
      </c>
      <c r="G24" s="58">
        <f t="shared" si="3"/>
        <v>9.932735921616171</v>
      </c>
      <c r="H24" s="59">
        <f t="shared" si="4"/>
        <v>-3.1112403415076697</v>
      </c>
      <c r="I24" s="59">
        <f t="shared" si="5"/>
        <v>2.1240341507669847E-2</v>
      </c>
      <c r="J24" s="115">
        <f t="shared" si="7"/>
        <v>109.96563573883162</v>
      </c>
    </row>
    <row r="25" spans="1:16" x14ac:dyDescent="0.35">
      <c r="A25" s="126">
        <v>-3.24</v>
      </c>
      <c r="B25" s="6">
        <f t="shared" si="0"/>
        <v>0.30864197530864196</v>
      </c>
      <c r="C25" s="126">
        <v>1.2090000000000001</v>
      </c>
      <c r="D25" s="48">
        <f t="shared" si="6"/>
        <v>0.62700000000000011</v>
      </c>
      <c r="E25" s="22">
        <f t="shared" si="1"/>
        <v>0.88237772776791668</v>
      </c>
      <c r="F25" s="49">
        <f t="shared" si="2"/>
        <v>88.237772776791672</v>
      </c>
      <c r="G25" s="49">
        <f t="shared" si="3"/>
        <v>11.762227223208328</v>
      </c>
      <c r="H25" s="47">
        <f t="shared" si="4"/>
        <v>-3.2168559002525248</v>
      </c>
      <c r="I25" s="47">
        <f t="shared" si="5"/>
        <v>-2.3144099747475444E-2</v>
      </c>
      <c r="J25" s="108">
        <f t="shared" si="7"/>
        <v>107.73195876288662</v>
      </c>
    </row>
    <row r="26" spans="1:16" x14ac:dyDescent="0.35">
      <c r="A26" s="126">
        <v>-3.4</v>
      </c>
      <c r="B26" s="6">
        <f t="shared" si="0"/>
        <v>0.29411764705882354</v>
      </c>
      <c r="C26" s="126">
        <v>1.19</v>
      </c>
      <c r="D26" s="48">
        <f t="shared" si="6"/>
        <v>0.60799999999999998</v>
      </c>
      <c r="E26" s="22">
        <f t="shared" si="1"/>
        <v>0.85563900874464627</v>
      </c>
      <c r="F26" s="49">
        <f t="shared" si="2"/>
        <v>85.563900874464622</v>
      </c>
      <c r="G26" s="49">
        <f t="shared" si="3"/>
        <v>14.436099125535378</v>
      </c>
      <c r="H26" s="47">
        <f t="shared" si="4"/>
        <v>-3.3847889531206974</v>
      </c>
      <c r="I26" s="47">
        <f t="shared" si="5"/>
        <v>-1.5211046879302526E-2</v>
      </c>
      <c r="J26" s="108">
        <f t="shared" si="7"/>
        <v>104.46735395189005</v>
      </c>
    </row>
    <row r="27" spans="1:16" x14ac:dyDescent="0.35">
      <c r="A27" s="126">
        <v>-3.56</v>
      </c>
      <c r="B27" s="6">
        <f t="shared" si="0"/>
        <v>0.2808988764044944</v>
      </c>
      <c r="C27" s="126">
        <v>1.1719999999999999</v>
      </c>
      <c r="D27" s="48">
        <f t="shared" si="6"/>
        <v>0.59</v>
      </c>
      <c r="E27" s="22">
        <f t="shared" si="1"/>
        <v>0.83030759072260085</v>
      </c>
      <c r="F27" s="49">
        <f t="shared" si="2"/>
        <v>83.030759072260082</v>
      </c>
      <c r="G27" s="49">
        <f t="shared" si="3"/>
        <v>16.969240927739918</v>
      </c>
      <c r="H27" s="47">
        <f t="shared" si="4"/>
        <v>-3.5608985747818531</v>
      </c>
      <c r="I27" s="47">
        <f t="shared" si="5"/>
        <v>8.9857478185306761E-4</v>
      </c>
      <c r="J27" s="108">
        <f t="shared" si="7"/>
        <v>101.37457044673539</v>
      </c>
    </row>
    <row r="28" spans="1:16" x14ac:dyDescent="0.35">
      <c r="A28" s="126">
        <v>-3.65</v>
      </c>
      <c r="B28" s="6">
        <f t="shared" si="0"/>
        <v>0.27397260273972601</v>
      </c>
      <c r="C28" s="126">
        <v>1.1619999999999999</v>
      </c>
      <c r="D28" s="48">
        <f t="shared" si="6"/>
        <v>0.57999999999999996</v>
      </c>
      <c r="E28" s="22">
        <f t="shared" si="1"/>
        <v>0.81623458071035337</v>
      </c>
      <c r="F28" s="49">
        <f t="shared" ref="F28" si="8">100*E28</f>
        <v>81.623458071035344</v>
      </c>
      <c r="G28" s="49">
        <f t="shared" ref="G28" si="9">100-F28</f>
        <v>18.376541928964656</v>
      </c>
      <c r="H28" s="47">
        <f t="shared" si="4"/>
        <v>-3.6668915416529821</v>
      </c>
      <c r="I28" s="47">
        <f t="shared" ref="I28" si="10">A28-H28</f>
        <v>1.6891541652982234E-2</v>
      </c>
      <c r="J28" s="108">
        <f t="shared" ref="J28" si="11">D28/$B$4*100</f>
        <v>99.656357388316152</v>
      </c>
    </row>
    <row r="30" spans="1:16" ht="15" x14ac:dyDescent="0.4">
      <c r="A30" s="13" t="s">
        <v>4</v>
      </c>
      <c r="B30" s="13"/>
      <c r="C30" s="23"/>
      <c r="D30" s="14"/>
      <c r="G30" s="34" t="s">
        <v>14</v>
      </c>
    </row>
    <row r="31" spans="1:16" x14ac:dyDescent="0.35">
      <c r="A31" s="3" t="s">
        <v>26</v>
      </c>
      <c r="B31" s="27">
        <f>STDEV(D12:D24)/STDEV(A12:A24)</f>
        <v>2.0849620921016967E-2</v>
      </c>
      <c r="C31" s="5" t="s">
        <v>24</v>
      </c>
      <c r="D31" s="28">
        <f>COUNT(D12:D24)</f>
        <v>13</v>
      </c>
      <c r="G31" s="35" t="s">
        <v>26</v>
      </c>
      <c r="H31" s="30">
        <f>-STDEV(B24:B28)/STDEV(G24:G28)</f>
        <v>-5.7680947213313606E-3</v>
      </c>
      <c r="I31" s="5" t="s">
        <v>24</v>
      </c>
      <c r="J31" s="28">
        <f>COUNT(B24:B28)</f>
        <v>5</v>
      </c>
    </row>
    <row r="32" spans="1:16" ht="15.5" x14ac:dyDescent="0.35">
      <c r="A32" s="3" t="s">
        <v>3</v>
      </c>
      <c r="B32" s="24">
        <f>AVERAGE(D12:D24)-B31*AVERAGE(A12:A24)</f>
        <v>0.71058003876194153</v>
      </c>
      <c r="C32" s="26" t="s">
        <v>7</v>
      </c>
      <c r="G32" s="35" t="s">
        <v>3</v>
      </c>
      <c r="H32" s="31">
        <f>AVERAGE(B24:B28)-H31*AVERAGE(G24:G28)</f>
        <v>0.37870818201115625</v>
      </c>
      <c r="I32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4CD9-F3D8-4403-ABC4-3E80FA7C2CBE}">
  <dimension ref="A1:P30"/>
  <sheetViews>
    <sheetView zoomScale="60" zoomScaleNormal="60" workbookViewId="0">
      <selection activeCell="O41" sqref="O41"/>
    </sheetView>
  </sheetViews>
  <sheetFormatPr defaultRowHeight="14.5" x14ac:dyDescent="0.35"/>
  <cols>
    <col min="8" max="8" width="9.453125" bestFit="1" customWidth="1"/>
  </cols>
  <sheetData>
    <row r="1" spans="1:16" x14ac:dyDescent="0.35">
      <c r="A1" t="s">
        <v>38</v>
      </c>
      <c r="B1" s="123">
        <v>44846</v>
      </c>
      <c r="M1" s="17"/>
    </row>
    <row r="2" spans="1:16" x14ac:dyDescent="0.35">
      <c r="A2" s="1" t="s">
        <v>21</v>
      </c>
      <c r="B2" s="2"/>
      <c r="C2" s="4"/>
      <c r="M2" s="17"/>
    </row>
    <row r="3" spans="1:16" x14ac:dyDescent="0.35">
      <c r="A3" s="3" t="s">
        <v>25</v>
      </c>
      <c r="B3" s="29"/>
      <c r="C3" s="3"/>
      <c r="D3" t="s">
        <v>15</v>
      </c>
      <c r="E3">
        <v>21.414000000000001</v>
      </c>
      <c r="J3" s="116"/>
    </row>
    <row r="4" spans="1:16" x14ac:dyDescent="0.35">
      <c r="A4" s="3" t="s">
        <v>22</v>
      </c>
      <c r="B4" s="102">
        <v>0.50600000000000001</v>
      </c>
      <c r="C4" s="3"/>
      <c r="J4" s="9"/>
    </row>
    <row r="5" spans="1:16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6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6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B30/B4</f>
        <v>1.1542611714779105</v>
      </c>
      <c r="O7" t="s">
        <v>11</v>
      </c>
    </row>
    <row r="8" spans="1:16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-1/H30</f>
        <v>-2.7765693414767632</v>
      </c>
      <c r="O8" t="s">
        <v>12</v>
      </c>
    </row>
    <row r="9" spans="1:16" ht="15" x14ac:dyDescent="0.4">
      <c r="A9" s="130">
        <v>-9.7000000000000003E-2</v>
      </c>
      <c r="B9" s="95">
        <f t="shared" ref="B9:B26" si="0">-1/A9</f>
        <v>10.309278350515463</v>
      </c>
      <c r="C9" s="130">
        <v>1.0980000000000001</v>
      </c>
      <c r="D9" s="96">
        <f>C9-$B$3-$B$4</f>
        <v>0.59200000000000008</v>
      </c>
      <c r="E9" s="95">
        <f t="shared" ref="E9:E26" si="1">(D9/$B$30)</f>
        <v>1.0136011703575618</v>
      </c>
      <c r="F9" s="97">
        <f t="shared" ref="F9:F26" si="2">100*E9</f>
        <v>101.36011703575618</v>
      </c>
      <c r="G9" s="97">
        <f t="shared" ref="G9:G26" si="3">100-F9</f>
        <v>-1.3601170357561756</v>
      </c>
      <c r="H9" s="94">
        <f t="shared" ref="H9:H26" si="4">-1/($H$30+$H$29*G9)</f>
        <v>-2.7156163497294652</v>
      </c>
      <c r="I9" s="94">
        <f t="shared" ref="I9:I26" si="5">A9-H9</f>
        <v>2.6186163497294652</v>
      </c>
      <c r="J9" s="106">
        <f>D9/$B$4*100</f>
        <v>116.99604743083005</v>
      </c>
      <c r="M9" s="53" t="s">
        <v>23</v>
      </c>
      <c r="N9" s="40">
        <f>H22</f>
        <v>-3.2991038876101109</v>
      </c>
      <c r="O9" t="s">
        <v>5</v>
      </c>
    </row>
    <row r="10" spans="1:16" ht="15.5" thickBot="1" x14ac:dyDescent="0.45">
      <c r="A10" s="130">
        <v>-5.2999999999999999E-2</v>
      </c>
      <c r="B10" s="95">
        <f t="shared" si="0"/>
        <v>18.867924528301888</v>
      </c>
      <c r="C10" s="130">
        <v>1.0960000000000001</v>
      </c>
      <c r="D10" s="96">
        <f t="shared" ref="D10:D26" si="6">C10-$B$3-$B$4</f>
        <v>0.59000000000000008</v>
      </c>
      <c r="E10" s="95">
        <f t="shared" si="1"/>
        <v>1.0101768420793269</v>
      </c>
      <c r="F10" s="97">
        <f t="shared" si="2"/>
        <v>101.01768420793269</v>
      </c>
      <c r="G10" s="97">
        <f t="shared" si="3"/>
        <v>-1.0176842079326889</v>
      </c>
      <c r="H10" s="94">
        <f t="shared" si="4"/>
        <v>-2.7307088437272204</v>
      </c>
      <c r="I10" s="94">
        <f t="shared" si="5"/>
        <v>2.6777088437272205</v>
      </c>
      <c r="J10" s="106">
        <f t="shared" ref="J10:J26" si="7">D10/$B$4*100</f>
        <v>116.60079051383401</v>
      </c>
      <c r="M10" s="54" t="s">
        <v>31</v>
      </c>
      <c r="N10" s="41">
        <f>F22</f>
        <v>90.40226654540416</v>
      </c>
      <c r="O10" t="s">
        <v>6</v>
      </c>
    </row>
    <row r="11" spans="1:16" ht="18.5" thickBot="1" x14ac:dyDescent="0.45">
      <c r="A11" s="130">
        <v>-0.08</v>
      </c>
      <c r="B11" s="95">
        <f t="shared" si="0"/>
        <v>12.5</v>
      </c>
      <c r="C11" s="130">
        <v>1.0940000000000001</v>
      </c>
      <c r="D11" s="96">
        <f t="shared" si="6"/>
        <v>0.58800000000000008</v>
      </c>
      <c r="E11" s="95">
        <f t="shared" si="1"/>
        <v>1.0067525138010918</v>
      </c>
      <c r="F11" s="97">
        <f t="shared" si="2"/>
        <v>100.67525138010917</v>
      </c>
      <c r="G11" s="97">
        <f t="shared" si="3"/>
        <v>-0.67525138010917374</v>
      </c>
      <c r="H11" s="94">
        <f t="shared" si="4"/>
        <v>-2.7459700334205093</v>
      </c>
      <c r="I11" s="94">
        <f t="shared" si="5"/>
        <v>2.6659700334205092</v>
      </c>
      <c r="J11" s="106">
        <f t="shared" si="7"/>
        <v>116.20553359683797</v>
      </c>
      <c r="M11" s="55" t="s">
        <v>1</v>
      </c>
      <c r="N11" s="42">
        <f>STDEV(I13:I22)/STDEV(E13:E22)</f>
        <v>30.334948658072278</v>
      </c>
      <c r="O11" t="s">
        <v>8</v>
      </c>
    </row>
    <row r="12" spans="1:16" ht="16" x14ac:dyDescent="0.4">
      <c r="A12" s="130">
        <v>-0.115</v>
      </c>
      <c r="B12" s="95">
        <f t="shared" si="0"/>
        <v>8.695652173913043</v>
      </c>
      <c r="C12" s="130">
        <v>1.091</v>
      </c>
      <c r="D12" s="96">
        <f t="shared" si="6"/>
        <v>0.58499999999999996</v>
      </c>
      <c r="E12" s="95">
        <f t="shared" si="1"/>
        <v>1.0016160213837391</v>
      </c>
      <c r="F12" s="97">
        <f t="shared" si="2"/>
        <v>100.16160213837391</v>
      </c>
      <c r="G12" s="97">
        <f t="shared" si="3"/>
        <v>-0.16160213837390813</v>
      </c>
      <c r="H12" s="94">
        <f t="shared" si="4"/>
        <v>-2.769184361783239</v>
      </c>
      <c r="I12" s="94">
        <f t="shared" si="5"/>
        <v>2.6541843617832388</v>
      </c>
      <c r="J12" s="106">
        <f t="shared" si="7"/>
        <v>115.61264822134387</v>
      </c>
      <c r="M12" s="53" t="s">
        <v>33</v>
      </c>
      <c r="N12" s="43">
        <f>STDEV(E13:E22)/STDEV(A13:A22)</f>
        <v>2.7983528342620828E-2</v>
      </c>
      <c r="O12" t="s">
        <v>9</v>
      </c>
    </row>
    <row r="13" spans="1:16" ht="16.5" thickBot="1" x14ac:dyDescent="0.45">
      <c r="A13" s="124">
        <v>-0.16</v>
      </c>
      <c r="B13" s="22">
        <f t="shared" si="0"/>
        <v>6.25</v>
      </c>
      <c r="C13" s="124">
        <v>1.089</v>
      </c>
      <c r="D13" s="48">
        <f t="shared" si="6"/>
        <v>0.58299999999999996</v>
      </c>
      <c r="E13" s="22">
        <f t="shared" si="1"/>
        <v>0.99819169310550415</v>
      </c>
      <c r="F13" s="49">
        <f t="shared" si="2"/>
        <v>99.819169310550421</v>
      </c>
      <c r="G13" s="49">
        <f t="shared" si="3"/>
        <v>0.18083068944957859</v>
      </c>
      <c r="H13" s="47">
        <f t="shared" si="4"/>
        <v>-2.7848798755958462</v>
      </c>
      <c r="I13" s="47">
        <f t="shared" si="5"/>
        <v>2.624879875595846</v>
      </c>
      <c r="J13" s="108">
        <f t="shared" si="7"/>
        <v>115.21739130434783</v>
      </c>
      <c r="M13" s="54" t="s">
        <v>0</v>
      </c>
      <c r="N13" s="41">
        <f>STDEV(E22:E26)/STDEV(A22:A26)</f>
        <v>0.12198729343194945</v>
      </c>
      <c r="O13" t="s">
        <v>10</v>
      </c>
    </row>
    <row r="14" spans="1:16" ht="16" x14ac:dyDescent="0.4">
      <c r="A14" s="124">
        <v>-0.28999999999999998</v>
      </c>
      <c r="B14" s="22">
        <f t="shared" si="0"/>
        <v>3.4482758620689657</v>
      </c>
      <c r="C14" s="124">
        <v>1.0860000000000001</v>
      </c>
      <c r="D14" s="48">
        <f t="shared" si="6"/>
        <v>0.58000000000000007</v>
      </c>
      <c r="E14" s="22">
        <f t="shared" si="1"/>
        <v>0.99305520068815178</v>
      </c>
      <c r="F14" s="49">
        <f t="shared" si="2"/>
        <v>99.305520068815184</v>
      </c>
      <c r="G14" s="49">
        <f t="shared" si="3"/>
        <v>0.69447993118481577</v>
      </c>
      <c r="H14" s="47">
        <f t="shared" si="4"/>
        <v>-2.8087596102939396</v>
      </c>
      <c r="I14" s="47">
        <f t="shared" si="5"/>
        <v>2.5187596102939396</v>
      </c>
      <c r="J14" s="108">
        <f t="shared" si="7"/>
        <v>114.62450592885376</v>
      </c>
      <c r="M14" s="56" t="s">
        <v>16</v>
      </c>
      <c r="N14" s="44">
        <f>N12*B30/18/(E3/10000)</f>
        <v>0.42402042030292869</v>
      </c>
    </row>
    <row r="15" spans="1:16" x14ac:dyDescent="0.35">
      <c r="A15" s="124">
        <v>-0.40400000000000003</v>
      </c>
      <c r="B15" s="22">
        <f t="shared" si="0"/>
        <v>2.4752475247524752</v>
      </c>
      <c r="C15" s="124">
        <v>1.079</v>
      </c>
      <c r="D15" s="48">
        <f t="shared" si="6"/>
        <v>0.57299999999999995</v>
      </c>
      <c r="E15" s="22">
        <f t="shared" si="1"/>
        <v>0.98107005171432904</v>
      </c>
      <c r="F15" s="49">
        <f t="shared" si="2"/>
        <v>98.107005171432903</v>
      </c>
      <c r="G15" s="49">
        <f t="shared" si="3"/>
        <v>1.8929948285670974</v>
      </c>
      <c r="H15" s="47">
        <f t="shared" si="4"/>
        <v>-2.8661041113099111</v>
      </c>
      <c r="I15" s="47">
        <f t="shared" si="5"/>
        <v>2.4621041113099111</v>
      </c>
      <c r="J15" s="108">
        <f t="shared" si="7"/>
        <v>113.24110671936758</v>
      </c>
      <c r="K15" s="18"/>
      <c r="L15" s="19"/>
    </row>
    <row r="16" spans="1:16" x14ac:dyDescent="0.35">
      <c r="A16" s="124">
        <v>-0.88400000000000001</v>
      </c>
      <c r="B16" s="22">
        <f t="shared" si="0"/>
        <v>1.1312217194570136</v>
      </c>
      <c r="C16" s="124">
        <v>1.0740000000000001</v>
      </c>
      <c r="D16" s="48">
        <f t="shared" si="6"/>
        <v>0.56800000000000006</v>
      </c>
      <c r="E16" s="22">
        <f t="shared" si="1"/>
        <v>0.97250923101874176</v>
      </c>
      <c r="F16" s="49">
        <f t="shared" si="2"/>
        <v>97.250923101874179</v>
      </c>
      <c r="G16" s="49">
        <f t="shared" si="3"/>
        <v>2.7490768981258213</v>
      </c>
      <c r="H16" s="47">
        <f t="shared" si="4"/>
        <v>-2.9085192720138169</v>
      </c>
      <c r="I16" s="47">
        <f t="shared" si="5"/>
        <v>2.024519272013817</v>
      </c>
      <c r="J16" s="108">
        <f t="shared" si="7"/>
        <v>112.25296442687748</v>
      </c>
      <c r="K16" s="18"/>
      <c r="L16" s="19"/>
      <c r="P16" s="3"/>
    </row>
    <row r="17" spans="1:16" x14ac:dyDescent="0.35">
      <c r="A17" s="124">
        <v>-1.6919999999999999</v>
      </c>
      <c r="B17" s="22">
        <f t="shared" si="0"/>
        <v>0.59101654846335694</v>
      </c>
      <c r="C17" s="124">
        <v>1.0649999999999999</v>
      </c>
      <c r="D17" s="48">
        <f t="shared" si="6"/>
        <v>0.55899999999999994</v>
      </c>
      <c r="E17" s="22">
        <f t="shared" si="1"/>
        <v>0.95709975376668399</v>
      </c>
      <c r="F17" s="49">
        <f t="shared" si="2"/>
        <v>95.709975376668396</v>
      </c>
      <c r="G17" s="49">
        <f t="shared" si="3"/>
        <v>4.2900246233316039</v>
      </c>
      <c r="H17" s="47">
        <f t="shared" si="4"/>
        <v>-2.9881167338587438</v>
      </c>
      <c r="I17" s="47">
        <f t="shared" si="5"/>
        <v>1.2961167338587438</v>
      </c>
      <c r="J17" s="108">
        <f t="shared" si="7"/>
        <v>110.47430830039524</v>
      </c>
      <c r="K17" s="18"/>
      <c r="L17" s="19"/>
    </row>
    <row r="18" spans="1:16" x14ac:dyDescent="0.35">
      <c r="A18" s="124">
        <v>-2.11</v>
      </c>
      <c r="B18" s="22">
        <f t="shared" si="0"/>
        <v>0.47393364928909953</v>
      </c>
      <c r="C18" s="124">
        <v>1.0580000000000001</v>
      </c>
      <c r="D18" s="48">
        <f t="shared" si="6"/>
        <v>0.55200000000000005</v>
      </c>
      <c r="E18" s="22">
        <f t="shared" si="1"/>
        <v>0.94511460479286169</v>
      </c>
      <c r="F18" s="49">
        <f t="shared" si="2"/>
        <v>94.511460479286171</v>
      </c>
      <c r="G18" s="49">
        <f t="shared" si="3"/>
        <v>5.4885395207138288</v>
      </c>
      <c r="H18" s="47">
        <f t="shared" si="4"/>
        <v>-3.0531034090426776</v>
      </c>
      <c r="I18" s="47">
        <f t="shared" si="5"/>
        <v>0.94310340904267775</v>
      </c>
      <c r="J18" s="108">
        <f t="shared" si="7"/>
        <v>109.09090909090911</v>
      </c>
    </row>
    <row r="19" spans="1:16" x14ac:dyDescent="0.35">
      <c r="A19" s="124">
        <v>-2.4700000000000002</v>
      </c>
      <c r="B19" s="22">
        <f t="shared" si="0"/>
        <v>0.40485829959514169</v>
      </c>
      <c r="C19" s="124">
        <v>1.0509999999999999</v>
      </c>
      <c r="D19" s="48">
        <f t="shared" si="6"/>
        <v>0.54499999999999993</v>
      </c>
      <c r="E19" s="22">
        <f t="shared" si="1"/>
        <v>0.93312945581903894</v>
      </c>
      <c r="F19" s="49">
        <f t="shared" si="2"/>
        <v>93.31294558190389</v>
      </c>
      <c r="G19" s="49">
        <f t="shared" si="3"/>
        <v>6.6870544180961105</v>
      </c>
      <c r="H19" s="47">
        <f t="shared" si="4"/>
        <v>-3.1209796360882769</v>
      </c>
      <c r="I19" s="47">
        <f t="shared" si="5"/>
        <v>0.65097963608827669</v>
      </c>
      <c r="J19" s="108">
        <f t="shared" si="7"/>
        <v>107.70750988142291</v>
      </c>
    </row>
    <row r="20" spans="1:16" x14ac:dyDescent="0.35">
      <c r="A20" s="127">
        <v>-3.0219999999999998</v>
      </c>
      <c r="B20" s="22">
        <f t="shared" si="0"/>
        <v>0.33090668431502318</v>
      </c>
      <c r="C20" s="127">
        <v>1.042</v>
      </c>
      <c r="D20" s="48">
        <f t="shared" si="6"/>
        <v>0.53600000000000003</v>
      </c>
      <c r="E20" s="22">
        <f t="shared" si="1"/>
        <v>0.91771997856698162</v>
      </c>
      <c r="F20" s="49">
        <f t="shared" si="2"/>
        <v>91.771997856698164</v>
      </c>
      <c r="G20" s="49">
        <f t="shared" si="3"/>
        <v>8.2280021433018362</v>
      </c>
      <c r="H20" s="47">
        <f t="shared" si="4"/>
        <v>-3.2128142199328584</v>
      </c>
      <c r="I20" s="47">
        <f t="shared" si="5"/>
        <v>0.19081421993285863</v>
      </c>
      <c r="J20" s="108">
        <f t="shared" si="7"/>
        <v>105.92885375494072</v>
      </c>
      <c r="P20" s="10"/>
    </row>
    <row r="21" spans="1:16" ht="15" thickBot="1" x14ac:dyDescent="0.4">
      <c r="A21" s="127">
        <v>-3.18</v>
      </c>
      <c r="B21" s="22">
        <f t="shared" si="0"/>
        <v>0.31446540880503143</v>
      </c>
      <c r="C21" s="127">
        <v>1.0369999999999999</v>
      </c>
      <c r="D21" s="48">
        <f t="shared" si="6"/>
        <v>0.53099999999999992</v>
      </c>
      <c r="E21" s="22">
        <f t="shared" si="1"/>
        <v>0.9091591578713939</v>
      </c>
      <c r="F21" s="49">
        <f t="shared" si="2"/>
        <v>90.915915787139383</v>
      </c>
      <c r="G21" s="49">
        <f t="shared" si="3"/>
        <v>9.084084212860617</v>
      </c>
      <c r="H21" s="47">
        <f t="shared" si="4"/>
        <v>-3.2662074990742291</v>
      </c>
      <c r="I21" s="47">
        <f t="shared" si="5"/>
        <v>8.6207499074228977E-2</v>
      </c>
      <c r="J21" s="108">
        <f t="shared" si="7"/>
        <v>104.94071146245057</v>
      </c>
      <c r="P21" s="10"/>
    </row>
    <row r="22" spans="1:16" ht="15" thickBot="1" x14ac:dyDescent="0.4">
      <c r="A22" s="128">
        <v>-3.26</v>
      </c>
      <c r="B22" s="67">
        <f t="shared" si="0"/>
        <v>0.30674846625766872</v>
      </c>
      <c r="C22" s="129">
        <v>1.034</v>
      </c>
      <c r="D22" s="60">
        <f t="shared" si="6"/>
        <v>0.52800000000000002</v>
      </c>
      <c r="E22" s="61">
        <f t="shared" si="1"/>
        <v>0.90402266545404153</v>
      </c>
      <c r="F22" s="58">
        <f t="shared" si="2"/>
        <v>90.40226654540416</v>
      </c>
      <c r="G22" s="58">
        <f t="shared" si="3"/>
        <v>9.5977334545958399</v>
      </c>
      <c r="H22" s="59">
        <f t="shared" si="4"/>
        <v>-3.2991038876101109</v>
      </c>
      <c r="I22" s="59">
        <f t="shared" si="5"/>
        <v>3.9103887610111077E-2</v>
      </c>
      <c r="J22" s="115">
        <f t="shared" si="7"/>
        <v>104.34782608695652</v>
      </c>
      <c r="P22" s="10"/>
    </row>
    <row r="23" spans="1:16" x14ac:dyDescent="0.35">
      <c r="A23" s="124">
        <v>-3.35</v>
      </c>
      <c r="B23" s="6">
        <f t="shared" si="0"/>
        <v>0.29850746268656714</v>
      </c>
      <c r="C23" s="124">
        <v>1.028</v>
      </c>
      <c r="D23" s="48">
        <f t="shared" si="6"/>
        <v>0.52200000000000002</v>
      </c>
      <c r="E23" s="22">
        <f t="shared" si="1"/>
        <v>0.89374968061933657</v>
      </c>
      <c r="F23" s="49">
        <f t="shared" si="2"/>
        <v>89.374968061933657</v>
      </c>
      <c r="G23" s="49">
        <f t="shared" si="3"/>
        <v>10.625031938066343</v>
      </c>
      <c r="H23" s="47">
        <f t="shared" si="4"/>
        <v>-3.3669254749568673</v>
      </c>
      <c r="I23" s="47">
        <f t="shared" si="5"/>
        <v>1.6925474956867248E-2</v>
      </c>
      <c r="J23" s="108">
        <f t="shared" si="7"/>
        <v>103.16205533596839</v>
      </c>
      <c r="P23" s="10"/>
    </row>
    <row r="24" spans="1:16" x14ac:dyDescent="0.35">
      <c r="A24" s="124">
        <v>-3.57</v>
      </c>
      <c r="B24" s="6">
        <f t="shared" si="0"/>
        <v>0.28011204481792717</v>
      </c>
      <c r="C24" s="124">
        <v>1.016</v>
      </c>
      <c r="D24" s="48">
        <f t="shared" si="6"/>
        <v>0.51</v>
      </c>
      <c r="E24" s="22">
        <f t="shared" si="1"/>
        <v>0.87320371094992655</v>
      </c>
      <c r="F24" s="49">
        <f t="shared" si="2"/>
        <v>87.320371094992652</v>
      </c>
      <c r="G24" s="49">
        <f t="shared" si="3"/>
        <v>12.679628905007348</v>
      </c>
      <c r="H24" s="47">
        <f t="shared" si="4"/>
        <v>-3.5112928314139524</v>
      </c>
      <c r="I24" s="47">
        <f t="shared" si="5"/>
        <v>-5.8707168586047409E-2</v>
      </c>
      <c r="J24" s="108">
        <f t="shared" si="7"/>
        <v>100.79051383399209</v>
      </c>
    </row>
    <row r="25" spans="1:16" x14ac:dyDescent="0.35">
      <c r="A25" s="124">
        <v>-3.78</v>
      </c>
      <c r="B25" s="6">
        <f t="shared" si="0"/>
        <v>0.26455026455026459</v>
      </c>
      <c r="C25" s="124">
        <v>1</v>
      </c>
      <c r="D25" s="48">
        <f t="shared" si="6"/>
        <v>0.49399999999999999</v>
      </c>
      <c r="E25" s="22">
        <f t="shared" si="1"/>
        <v>0.84580908472404648</v>
      </c>
      <c r="F25" s="49">
        <f t="shared" si="2"/>
        <v>84.580908472404644</v>
      </c>
      <c r="G25" s="49">
        <f t="shared" si="3"/>
        <v>15.419091527595356</v>
      </c>
      <c r="H25" s="47">
        <f t="shared" si="4"/>
        <v>-3.7242088127506547</v>
      </c>
      <c r="I25" s="47">
        <f t="shared" si="5"/>
        <v>-5.5791187249345064E-2</v>
      </c>
      <c r="J25" s="108">
        <f t="shared" si="7"/>
        <v>97.628458498023718</v>
      </c>
    </row>
    <row r="26" spans="1:16" x14ac:dyDescent="0.35">
      <c r="A26" s="124">
        <v>-4.2300000000000004</v>
      </c>
      <c r="B26" s="6">
        <f t="shared" si="0"/>
        <v>0.23640661938534277</v>
      </c>
      <c r="C26" s="124">
        <v>0.96499999999999997</v>
      </c>
      <c r="D26" s="48">
        <f t="shared" si="6"/>
        <v>0.45899999999999996</v>
      </c>
      <c r="E26" s="22">
        <f t="shared" si="1"/>
        <v>0.78588333985493375</v>
      </c>
      <c r="F26" s="49">
        <f t="shared" si="2"/>
        <v>78.588333985493378</v>
      </c>
      <c r="G26" s="49">
        <f t="shared" si="3"/>
        <v>21.411666014506622</v>
      </c>
      <c r="H26" s="47">
        <f t="shared" si="4"/>
        <v>-4.2937513464881736</v>
      </c>
      <c r="I26" s="47">
        <f t="shared" si="5"/>
        <v>6.3751346488173155E-2</v>
      </c>
      <c r="J26" s="108">
        <f t="shared" si="7"/>
        <v>90.711462450592876</v>
      </c>
    </row>
    <row r="28" spans="1:16" ht="15" x14ac:dyDescent="0.4">
      <c r="A28" s="13" t="s">
        <v>4</v>
      </c>
      <c r="B28" s="13"/>
      <c r="C28" s="23"/>
      <c r="D28" s="14"/>
      <c r="G28" s="34" t="s">
        <v>14</v>
      </c>
    </row>
    <row r="29" spans="1:16" x14ac:dyDescent="0.35">
      <c r="A29" s="3" t="s">
        <v>26</v>
      </c>
      <c r="B29" s="27">
        <f>STDEV(D13:D22)/STDEV(A13:A22)</f>
        <v>1.634395190466045E-2</v>
      </c>
      <c r="C29" s="5" t="s">
        <v>24</v>
      </c>
      <c r="D29" s="28">
        <f>COUNT(D13:D22)</f>
        <v>10</v>
      </c>
      <c r="G29" s="35" t="s">
        <v>26</v>
      </c>
      <c r="H29" s="30">
        <f>-STDEV(B22:B26)/STDEV(G22:G26)</f>
        <v>-5.9434937171479272E-3</v>
      </c>
      <c r="I29" s="5" t="s">
        <v>24</v>
      </c>
      <c r="J29" s="28">
        <f>COUNT(B22:B26)</f>
        <v>5</v>
      </c>
    </row>
    <row r="30" spans="1:16" ht="15.5" x14ac:dyDescent="0.35">
      <c r="A30" s="3" t="s">
        <v>3</v>
      </c>
      <c r="B30" s="24">
        <f>AVERAGE(D13:D22)-B29*AVERAGE(A13:A22)</f>
        <v>0.58405615276782274</v>
      </c>
      <c r="C30" s="26" t="s">
        <v>7</v>
      </c>
      <c r="G30" s="35" t="s">
        <v>3</v>
      </c>
      <c r="H30" s="31">
        <f>AVERAGE(B22:B26)-H29*AVERAGE(G22:G26)</f>
        <v>0.36015668150687491</v>
      </c>
      <c r="I30" s="25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6"/>
  <sheetViews>
    <sheetView zoomScale="60" zoomScaleNormal="60" workbookViewId="0">
      <selection activeCell="M30" sqref="M15:N30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1.26953125" customWidth="1"/>
    <col min="11" max="12" width="7.453125" customWidth="1"/>
    <col min="13" max="13" width="19.1796875" customWidth="1"/>
    <col min="14" max="14" width="8.7265625" bestFit="1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44804</v>
      </c>
      <c r="M1" s="17"/>
    </row>
    <row r="2" spans="1:20" x14ac:dyDescent="0.35">
      <c r="A2" s="1" t="s">
        <v>21</v>
      </c>
      <c r="B2" s="2"/>
      <c r="C2" s="4"/>
      <c r="K2" s="108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42.058</v>
      </c>
      <c r="J3" s="116"/>
    </row>
    <row r="4" spans="1:20" x14ac:dyDescent="0.35">
      <c r="A4" s="3" t="s">
        <v>22</v>
      </c>
      <c r="B4" s="102">
        <v>0.57499999999999996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B36/B4</f>
        <v>1.5441924602796171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-1/G36</f>
        <v>-1.7620261321515631</v>
      </c>
      <c r="O8" t="s">
        <v>12</v>
      </c>
    </row>
    <row r="9" spans="1:20" ht="15" x14ac:dyDescent="0.4">
      <c r="A9" s="94">
        <v>-3.7999999999999999E-2</v>
      </c>
      <c r="B9" s="95">
        <f t="shared" ref="B9:B32" si="0">-1/A9</f>
        <v>26.315789473684212</v>
      </c>
      <c r="C9" s="91">
        <v>1.5169999999999999</v>
      </c>
      <c r="D9" s="96">
        <f t="shared" ref="D9:D32" si="1">C9-$B$3-$B$4</f>
        <v>0.94199999999999995</v>
      </c>
      <c r="E9" s="95">
        <f t="shared" ref="E9:E32" si="2">(D9/$B$36)</f>
        <v>1.0609175421492258</v>
      </c>
      <c r="F9" s="97">
        <f t="shared" ref="F9:F32" si="3">100*E9</f>
        <v>106.09175421492259</v>
      </c>
      <c r="G9" s="97">
        <f t="shared" ref="G9:G32" si="4">100-F9</f>
        <v>-6.0917542149225881</v>
      </c>
      <c r="H9" s="94">
        <f t="shared" ref="H9:H32" si="5">-1/($G$36+$G$35*G9)</f>
        <v>-1.6308266418848658</v>
      </c>
      <c r="I9" s="94">
        <f>A9-H9</f>
        <v>1.5928266418848658</v>
      </c>
      <c r="J9" s="106">
        <f>D9/$B$4*100</f>
        <v>163.82608695652175</v>
      </c>
      <c r="M9" s="53" t="s">
        <v>23</v>
      </c>
      <c r="N9" s="40">
        <f>H28</f>
        <v>-2.0695680052879388</v>
      </c>
      <c r="O9" t="s">
        <v>5</v>
      </c>
    </row>
    <row r="10" spans="1:20" ht="15.5" thickBot="1" x14ac:dyDescent="0.45">
      <c r="A10" s="94">
        <v>-5.5E-2</v>
      </c>
      <c r="B10" s="95">
        <f t="shared" si="0"/>
        <v>18.181818181818183</v>
      </c>
      <c r="C10" s="91">
        <v>1.514</v>
      </c>
      <c r="D10" s="96">
        <f t="shared" si="1"/>
        <v>0.93900000000000006</v>
      </c>
      <c r="E10" s="95">
        <f t="shared" si="2"/>
        <v>1.0575388238621266</v>
      </c>
      <c r="F10" s="97">
        <f t="shared" si="3"/>
        <v>105.75388238621267</v>
      </c>
      <c r="G10" s="97">
        <f t="shared" si="4"/>
        <v>-5.7538823862126662</v>
      </c>
      <c r="H10" s="94">
        <f t="shared" si="5"/>
        <v>-1.6375895653872978</v>
      </c>
      <c r="I10" s="94">
        <f t="shared" ref="I10:I32" si="6">A10-H10</f>
        <v>1.5825895653872979</v>
      </c>
      <c r="J10" s="106">
        <f t="shared" ref="J10:J32" si="7">D10/$B$4*100</f>
        <v>163.304347826087</v>
      </c>
      <c r="M10" s="54" t="s">
        <v>31</v>
      </c>
      <c r="N10" s="41">
        <f>F28</f>
        <v>88.747667007812112</v>
      </c>
      <c r="O10" t="s">
        <v>6</v>
      </c>
    </row>
    <row r="11" spans="1:20" ht="16.5" customHeight="1" thickBot="1" x14ac:dyDescent="0.45">
      <c r="A11" s="94">
        <v>-6.5000000000000002E-2</v>
      </c>
      <c r="B11" s="95">
        <f t="shared" si="0"/>
        <v>15.384615384615383</v>
      </c>
      <c r="C11" s="91">
        <v>1.512</v>
      </c>
      <c r="D11" s="96">
        <f t="shared" si="1"/>
        <v>0.93700000000000006</v>
      </c>
      <c r="E11" s="95">
        <f t="shared" si="2"/>
        <v>1.0552863450040604</v>
      </c>
      <c r="F11" s="97">
        <f t="shared" si="3"/>
        <v>105.52863450040604</v>
      </c>
      <c r="G11" s="97">
        <f t="shared" si="4"/>
        <v>-5.5286345004060422</v>
      </c>
      <c r="H11" s="94">
        <f t="shared" si="5"/>
        <v>-1.6421294289648458</v>
      </c>
      <c r="I11" s="94">
        <f t="shared" si="6"/>
        <v>1.5771294289648459</v>
      </c>
      <c r="J11" s="106">
        <f t="shared" si="7"/>
        <v>162.95652173913047</v>
      </c>
      <c r="M11" s="55" t="s">
        <v>1</v>
      </c>
      <c r="N11" s="42">
        <f>STDEV(I22:I28)/STDEV(E22:E28)</f>
        <v>16.710422503773163</v>
      </c>
      <c r="O11" t="s">
        <v>8</v>
      </c>
    </row>
    <row r="12" spans="1:20" ht="16" x14ac:dyDescent="0.4">
      <c r="A12" s="94">
        <v>-6.2E-2</v>
      </c>
      <c r="B12" s="95">
        <f t="shared" si="0"/>
        <v>16.129032258064516</v>
      </c>
      <c r="C12" s="91">
        <v>1.5109999999999999</v>
      </c>
      <c r="D12" s="96">
        <f t="shared" si="1"/>
        <v>0.93599999999999994</v>
      </c>
      <c r="E12" s="95">
        <f t="shared" si="2"/>
        <v>1.0541601055750269</v>
      </c>
      <c r="F12" s="97">
        <f t="shared" si="3"/>
        <v>105.41601055750269</v>
      </c>
      <c r="G12" s="97">
        <f t="shared" si="4"/>
        <v>-5.4160105575026876</v>
      </c>
      <c r="H12" s="94">
        <f t="shared" si="5"/>
        <v>-1.6444088131998944</v>
      </c>
      <c r="I12" s="94">
        <f t="shared" si="6"/>
        <v>1.5824088131998943</v>
      </c>
      <c r="J12" s="106">
        <f t="shared" si="7"/>
        <v>162.78260869565219</v>
      </c>
      <c r="M12" s="53" t="s">
        <v>33</v>
      </c>
      <c r="N12" s="43">
        <f>STDEV(E22:E28)/STDEV(A22:A28)</f>
        <v>5.1380130302622722E-2</v>
      </c>
      <c r="O12" t="s">
        <v>9</v>
      </c>
    </row>
    <row r="13" spans="1:20" ht="16.5" thickBot="1" x14ac:dyDescent="0.45">
      <c r="A13" s="94">
        <v>-4.7E-2</v>
      </c>
      <c r="B13" s="95">
        <f t="shared" si="0"/>
        <v>21.276595744680851</v>
      </c>
      <c r="C13" s="91">
        <v>1.508</v>
      </c>
      <c r="D13" s="96">
        <f t="shared" si="1"/>
        <v>0.93300000000000005</v>
      </c>
      <c r="E13" s="95">
        <f t="shared" si="2"/>
        <v>1.0507813872879277</v>
      </c>
      <c r="F13" s="97">
        <f t="shared" si="3"/>
        <v>105.07813872879277</v>
      </c>
      <c r="G13" s="97">
        <f t="shared" si="4"/>
        <v>-5.0781387287927657</v>
      </c>
      <c r="H13" s="94">
        <f t="shared" si="5"/>
        <v>-1.6512850919017925</v>
      </c>
      <c r="I13" s="94">
        <f t="shared" si="6"/>
        <v>1.6042850919017926</v>
      </c>
      <c r="J13" s="106">
        <f t="shared" si="7"/>
        <v>162.2608695652174</v>
      </c>
      <c r="M13" s="54" t="s">
        <v>0</v>
      </c>
      <c r="N13" s="41">
        <f>STDEV(E28:E32)/STDEV(A28:A32)</f>
        <v>0.23563940424662988</v>
      </c>
      <c r="O13" t="s">
        <v>10</v>
      </c>
    </row>
    <row r="14" spans="1:20" ht="16" x14ac:dyDescent="0.4">
      <c r="A14" s="94">
        <v>-8.5999999999999993E-2</v>
      </c>
      <c r="B14" s="95">
        <f t="shared" si="0"/>
        <v>11.627906976744187</v>
      </c>
      <c r="C14" s="91">
        <v>1.502</v>
      </c>
      <c r="D14" s="96">
        <f t="shared" si="1"/>
        <v>0.92700000000000005</v>
      </c>
      <c r="E14" s="95">
        <f t="shared" si="2"/>
        <v>1.0440239507137288</v>
      </c>
      <c r="F14" s="97">
        <f t="shared" si="3"/>
        <v>104.40239507137288</v>
      </c>
      <c r="G14" s="97">
        <f t="shared" si="4"/>
        <v>-4.4023950713728794</v>
      </c>
      <c r="H14" s="94">
        <f t="shared" si="5"/>
        <v>-1.6652116278812139</v>
      </c>
      <c r="I14" s="94">
        <f t="shared" si="6"/>
        <v>1.5792116278812138</v>
      </c>
      <c r="J14" s="106">
        <f t="shared" si="7"/>
        <v>161.21739130434784</v>
      </c>
      <c r="M14" s="56" t="s">
        <v>16</v>
      </c>
      <c r="N14" s="44">
        <f>N12*B36/18/(E3/10000)</f>
        <v>0.60261973739121122</v>
      </c>
    </row>
    <row r="15" spans="1:20" x14ac:dyDescent="0.35">
      <c r="A15" s="94">
        <v>-0.11</v>
      </c>
      <c r="B15" s="95">
        <f t="shared" si="0"/>
        <v>9.0909090909090917</v>
      </c>
      <c r="C15" s="91">
        <v>1.5009999999999999</v>
      </c>
      <c r="D15" s="96">
        <f t="shared" si="1"/>
        <v>0.92599999999999993</v>
      </c>
      <c r="E15" s="95">
        <f t="shared" si="2"/>
        <v>1.0428977112846955</v>
      </c>
      <c r="F15" s="97">
        <f t="shared" si="3"/>
        <v>104.28977112846955</v>
      </c>
      <c r="G15" s="97">
        <f t="shared" si="4"/>
        <v>-4.2897711284695532</v>
      </c>
      <c r="H15" s="94">
        <f t="shared" si="5"/>
        <v>-1.6675555874433867</v>
      </c>
      <c r="I15" s="94">
        <f t="shared" si="6"/>
        <v>1.5575555874433866</v>
      </c>
      <c r="J15" s="106">
        <f t="shared" si="7"/>
        <v>161.04347826086956</v>
      </c>
      <c r="K15" s="18"/>
      <c r="L15" s="19"/>
      <c r="O15" s="3"/>
    </row>
    <row r="16" spans="1:20" x14ac:dyDescent="0.35">
      <c r="A16" s="94">
        <v>-0.104</v>
      </c>
      <c r="B16" s="95">
        <f t="shared" si="0"/>
        <v>9.615384615384615</v>
      </c>
      <c r="C16" s="91">
        <v>1.494</v>
      </c>
      <c r="D16" s="96">
        <f t="shared" si="1"/>
        <v>0.91900000000000004</v>
      </c>
      <c r="E16" s="95">
        <f t="shared" si="2"/>
        <v>1.0350140352814636</v>
      </c>
      <c r="F16" s="97">
        <f t="shared" si="3"/>
        <v>103.50140352814637</v>
      </c>
      <c r="G16" s="97">
        <f t="shared" si="4"/>
        <v>-3.5014035281463691</v>
      </c>
      <c r="H16" s="94">
        <f t="shared" si="5"/>
        <v>-1.6841499076477795</v>
      </c>
      <c r="I16" s="94">
        <f t="shared" si="6"/>
        <v>1.5801499076477794</v>
      </c>
      <c r="J16" s="106">
        <f t="shared" si="7"/>
        <v>159.82608695652175</v>
      </c>
      <c r="K16" s="18"/>
      <c r="L16" s="19"/>
      <c r="O16" s="3"/>
      <c r="P16" s="3"/>
      <c r="Q16" s="3"/>
      <c r="R16" s="3"/>
      <c r="S16" s="3"/>
      <c r="T16" s="3"/>
    </row>
    <row r="17" spans="1:18" x14ac:dyDescent="0.35">
      <c r="A17" s="94">
        <v>-7.0999999999999994E-2</v>
      </c>
      <c r="B17" s="95">
        <f t="shared" si="0"/>
        <v>14.084507042253522</v>
      </c>
      <c r="C17" s="98">
        <v>1.4890000000000001</v>
      </c>
      <c r="D17" s="96">
        <f t="shared" si="1"/>
        <v>0.91400000000000015</v>
      </c>
      <c r="E17" s="95">
        <f t="shared" si="2"/>
        <v>1.0293828381362979</v>
      </c>
      <c r="F17" s="97">
        <f t="shared" si="3"/>
        <v>102.93828381362979</v>
      </c>
      <c r="G17" s="97">
        <f t="shared" si="4"/>
        <v>-2.9382838136297948</v>
      </c>
      <c r="H17" s="94">
        <f t="shared" si="5"/>
        <v>-1.6962066469701194</v>
      </c>
      <c r="I17" s="94">
        <f t="shared" si="6"/>
        <v>1.6252066469701194</v>
      </c>
      <c r="J17" s="106">
        <f t="shared" si="7"/>
        <v>158.95652173913047</v>
      </c>
      <c r="K17" s="18"/>
      <c r="L17" s="19"/>
    </row>
    <row r="18" spans="1:18" x14ac:dyDescent="0.35">
      <c r="A18" s="94">
        <v>-0.11799999999999999</v>
      </c>
      <c r="B18" s="95">
        <f t="shared" si="0"/>
        <v>8.4745762711864412</v>
      </c>
      <c r="C18" s="99">
        <v>1.4810000000000001</v>
      </c>
      <c r="D18" s="96">
        <f t="shared" si="1"/>
        <v>0.90600000000000014</v>
      </c>
      <c r="E18" s="95">
        <f t="shared" si="2"/>
        <v>1.0203729227040328</v>
      </c>
      <c r="F18" s="97">
        <f t="shared" si="3"/>
        <v>102.03729227040328</v>
      </c>
      <c r="G18" s="97">
        <f t="shared" si="4"/>
        <v>-2.0372922704032845</v>
      </c>
      <c r="H18" s="94">
        <f t="shared" si="5"/>
        <v>-1.7158606547602429</v>
      </c>
      <c r="I18" s="94">
        <f t="shared" si="6"/>
        <v>1.5978606547602427</v>
      </c>
      <c r="J18" s="106">
        <f t="shared" si="7"/>
        <v>157.56521739130437</v>
      </c>
    </row>
    <row r="19" spans="1:18" x14ac:dyDescent="0.35">
      <c r="A19" s="94">
        <v>-0.12</v>
      </c>
      <c r="B19" s="95">
        <f t="shared" si="0"/>
        <v>8.3333333333333339</v>
      </c>
      <c r="C19" s="99">
        <v>1.4770000000000001</v>
      </c>
      <c r="D19" s="96">
        <f t="shared" si="1"/>
        <v>0.90200000000000014</v>
      </c>
      <c r="E19" s="95">
        <f t="shared" si="2"/>
        <v>1.0158679649879001</v>
      </c>
      <c r="F19" s="97">
        <f t="shared" si="3"/>
        <v>101.58679649879001</v>
      </c>
      <c r="G19" s="97">
        <f t="shared" si="4"/>
        <v>-1.5867964987900081</v>
      </c>
      <c r="H19" s="94">
        <f t="shared" si="5"/>
        <v>-1.7258594527218727</v>
      </c>
      <c r="I19" s="94">
        <f t="shared" si="6"/>
        <v>1.6058594527218726</v>
      </c>
      <c r="J19" s="106">
        <f t="shared" si="7"/>
        <v>156.86956521739134</v>
      </c>
    </row>
    <row r="20" spans="1:18" x14ac:dyDescent="0.35">
      <c r="A20" s="94">
        <v>-0.15</v>
      </c>
      <c r="B20" s="95">
        <f t="shared" si="0"/>
        <v>6.666666666666667</v>
      </c>
      <c r="C20" s="99">
        <v>1.4690000000000001</v>
      </c>
      <c r="D20" s="96">
        <f t="shared" si="1"/>
        <v>0.89400000000000013</v>
      </c>
      <c r="E20" s="95">
        <f t="shared" si="2"/>
        <v>1.006858049555635</v>
      </c>
      <c r="F20" s="97">
        <f t="shared" si="3"/>
        <v>100.6858049555635</v>
      </c>
      <c r="G20" s="97">
        <f t="shared" si="4"/>
        <v>-0.68580495556349774</v>
      </c>
      <c r="H20" s="94">
        <f t="shared" si="5"/>
        <v>-1.7462107657456596</v>
      </c>
      <c r="I20" s="94">
        <f t="shared" si="6"/>
        <v>1.5962107657456597</v>
      </c>
      <c r="J20" s="106">
        <f t="shared" si="7"/>
        <v>155.47826086956525</v>
      </c>
      <c r="P20" s="10"/>
      <c r="Q20" s="9"/>
      <c r="R20" s="9"/>
    </row>
    <row r="21" spans="1:18" x14ac:dyDescent="0.35">
      <c r="A21" s="94">
        <v>-0.245</v>
      </c>
      <c r="B21" s="95">
        <f t="shared" si="0"/>
        <v>4.0816326530612246</v>
      </c>
      <c r="C21" s="99">
        <v>1.458</v>
      </c>
      <c r="D21" s="96">
        <f t="shared" si="1"/>
        <v>0.88300000000000001</v>
      </c>
      <c r="E21" s="95">
        <f t="shared" si="2"/>
        <v>0.99446941583627024</v>
      </c>
      <c r="F21" s="97">
        <f t="shared" si="3"/>
        <v>99.446941583627023</v>
      </c>
      <c r="G21" s="97">
        <f t="shared" si="4"/>
        <v>0.55305841637297704</v>
      </c>
      <c r="H21" s="94">
        <f t="shared" si="5"/>
        <v>-1.7749904299713319</v>
      </c>
      <c r="I21" s="94">
        <f t="shared" si="6"/>
        <v>1.5299904299713321</v>
      </c>
      <c r="J21" s="106">
        <f t="shared" si="7"/>
        <v>153.56521739130434</v>
      </c>
      <c r="P21" s="10"/>
      <c r="Q21" s="9"/>
      <c r="R21" s="9"/>
    </row>
    <row r="22" spans="1:18" x14ac:dyDescent="0.35">
      <c r="A22" s="50">
        <v>-0.24399999999999999</v>
      </c>
      <c r="B22" s="6">
        <f t="shared" si="0"/>
        <v>4.0983606557377046</v>
      </c>
      <c r="C22" s="35">
        <v>1.4490000000000001</v>
      </c>
      <c r="D22" s="48">
        <f t="shared" si="1"/>
        <v>0.87400000000000011</v>
      </c>
      <c r="E22" s="22">
        <f t="shared" si="2"/>
        <v>0.98433326097497198</v>
      </c>
      <c r="F22" s="49">
        <f t="shared" si="3"/>
        <v>98.433326097497201</v>
      </c>
      <c r="G22" s="49">
        <f t="shared" si="4"/>
        <v>1.5666739025027994</v>
      </c>
      <c r="H22" s="47">
        <f t="shared" si="5"/>
        <v>-1.7992526782940721</v>
      </c>
      <c r="I22" s="47">
        <f t="shared" si="6"/>
        <v>1.5552526782940721</v>
      </c>
      <c r="J22" s="108">
        <f t="shared" si="7"/>
        <v>152.00000000000003</v>
      </c>
      <c r="P22" s="10"/>
      <c r="Q22" s="9"/>
      <c r="R22" s="9"/>
    </row>
    <row r="23" spans="1:18" x14ac:dyDescent="0.35">
      <c r="A23" s="50">
        <v>-0.51100000000000001</v>
      </c>
      <c r="B23" s="6">
        <f t="shared" si="0"/>
        <v>1.9569471624266144</v>
      </c>
      <c r="C23" s="35">
        <v>1.4390000000000001</v>
      </c>
      <c r="D23" s="48">
        <f t="shared" si="1"/>
        <v>0.8640000000000001</v>
      </c>
      <c r="E23" s="22">
        <f t="shared" si="2"/>
        <v>0.97307086668464049</v>
      </c>
      <c r="F23" s="49">
        <f t="shared" si="3"/>
        <v>97.307086668464052</v>
      </c>
      <c r="G23" s="49">
        <f t="shared" si="4"/>
        <v>2.6929133315359479</v>
      </c>
      <c r="H23" s="47">
        <f t="shared" si="5"/>
        <v>-1.827000648506184</v>
      </c>
      <c r="I23" s="47">
        <f t="shared" si="6"/>
        <v>1.3160006485061841</v>
      </c>
      <c r="J23" s="108">
        <f t="shared" si="7"/>
        <v>150.26086956521743</v>
      </c>
      <c r="P23" s="10"/>
      <c r="Q23" s="9"/>
      <c r="R23" s="9"/>
    </row>
    <row r="24" spans="1:18" x14ac:dyDescent="0.35">
      <c r="A24" s="50">
        <v>-0.71199999999999997</v>
      </c>
      <c r="B24" s="6">
        <f t="shared" si="0"/>
        <v>1.404494382022472</v>
      </c>
      <c r="C24" s="35">
        <v>1.43</v>
      </c>
      <c r="D24" s="48">
        <f t="shared" si="1"/>
        <v>0.85499999999999998</v>
      </c>
      <c r="E24" s="22">
        <f t="shared" si="2"/>
        <v>0.962934711823342</v>
      </c>
      <c r="F24" s="49">
        <f t="shared" si="3"/>
        <v>96.293471182334201</v>
      </c>
      <c r="G24" s="49">
        <f t="shared" si="4"/>
        <v>3.7065288176657987</v>
      </c>
      <c r="H24" s="47">
        <f t="shared" si="5"/>
        <v>-1.8527158774111023</v>
      </c>
      <c r="I24" s="47">
        <f t="shared" si="6"/>
        <v>1.1407158774111024</v>
      </c>
      <c r="J24" s="108">
        <f t="shared" si="7"/>
        <v>148.69565217391306</v>
      </c>
      <c r="Q24" s="9"/>
      <c r="R24" s="9"/>
    </row>
    <row r="25" spans="1:18" x14ac:dyDescent="0.35">
      <c r="A25" s="50">
        <v>-1.1100000000000001</v>
      </c>
      <c r="B25" s="6">
        <f t="shared" si="0"/>
        <v>0.9009009009009008</v>
      </c>
      <c r="C25" s="35">
        <v>1.4159999999999999</v>
      </c>
      <c r="D25" s="48">
        <f t="shared" si="1"/>
        <v>0.84099999999999997</v>
      </c>
      <c r="E25" s="22">
        <f t="shared" si="2"/>
        <v>0.94716735981687794</v>
      </c>
      <c r="F25" s="49">
        <f t="shared" si="3"/>
        <v>94.716735981687791</v>
      </c>
      <c r="G25" s="49">
        <f t="shared" si="4"/>
        <v>5.2832640183122095</v>
      </c>
      <c r="H25" s="47">
        <f t="shared" si="5"/>
        <v>-1.8941883941021322</v>
      </c>
      <c r="I25" s="47">
        <f t="shared" si="6"/>
        <v>0.78418839410213215</v>
      </c>
      <c r="J25" s="108">
        <f t="shared" si="7"/>
        <v>146.2608695652174</v>
      </c>
      <c r="Q25" s="9"/>
      <c r="R25" s="9"/>
    </row>
    <row r="26" spans="1:18" x14ac:dyDescent="0.35">
      <c r="A26" s="50">
        <v>-1.46</v>
      </c>
      <c r="B26" s="6">
        <f t="shared" si="0"/>
        <v>0.68493150684931503</v>
      </c>
      <c r="C26" s="35">
        <v>1.399</v>
      </c>
      <c r="D26" s="48">
        <f t="shared" si="1"/>
        <v>0.82400000000000007</v>
      </c>
      <c r="E26" s="22">
        <f t="shared" si="2"/>
        <v>0.92802128952331453</v>
      </c>
      <c r="F26" s="49">
        <f t="shared" si="3"/>
        <v>92.802128952331458</v>
      </c>
      <c r="G26" s="49">
        <f t="shared" si="4"/>
        <v>7.1978710476685421</v>
      </c>
      <c r="H26" s="47">
        <f t="shared" si="5"/>
        <v>-1.9471137486835068</v>
      </c>
      <c r="I26" s="47">
        <f t="shared" si="6"/>
        <v>0.48711374868350688</v>
      </c>
      <c r="J26" s="108">
        <f t="shared" si="7"/>
        <v>143.304347826087</v>
      </c>
      <c r="Q26" s="9"/>
      <c r="R26" s="9"/>
    </row>
    <row r="27" spans="1:18" ht="15" thickBot="1" x14ac:dyDescent="0.4">
      <c r="A27" s="50">
        <v>-1.89</v>
      </c>
      <c r="B27" s="6">
        <f t="shared" si="0"/>
        <v>0.52910052910052918</v>
      </c>
      <c r="C27" s="35">
        <v>1.38</v>
      </c>
      <c r="D27" s="48">
        <f t="shared" si="1"/>
        <v>0.80499999999999994</v>
      </c>
      <c r="E27" s="22">
        <f t="shared" si="2"/>
        <v>0.90662274037168455</v>
      </c>
      <c r="F27" s="49">
        <f t="shared" si="3"/>
        <v>90.662274037168459</v>
      </c>
      <c r="G27" s="49">
        <f t="shared" si="4"/>
        <v>9.3377259628315414</v>
      </c>
      <c r="H27" s="47">
        <f t="shared" si="5"/>
        <v>-2.0098783920919301</v>
      </c>
      <c r="I27" s="47">
        <f t="shared" si="6"/>
        <v>0.11987839209193019</v>
      </c>
      <c r="J27" s="108">
        <f t="shared" si="7"/>
        <v>140</v>
      </c>
      <c r="Q27" s="9"/>
      <c r="R27" s="9"/>
    </row>
    <row r="28" spans="1:18" ht="15" thickBot="1" x14ac:dyDescent="0.4">
      <c r="A28" s="64">
        <v>-2.06</v>
      </c>
      <c r="B28" s="67">
        <f t="shared" si="0"/>
        <v>0.4854368932038835</v>
      </c>
      <c r="C28" s="66">
        <v>1.363</v>
      </c>
      <c r="D28" s="60">
        <f t="shared" si="1"/>
        <v>0.78800000000000003</v>
      </c>
      <c r="E28" s="61">
        <f t="shared" si="2"/>
        <v>0.88747667007812114</v>
      </c>
      <c r="F28" s="58">
        <f t="shared" si="3"/>
        <v>88.747667007812112</v>
      </c>
      <c r="G28" s="58">
        <f t="shared" si="4"/>
        <v>11.252332992187888</v>
      </c>
      <c r="H28" s="59">
        <f t="shared" si="5"/>
        <v>-2.0695680052879388</v>
      </c>
      <c r="I28" s="59">
        <f t="shared" si="6"/>
        <v>9.5680052879387745E-3</v>
      </c>
      <c r="J28" s="115">
        <f t="shared" si="7"/>
        <v>137.04347826086959</v>
      </c>
      <c r="Q28" s="9"/>
      <c r="R28" s="9"/>
    </row>
    <row r="29" spans="1:18" x14ac:dyDescent="0.35">
      <c r="A29" s="50">
        <v>-2.15</v>
      </c>
      <c r="B29" s="6">
        <f t="shared" si="0"/>
        <v>0.46511627906976744</v>
      </c>
      <c r="C29" s="35">
        <v>1.341</v>
      </c>
      <c r="D29" s="48">
        <f t="shared" si="1"/>
        <v>0.76600000000000001</v>
      </c>
      <c r="E29" s="22">
        <f t="shared" si="2"/>
        <v>0.86269940263939182</v>
      </c>
      <c r="F29" s="49">
        <f t="shared" si="3"/>
        <v>86.269940263939176</v>
      </c>
      <c r="G29" s="49">
        <f t="shared" si="4"/>
        <v>13.730059736060824</v>
      </c>
      <c r="H29" s="47">
        <f t="shared" si="5"/>
        <v>-2.1522865399718443</v>
      </c>
      <c r="I29" s="47">
        <f t="shared" si="6"/>
        <v>2.2865399718443591E-3</v>
      </c>
      <c r="J29" s="108">
        <f t="shared" si="7"/>
        <v>133.21739130434784</v>
      </c>
      <c r="Q29" s="9"/>
      <c r="R29" s="9"/>
    </row>
    <row r="30" spans="1:18" x14ac:dyDescent="0.35">
      <c r="A30" s="50">
        <v>-2.29</v>
      </c>
      <c r="B30" s="22">
        <f t="shared" si="0"/>
        <v>0.4366812227074236</v>
      </c>
      <c r="C30" s="35">
        <v>1.3109999999999999</v>
      </c>
      <c r="D30" s="48">
        <f t="shared" si="1"/>
        <v>0.73599999999999999</v>
      </c>
      <c r="E30" s="22">
        <f t="shared" si="2"/>
        <v>0.82891221976839735</v>
      </c>
      <c r="F30" s="49">
        <f t="shared" si="3"/>
        <v>82.891221976839731</v>
      </c>
      <c r="G30" s="49">
        <f t="shared" si="4"/>
        <v>17.108778023160269</v>
      </c>
      <c r="H30" s="47">
        <f t="shared" si="5"/>
        <v>-2.2763550920612645</v>
      </c>
      <c r="I30" s="47">
        <f t="shared" si="6"/>
        <v>-1.3644907938735518E-2</v>
      </c>
      <c r="J30" s="108">
        <f t="shared" si="7"/>
        <v>128</v>
      </c>
    </row>
    <row r="31" spans="1:18" x14ac:dyDescent="0.35">
      <c r="A31" s="50">
        <v>-2.38</v>
      </c>
      <c r="B31" s="22">
        <f t="shared" si="0"/>
        <v>0.42016806722689076</v>
      </c>
      <c r="C31" s="35">
        <v>1.2909999999999999</v>
      </c>
      <c r="D31" s="48">
        <f t="shared" si="1"/>
        <v>0.71599999999999997</v>
      </c>
      <c r="E31" s="22">
        <f t="shared" si="2"/>
        <v>0.80638743118773437</v>
      </c>
      <c r="F31" s="49">
        <f t="shared" si="3"/>
        <v>80.638743118773434</v>
      </c>
      <c r="G31" s="49">
        <f t="shared" si="4"/>
        <v>19.361256881226566</v>
      </c>
      <c r="H31" s="47">
        <f t="shared" si="5"/>
        <v>-2.3673316430659472</v>
      </c>
      <c r="I31" s="47">
        <f t="shared" si="6"/>
        <v>-1.266835693405266E-2</v>
      </c>
      <c r="J31" s="108">
        <f t="shared" si="7"/>
        <v>124.52173913043478</v>
      </c>
    </row>
    <row r="32" spans="1:18" x14ac:dyDescent="0.35">
      <c r="A32" s="50">
        <v>-2.73</v>
      </c>
      <c r="B32" s="22">
        <f t="shared" si="0"/>
        <v>0.36630036630036628</v>
      </c>
      <c r="C32" s="35">
        <v>1.222</v>
      </c>
      <c r="D32" s="48">
        <f t="shared" si="1"/>
        <v>0.64700000000000002</v>
      </c>
      <c r="E32" s="22">
        <f t="shared" si="2"/>
        <v>0.72867691058444717</v>
      </c>
      <c r="F32" s="49">
        <f t="shared" si="3"/>
        <v>72.86769105844472</v>
      </c>
      <c r="G32" s="49">
        <f t="shared" si="4"/>
        <v>27.13230894155528</v>
      </c>
      <c r="H32" s="47">
        <f t="shared" si="5"/>
        <v>-2.7459495072796996</v>
      </c>
      <c r="I32" s="47">
        <f t="shared" si="6"/>
        <v>1.5949507279699571E-2</v>
      </c>
      <c r="J32" s="108">
        <f t="shared" si="7"/>
        <v>112.5217391304348</v>
      </c>
    </row>
    <row r="34" spans="1:18" ht="15" x14ac:dyDescent="0.4">
      <c r="A34" s="13" t="s">
        <v>4</v>
      </c>
      <c r="B34" s="13"/>
      <c r="C34" s="23"/>
      <c r="D34" s="14"/>
      <c r="F34" s="34" t="s">
        <v>14</v>
      </c>
      <c r="Q34" s="15"/>
      <c r="R34" s="15"/>
    </row>
    <row r="35" spans="1:18" x14ac:dyDescent="0.35">
      <c r="A35" s="3" t="s">
        <v>26</v>
      </c>
      <c r="B35" s="27">
        <f>STDEV(D22:D28)/STDEV(A22:A28)</f>
        <v>4.5620965647359221E-2</v>
      </c>
      <c r="C35" s="5" t="s">
        <v>24</v>
      </c>
      <c r="D35" s="28">
        <f>COUNT(D22:D28)</f>
        <v>7</v>
      </c>
      <c r="F35" s="35" t="s">
        <v>26</v>
      </c>
      <c r="G35" s="30">
        <f>-STDEV(B28:B32)/STDEV(G28:G32)</f>
        <v>-7.4949654048398684E-3</v>
      </c>
      <c r="H35" s="5" t="s">
        <v>24</v>
      </c>
      <c r="I35" s="28">
        <f>COUNT(B28:B32)</f>
        <v>5</v>
      </c>
    </row>
    <row r="36" spans="1:18" ht="15.5" x14ac:dyDescent="0.35">
      <c r="A36" s="3" t="s">
        <v>3</v>
      </c>
      <c r="B36" s="24">
        <f>AVERAGE(D22:D28)-B35*AVERAGE(A22:A28)</f>
        <v>0.88791066466077972</v>
      </c>
      <c r="C36" s="26" t="s">
        <v>7</v>
      </c>
      <c r="F36" s="35" t="s">
        <v>3</v>
      </c>
      <c r="G36" s="31">
        <f>AVERAGE(B28:B32)-G35*AVERAGE(G28:G32)</f>
        <v>0.56752847290574893</v>
      </c>
      <c r="H36" s="25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4"/>
  <sheetViews>
    <sheetView zoomScale="60" zoomScaleNormal="60" workbookViewId="0">
      <selection activeCell="O31" sqref="M15:O31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9" customWidth="1"/>
    <col min="11" max="11" width="8.453125" customWidth="1"/>
    <col min="12" max="12" width="10.54296875" customWidth="1"/>
    <col min="13" max="13" width="19.1796875" customWidth="1"/>
    <col min="14" max="14" width="7.4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44804</v>
      </c>
      <c r="M1" s="17"/>
    </row>
    <row r="2" spans="1:20" x14ac:dyDescent="0.35">
      <c r="A2" s="1" t="s">
        <v>21</v>
      </c>
      <c r="B2" s="2"/>
      <c r="C2" s="4"/>
      <c r="K2" s="108"/>
      <c r="M2" s="17"/>
    </row>
    <row r="3" spans="1:20" x14ac:dyDescent="0.35">
      <c r="A3" s="3" t="s">
        <v>25</v>
      </c>
      <c r="B3" s="29"/>
      <c r="C3" s="3"/>
      <c r="D3" t="s">
        <v>15</v>
      </c>
      <c r="E3" s="103"/>
      <c r="J3" s="116"/>
    </row>
    <row r="4" spans="1:20" x14ac:dyDescent="0.35">
      <c r="A4" s="3" t="s">
        <v>22</v>
      </c>
      <c r="B4" s="102">
        <v>0.60299999999999998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B29/B4</f>
        <v>1.3096106572927513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-1/G29</f>
        <v>-1.5939838421767478</v>
      </c>
      <c r="O8" t="s">
        <v>12</v>
      </c>
    </row>
    <row r="9" spans="1:20" ht="15" x14ac:dyDescent="0.4">
      <c r="A9" s="94">
        <v>-4.9000000000000002E-2</v>
      </c>
      <c r="B9" s="95">
        <f t="shared" ref="B9:B24" si="0">-1/A9</f>
        <v>20.408163265306122</v>
      </c>
      <c r="C9" s="91">
        <v>1.415</v>
      </c>
      <c r="D9" s="96">
        <f>C9-$B$3-$B$4</f>
        <v>0.81200000000000006</v>
      </c>
      <c r="E9" s="95">
        <f t="shared" ref="E9:E24" si="1">(D9/$B$29)</f>
        <v>1.0282447872397993</v>
      </c>
      <c r="F9" s="97">
        <f t="shared" ref="F9:F24" si="2">100*E9</f>
        <v>102.82447872397992</v>
      </c>
      <c r="G9" s="97">
        <f t="shared" ref="G9:G24" si="3">100-F9</f>
        <v>-2.8244787239799223</v>
      </c>
      <c r="H9" s="94">
        <f t="shared" ref="H9:H24" si="4">-1/($G$29+$G$28*G9)</f>
        <v>-1.5169168329600391</v>
      </c>
      <c r="I9" s="94">
        <f t="shared" ref="I9:I15" si="5">A9-H9</f>
        <v>1.4679168329600392</v>
      </c>
      <c r="J9" s="106">
        <f>D9/$B$4*100</f>
        <v>134.66003316749587</v>
      </c>
      <c r="M9" s="53" t="s">
        <v>23</v>
      </c>
      <c r="N9" s="40">
        <f>H19</f>
        <v>-1.9260687985155647</v>
      </c>
      <c r="O9" t="s">
        <v>5</v>
      </c>
    </row>
    <row r="10" spans="1:20" ht="15.5" thickBot="1" x14ac:dyDescent="0.45">
      <c r="A10" s="94">
        <v>-4.3999999999999997E-2</v>
      </c>
      <c r="B10" s="95">
        <f t="shared" si="0"/>
        <v>22.72727272727273</v>
      </c>
      <c r="C10" s="91">
        <v>1.413</v>
      </c>
      <c r="D10" s="96">
        <f t="shared" ref="D10:D24" si="6">C10-$B$3-$B$4</f>
        <v>0.81</v>
      </c>
      <c r="E10" s="95">
        <f t="shared" si="1"/>
        <v>1.0257121646111298</v>
      </c>
      <c r="F10" s="97">
        <f t="shared" si="2"/>
        <v>102.57121646111298</v>
      </c>
      <c r="G10" s="97">
        <f t="shared" si="3"/>
        <v>-2.5712164611129822</v>
      </c>
      <c r="H10" s="94">
        <f t="shared" si="4"/>
        <v>-1.5235217203286271</v>
      </c>
      <c r="I10" s="94">
        <f t="shared" si="5"/>
        <v>1.4795217203286271</v>
      </c>
      <c r="J10" s="106">
        <f t="shared" ref="J10:J24" si="7">D10/$B$4*100</f>
        <v>134.32835820895522</v>
      </c>
      <c r="M10" s="54" t="s">
        <v>31</v>
      </c>
      <c r="N10" s="41">
        <f>F19</f>
        <v>90.414627843499588</v>
      </c>
      <c r="O10" t="s">
        <v>6</v>
      </c>
    </row>
    <row r="11" spans="1:20" ht="16.5" customHeight="1" thickBot="1" x14ac:dyDescent="0.45">
      <c r="A11" s="94">
        <v>-4.4999999999999998E-2</v>
      </c>
      <c r="B11" s="95">
        <f t="shared" si="0"/>
        <v>22.222222222222221</v>
      </c>
      <c r="C11" s="98">
        <v>1.41</v>
      </c>
      <c r="D11" s="96">
        <f t="shared" si="6"/>
        <v>0.80699999999999994</v>
      </c>
      <c r="E11" s="95">
        <f t="shared" si="1"/>
        <v>1.0219132306681256</v>
      </c>
      <c r="F11" s="97">
        <f t="shared" si="2"/>
        <v>102.19132306681256</v>
      </c>
      <c r="G11" s="97">
        <f t="shared" si="3"/>
        <v>-2.1913230668125578</v>
      </c>
      <c r="H11" s="94">
        <f t="shared" si="4"/>
        <v>-1.5335376054510832</v>
      </c>
      <c r="I11" s="94">
        <f t="shared" si="5"/>
        <v>1.4885376054510833</v>
      </c>
      <c r="J11" s="106">
        <f t="shared" si="7"/>
        <v>133.83084577114428</v>
      </c>
      <c r="M11" s="55" t="s">
        <v>1</v>
      </c>
      <c r="N11" s="42">
        <f>STDEV(I13:I19)/STDEV(E13:E19)</f>
        <v>16.961700608321244</v>
      </c>
      <c r="O11" t="s">
        <v>8</v>
      </c>
    </row>
    <row r="12" spans="1:20" ht="16" x14ac:dyDescent="0.4">
      <c r="A12" s="94">
        <v>-0.09</v>
      </c>
      <c r="B12" s="95">
        <f t="shared" si="0"/>
        <v>11.111111111111111</v>
      </c>
      <c r="C12" s="99">
        <v>1.399</v>
      </c>
      <c r="D12" s="96">
        <f t="shared" si="6"/>
        <v>0.79600000000000004</v>
      </c>
      <c r="E12" s="95">
        <f t="shared" si="1"/>
        <v>1.0079838062104436</v>
      </c>
      <c r="F12" s="97">
        <f t="shared" si="2"/>
        <v>100.79838062104436</v>
      </c>
      <c r="G12" s="97">
        <f t="shared" si="3"/>
        <v>-0.79838062104435892</v>
      </c>
      <c r="H12" s="94">
        <f t="shared" si="4"/>
        <v>-1.5714170476688547</v>
      </c>
      <c r="I12" s="94">
        <f t="shared" si="5"/>
        <v>1.4814170476688546</v>
      </c>
      <c r="J12" s="106">
        <f t="shared" si="7"/>
        <v>132.00663349917085</v>
      </c>
      <c r="M12" s="53" t="s">
        <v>33</v>
      </c>
      <c r="N12" s="43">
        <f>STDEV(E13:E19)/STDEV(A13:A19)</f>
        <v>4.8871429366817022E-2</v>
      </c>
      <c r="O12" t="s">
        <v>9</v>
      </c>
    </row>
    <row r="13" spans="1:20" ht="16.5" thickBot="1" x14ac:dyDescent="0.45">
      <c r="A13" s="47">
        <v>-0.187</v>
      </c>
      <c r="B13" s="22">
        <f t="shared" si="0"/>
        <v>5.3475935828877006</v>
      </c>
      <c r="C13" s="35">
        <v>1.3859999999999999</v>
      </c>
      <c r="D13" s="48">
        <f t="shared" si="6"/>
        <v>0.78299999999999992</v>
      </c>
      <c r="E13" s="22">
        <f t="shared" si="1"/>
        <v>0.99152175912409202</v>
      </c>
      <c r="F13" s="49">
        <f t="shared" si="2"/>
        <v>99.152175912409206</v>
      </c>
      <c r="G13" s="49">
        <f t="shared" si="3"/>
        <v>0.84782408759079431</v>
      </c>
      <c r="H13" s="47">
        <f t="shared" si="4"/>
        <v>-1.6186687875599055</v>
      </c>
      <c r="I13" s="47">
        <f t="shared" si="5"/>
        <v>1.4316687875599055</v>
      </c>
      <c r="J13" s="108">
        <f t="shared" si="7"/>
        <v>129.85074626865671</v>
      </c>
      <c r="M13" s="54" t="s">
        <v>0</v>
      </c>
      <c r="N13" s="41">
        <f>STDEV(E19:E24)/STDEV(A19:A24)</f>
        <v>0.19618863367113532</v>
      </c>
      <c r="O13" t="s">
        <v>10</v>
      </c>
    </row>
    <row r="14" spans="1:20" ht="16" x14ac:dyDescent="0.4">
      <c r="A14" s="47">
        <v>-0.35</v>
      </c>
      <c r="B14" s="22">
        <f t="shared" si="0"/>
        <v>2.8571428571428572</v>
      </c>
      <c r="C14" s="35">
        <v>1.3779999999999999</v>
      </c>
      <c r="D14" s="48">
        <f t="shared" si="6"/>
        <v>0.77499999999999991</v>
      </c>
      <c r="E14" s="22">
        <f t="shared" si="1"/>
        <v>0.98139126860941417</v>
      </c>
      <c r="F14" s="49">
        <f t="shared" si="2"/>
        <v>98.139126860941417</v>
      </c>
      <c r="G14" s="49">
        <f t="shared" si="3"/>
        <v>1.8608731390585831</v>
      </c>
      <c r="H14" s="47">
        <f t="shared" si="4"/>
        <v>-1.6491858394470378</v>
      </c>
      <c r="I14" s="47">
        <f t="shared" si="5"/>
        <v>1.2991858394470377</v>
      </c>
      <c r="J14" s="108">
        <f t="shared" si="7"/>
        <v>128.52404643449418</v>
      </c>
      <c r="M14" s="56" t="s">
        <v>16</v>
      </c>
      <c r="N14" s="44" t="e">
        <f>N12*B29/18/(E3/10000)</f>
        <v>#DIV/0!</v>
      </c>
    </row>
    <row r="15" spans="1:20" x14ac:dyDescent="0.35">
      <c r="A15" s="50">
        <v>-0.58099999999999996</v>
      </c>
      <c r="B15" s="22">
        <f t="shared" si="0"/>
        <v>1.7211703958691911</v>
      </c>
      <c r="C15" s="35">
        <v>1.369</v>
      </c>
      <c r="D15" s="48">
        <f t="shared" si="6"/>
        <v>0.76600000000000001</v>
      </c>
      <c r="E15" s="22">
        <f t="shared" si="1"/>
        <v>0.96999446678040169</v>
      </c>
      <c r="F15" s="49">
        <f t="shared" si="2"/>
        <v>96.999446678040172</v>
      </c>
      <c r="G15" s="49">
        <f t="shared" si="3"/>
        <v>3.0005533219598277</v>
      </c>
      <c r="H15" s="47">
        <f t="shared" si="4"/>
        <v>-1.6849227580065684</v>
      </c>
      <c r="I15" s="47">
        <f t="shared" si="5"/>
        <v>1.1039227580065685</v>
      </c>
      <c r="J15" s="108">
        <f t="shared" si="7"/>
        <v>127.03150912106136</v>
      </c>
      <c r="K15" s="18"/>
      <c r="L15" s="19"/>
    </row>
    <row r="16" spans="1:20" x14ac:dyDescent="0.35">
      <c r="A16" s="50">
        <v>-0.96</v>
      </c>
      <c r="B16" s="22">
        <f t="shared" si="0"/>
        <v>1.0416666666666667</v>
      </c>
      <c r="C16" s="35">
        <v>1.357</v>
      </c>
      <c r="D16" s="48">
        <f t="shared" si="6"/>
        <v>0.754</v>
      </c>
      <c r="E16" s="22">
        <f t="shared" si="1"/>
        <v>0.95479873100838497</v>
      </c>
      <c r="F16" s="49">
        <f t="shared" si="2"/>
        <v>95.479873100838503</v>
      </c>
      <c r="G16" s="49">
        <f t="shared" si="3"/>
        <v>4.5201268991614967</v>
      </c>
      <c r="H16" s="47">
        <f t="shared" si="4"/>
        <v>-1.7350529032926714</v>
      </c>
      <c r="I16" s="47">
        <f t="shared" ref="I16:I24" si="8">A16-H16</f>
        <v>0.7750529032926714</v>
      </c>
      <c r="J16" s="108">
        <f t="shared" si="7"/>
        <v>125.04145936981759</v>
      </c>
      <c r="K16" s="18"/>
      <c r="L16" s="19"/>
      <c r="P16" s="3"/>
      <c r="Q16" s="3"/>
      <c r="R16" s="3"/>
      <c r="S16" s="3"/>
      <c r="T16" s="3"/>
    </row>
    <row r="17" spans="1:18" x14ac:dyDescent="0.35">
      <c r="A17" s="50">
        <v>-1.44</v>
      </c>
      <c r="B17" s="22">
        <f t="shared" si="0"/>
        <v>0.69444444444444442</v>
      </c>
      <c r="C17" s="35">
        <v>1.34</v>
      </c>
      <c r="D17" s="48">
        <f t="shared" si="6"/>
        <v>0.7370000000000001</v>
      </c>
      <c r="E17" s="22">
        <f t="shared" si="1"/>
        <v>0.93327143866469475</v>
      </c>
      <c r="F17" s="49">
        <f t="shared" si="2"/>
        <v>93.32714386646947</v>
      </c>
      <c r="G17" s="49">
        <f t="shared" si="3"/>
        <v>6.6728561335305301</v>
      </c>
      <c r="H17" s="47">
        <f t="shared" si="4"/>
        <v>-1.8114015562105241</v>
      </c>
      <c r="I17" s="47">
        <f t="shared" si="8"/>
        <v>0.37140155621052418</v>
      </c>
      <c r="J17" s="108">
        <f t="shared" si="7"/>
        <v>122.22222222222223</v>
      </c>
      <c r="K17" s="18"/>
      <c r="L17" s="19"/>
    </row>
    <row r="18" spans="1:18" ht="15" thickBot="1" x14ac:dyDescent="0.4">
      <c r="A18" s="50">
        <v>-1.7</v>
      </c>
      <c r="B18" s="22">
        <f t="shared" si="0"/>
        <v>0.58823529411764708</v>
      </c>
      <c r="C18" s="35">
        <v>1.3260000000000001</v>
      </c>
      <c r="D18" s="48">
        <f t="shared" si="6"/>
        <v>0.72300000000000009</v>
      </c>
      <c r="E18" s="22">
        <f t="shared" si="1"/>
        <v>0.91554308026400855</v>
      </c>
      <c r="F18" s="49">
        <f t="shared" si="2"/>
        <v>91.554308026400861</v>
      </c>
      <c r="G18" s="49">
        <f t="shared" si="3"/>
        <v>8.4456919735991391</v>
      </c>
      <c r="H18" s="47">
        <f t="shared" si="4"/>
        <v>-1.8795118640622792</v>
      </c>
      <c r="I18" s="47">
        <f t="shared" si="8"/>
        <v>0.17951186406227926</v>
      </c>
      <c r="J18" s="108">
        <f t="shared" si="7"/>
        <v>119.90049751243784</v>
      </c>
    </row>
    <row r="19" spans="1:18" ht="15" thickBot="1" x14ac:dyDescent="0.4">
      <c r="A19" s="64">
        <v>-1.93</v>
      </c>
      <c r="B19" s="61">
        <f t="shared" si="0"/>
        <v>0.5181347150259068</v>
      </c>
      <c r="C19" s="66">
        <v>1.3169999999999999</v>
      </c>
      <c r="D19" s="60">
        <f t="shared" si="6"/>
        <v>0.71399999999999997</v>
      </c>
      <c r="E19" s="61">
        <f t="shared" si="1"/>
        <v>0.90414627843499584</v>
      </c>
      <c r="F19" s="58">
        <f t="shared" si="2"/>
        <v>90.414627843499588</v>
      </c>
      <c r="G19" s="58">
        <f t="shared" si="3"/>
        <v>9.5853721565004122</v>
      </c>
      <c r="H19" s="59">
        <f t="shared" si="4"/>
        <v>-1.9260687985155647</v>
      </c>
      <c r="I19" s="59">
        <f t="shared" si="8"/>
        <v>-3.931201484435265E-3</v>
      </c>
      <c r="J19" s="115">
        <f t="shared" si="7"/>
        <v>118.40796019900498</v>
      </c>
    </row>
    <row r="20" spans="1:18" x14ac:dyDescent="0.35">
      <c r="A20" s="50">
        <v>-1.95</v>
      </c>
      <c r="B20" s="22">
        <f t="shared" si="0"/>
        <v>0.51282051282051289</v>
      </c>
      <c r="C20" s="35">
        <v>1.3089999999999999</v>
      </c>
      <c r="D20" s="48">
        <f t="shared" si="6"/>
        <v>0.70599999999999996</v>
      </c>
      <c r="E20" s="22">
        <f t="shared" si="1"/>
        <v>0.89401578792031799</v>
      </c>
      <c r="F20" s="49">
        <f t="shared" si="2"/>
        <v>89.401578792031799</v>
      </c>
      <c r="G20" s="49">
        <f t="shared" si="3"/>
        <v>10.598421207968201</v>
      </c>
      <c r="H20" s="47">
        <f t="shared" si="4"/>
        <v>-1.9694326569117304</v>
      </c>
      <c r="I20" s="47">
        <f t="shared" si="8"/>
        <v>1.9432656911730462E-2</v>
      </c>
      <c r="J20" s="108">
        <f t="shared" si="7"/>
        <v>117.08126036484245</v>
      </c>
      <c r="P20" s="10"/>
      <c r="Q20" s="9"/>
      <c r="R20" s="9"/>
    </row>
    <row r="21" spans="1:18" x14ac:dyDescent="0.35">
      <c r="A21" s="50">
        <v>-1.99</v>
      </c>
      <c r="B21" s="22">
        <f t="shared" si="0"/>
        <v>0.50251256281407031</v>
      </c>
      <c r="C21" s="35">
        <v>1.3049999999999999</v>
      </c>
      <c r="D21" s="48">
        <f t="shared" si="6"/>
        <v>0.70199999999999996</v>
      </c>
      <c r="E21" s="22">
        <f t="shared" si="1"/>
        <v>0.88895054266297902</v>
      </c>
      <c r="F21" s="49">
        <f t="shared" si="2"/>
        <v>88.895054266297905</v>
      </c>
      <c r="G21" s="49">
        <f t="shared" si="3"/>
        <v>11.104945733702095</v>
      </c>
      <c r="H21" s="47">
        <f t="shared" si="4"/>
        <v>-1.9918551489565617</v>
      </c>
      <c r="I21" s="47">
        <f t="shared" si="8"/>
        <v>1.8551489565616919E-3</v>
      </c>
      <c r="J21" s="108">
        <f t="shared" si="7"/>
        <v>116.4179104477612</v>
      </c>
      <c r="P21" s="10"/>
      <c r="Q21" s="9"/>
      <c r="R21" s="9"/>
    </row>
    <row r="22" spans="1:18" x14ac:dyDescent="0.35">
      <c r="A22" s="50">
        <v>-2.0699999999999998</v>
      </c>
      <c r="B22" s="6">
        <f t="shared" si="0"/>
        <v>0.48309178743961356</v>
      </c>
      <c r="C22" s="35">
        <v>1.294</v>
      </c>
      <c r="D22" s="48">
        <f t="shared" si="6"/>
        <v>0.69100000000000006</v>
      </c>
      <c r="E22" s="22">
        <f t="shared" si="1"/>
        <v>0.87502111820529715</v>
      </c>
      <c r="F22" s="49">
        <f t="shared" si="2"/>
        <v>87.50211182052972</v>
      </c>
      <c r="G22" s="49">
        <f t="shared" si="3"/>
        <v>12.49788817947028</v>
      </c>
      <c r="H22" s="47">
        <f t="shared" si="4"/>
        <v>-2.0562347271500845</v>
      </c>
      <c r="I22" s="47">
        <f t="shared" si="8"/>
        <v>-1.3765272849915355E-2</v>
      </c>
      <c r="J22" s="108">
        <f t="shared" si="7"/>
        <v>114.59369817578775</v>
      </c>
      <c r="P22" s="10"/>
      <c r="Q22" s="9"/>
      <c r="R22" s="9"/>
    </row>
    <row r="23" spans="1:18" x14ac:dyDescent="0.35">
      <c r="A23" s="50">
        <v>-2.1800000000000002</v>
      </c>
      <c r="B23" s="6">
        <f t="shared" si="0"/>
        <v>0.4587155963302752</v>
      </c>
      <c r="C23" s="35">
        <v>1.278</v>
      </c>
      <c r="D23" s="48">
        <f t="shared" si="6"/>
        <v>0.67500000000000004</v>
      </c>
      <c r="E23" s="22">
        <f t="shared" si="1"/>
        <v>0.85476013717594146</v>
      </c>
      <c r="F23" s="49">
        <f t="shared" si="2"/>
        <v>85.476013717594142</v>
      </c>
      <c r="G23" s="49">
        <f t="shared" si="3"/>
        <v>14.523986282405858</v>
      </c>
      <c r="H23" s="47">
        <f t="shared" si="4"/>
        <v>-2.1576733560796533</v>
      </c>
      <c r="I23" s="47">
        <f t="shared" si="8"/>
        <v>-2.2326643920346889E-2</v>
      </c>
      <c r="J23" s="108">
        <f t="shared" si="7"/>
        <v>111.9402985074627</v>
      </c>
      <c r="P23" s="10"/>
      <c r="Q23" s="9"/>
      <c r="R23" s="9"/>
    </row>
    <row r="24" spans="1:18" x14ac:dyDescent="0.35">
      <c r="A24" s="50">
        <v>-2.35</v>
      </c>
      <c r="B24" s="6">
        <f t="shared" si="0"/>
        <v>0.42553191489361702</v>
      </c>
      <c r="C24" s="35">
        <v>1.2490000000000001</v>
      </c>
      <c r="D24" s="48">
        <f t="shared" si="6"/>
        <v>0.64600000000000013</v>
      </c>
      <c r="E24" s="22">
        <f t="shared" si="1"/>
        <v>0.81803710906023452</v>
      </c>
      <c r="F24" s="49">
        <f t="shared" si="2"/>
        <v>81.803710906023454</v>
      </c>
      <c r="G24" s="49">
        <f t="shared" si="3"/>
        <v>18.196289093976546</v>
      </c>
      <c r="H24" s="47">
        <f t="shared" si="4"/>
        <v>-2.3695454397078106</v>
      </c>
      <c r="I24" s="47">
        <f t="shared" si="8"/>
        <v>1.954543970781053E-2</v>
      </c>
      <c r="J24" s="108">
        <f t="shared" si="7"/>
        <v>107.13101160862357</v>
      </c>
      <c r="Q24" s="9"/>
      <c r="R24" s="9"/>
    </row>
    <row r="25" spans="1:18" x14ac:dyDescent="0.35">
      <c r="A25" s="3"/>
      <c r="B25" s="6"/>
      <c r="C25" s="3"/>
      <c r="D25" s="48"/>
      <c r="E25" s="22"/>
      <c r="F25" s="49"/>
      <c r="G25" s="49"/>
      <c r="H25" s="47"/>
      <c r="I25" s="47"/>
      <c r="Q25" s="9"/>
      <c r="R25" s="9"/>
    </row>
    <row r="26" spans="1:18" x14ac:dyDescent="0.35">
      <c r="A26" s="3"/>
      <c r="B26" s="6"/>
      <c r="C26" s="3"/>
      <c r="D26" s="48"/>
      <c r="E26" s="22"/>
      <c r="F26" s="49"/>
      <c r="G26" s="49"/>
      <c r="H26" s="47"/>
      <c r="I26" s="47"/>
      <c r="Q26" s="9"/>
      <c r="R26" s="9"/>
    </row>
    <row r="27" spans="1:18" ht="15" x14ac:dyDescent="0.4">
      <c r="A27" s="13" t="s">
        <v>4</v>
      </c>
      <c r="B27" s="13"/>
      <c r="C27" s="23"/>
      <c r="D27" s="14"/>
      <c r="F27" s="34" t="s">
        <v>14</v>
      </c>
      <c r="Q27" s="9"/>
      <c r="R27" s="9"/>
    </row>
    <row r="28" spans="1:18" x14ac:dyDescent="0.35">
      <c r="A28" s="3" t="s">
        <v>26</v>
      </c>
      <c r="B28" s="27">
        <f>STDEV(D13:D19)/STDEV(A13:A19)</f>
        <v>3.859353447575585E-2</v>
      </c>
      <c r="C28" s="5" t="s">
        <v>24</v>
      </c>
      <c r="D28" s="28">
        <f>COUNT(D13:D19)</f>
        <v>7</v>
      </c>
      <c r="F28" s="35" t="s">
        <v>26</v>
      </c>
      <c r="G28" s="30">
        <f>-STDEV(B19:B24)/STDEV(G19:G24)</f>
        <v>-1.1284556942115293E-2</v>
      </c>
      <c r="H28" s="5" t="s">
        <v>24</v>
      </c>
      <c r="I28" s="28">
        <f>COUNT(B19:B24)</f>
        <v>6</v>
      </c>
      <c r="Q28" s="9"/>
      <c r="R28" s="9"/>
    </row>
    <row r="29" spans="1:18" ht="15.5" x14ac:dyDescent="0.35">
      <c r="A29" s="3" t="s">
        <v>3</v>
      </c>
      <c r="B29" s="24">
        <f>AVERAGE(D13:D19)-B28*AVERAGE(A13:A19)</f>
        <v>0.78969522634752898</v>
      </c>
      <c r="C29" s="26" t="s">
        <v>7</v>
      </c>
      <c r="F29" s="35" t="s">
        <v>3</v>
      </c>
      <c r="G29" s="31">
        <f>AVERAGE(B19:B24)-G28*AVERAGE(G19:G24)</f>
        <v>0.62735893146469901</v>
      </c>
      <c r="H29" s="25"/>
      <c r="Q29" s="9"/>
      <c r="R29" s="9"/>
    </row>
    <row r="34" spans="17:18" x14ac:dyDescent="0.35">
      <c r="Q34" s="15"/>
      <c r="R34" s="15"/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4"/>
  <sheetViews>
    <sheetView zoomScale="60" zoomScaleNormal="60" workbookViewId="0">
      <selection activeCell="F3" sqref="F3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0.7265625" customWidth="1"/>
    <col min="11" max="11" width="8.26953125" customWidth="1"/>
    <col min="12" max="12" width="9.81640625" customWidth="1"/>
    <col min="13" max="13" width="19.1796875" customWidth="1"/>
    <col min="14" max="14" width="9.4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44804</v>
      </c>
      <c r="M1" s="17"/>
    </row>
    <row r="2" spans="1:20" x14ac:dyDescent="0.35">
      <c r="A2" s="1" t="s">
        <v>21</v>
      </c>
      <c r="B2" s="2"/>
      <c r="C2" s="4"/>
      <c r="K2" s="108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38.609000000000002</v>
      </c>
      <c r="J3" s="116"/>
    </row>
    <row r="4" spans="1:20" x14ac:dyDescent="0.35">
      <c r="A4" s="3" t="s">
        <v>22</v>
      </c>
      <c r="B4" s="102">
        <v>0.55600000000000005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B26/B4</f>
        <v>1.4779710351690365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-1/G26</f>
        <v>-1.6765865998298652</v>
      </c>
      <c r="O8" t="s">
        <v>12</v>
      </c>
    </row>
    <row r="9" spans="1:20" ht="15" x14ac:dyDescent="0.4">
      <c r="A9" s="94">
        <v>-7.9000000000000001E-2</v>
      </c>
      <c r="B9" s="95">
        <f t="shared" ref="B9:B21" si="0">-1/A9</f>
        <v>12.658227848101266</v>
      </c>
      <c r="C9" s="91">
        <v>1.4059999999999999</v>
      </c>
      <c r="D9" s="96">
        <f>C9-$B$3-$B$4</f>
        <v>0.84999999999999987</v>
      </c>
      <c r="E9" s="95">
        <f t="shared" ref="E9:E21" si="1">(D9/$B$26)</f>
        <v>1.0343754661216473</v>
      </c>
      <c r="F9" s="97">
        <f t="shared" ref="F9:F21" si="2">100*E9</f>
        <v>103.43754661216474</v>
      </c>
      <c r="G9" s="97">
        <f t="shared" ref="G9:G21" si="3">100-F9</f>
        <v>-3.4375466121647378</v>
      </c>
      <c r="H9" s="94">
        <f t="shared" ref="H9:H21" si="4">-1/($G$26+$G$25*G9)</f>
        <v>-1.5999520100001077</v>
      </c>
      <c r="I9" s="94">
        <f t="shared" ref="I9:I21" si="5">A9-H9</f>
        <v>1.5209520100001077</v>
      </c>
      <c r="J9" s="106">
        <f>D9/$B$4*100</f>
        <v>152.87769784172659</v>
      </c>
      <c r="M9" s="53" t="s">
        <v>23</v>
      </c>
      <c r="N9" s="40">
        <f>H16</f>
        <v>-2.0513881009349726</v>
      </c>
      <c r="O9" t="s">
        <v>5</v>
      </c>
    </row>
    <row r="10" spans="1:20" ht="15.5" thickBot="1" x14ac:dyDescent="0.45">
      <c r="A10" s="94">
        <v>-0.08</v>
      </c>
      <c r="B10" s="95">
        <f t="shared" si="0"/>
        <v>12.5</v>
      </c>
      <c r="C10" s="91">
        <v>1.401</v>
      </c>
      <c r="D10" s="96">
        <f t="shared" ref="D10:D21" si="6">C10-$B$3-$B$4</f>
        <v>0.84499999999999997</v>
      </c>
      <c r="E10" s="95">
        <f t="shared" si="1"/>
        <v>1.0282909045562261</v>
      </c>
      <c r="F10" s="97">
        <f t="shared" si="2"/>
        <v>102.82909045562261</v>
      </c>
      <c r="G10" s="97">
        <f t="shared" si="3"/>
        <v>-2.8290904556226053</v>
      </c>
      <c r="H10" s="94">
        <f t="shared" si="4"/>
        <v>-1.6130021292809671</v>
      </c>
      <c r="I10" s="94">
        <f t="shared" si="5"/>
        <v>1.533002129280967</v>
      </c>
      <c r="J10" s="106">
        <f t="shared" ref="J10:J21" si="7">D10/$B$4*100</f>
        <v>151.97841726618705</v>
      </c>
      <c r="M10" s="54" t="s">
        <v>31</v>
      </c>
      <c r="N10" s="41">
        <f>F16</f>
        <v>86.887539154218388</v>
      </c>
      <c r="O10" t="s">
        <v>6</v>
      </c>
    </row>
    <row r="11" spans="1:20" ht="16.5" customHeight="1" thickBot="1" x14ac:dyDescent="0.45">
      <c r="A11" s="94">
        <v>-0.188</v>
      </c>
      <c r="B11" s="95">
        <f t="shared" si="0"/>
        <v>5.3191489361702127</v>
      </c>
      <c r="C11" s="91">
        <v>1.381</v>
      </c>
      <c r="D11" s="96">
        <f t="shared" si="6"/>
        <v>0.82499999999999996</v>
      </c>
      <c r="E11" s="95">
        <f t="shared" si="1"/>
        <v>1.0039526582945402</v>
      </c>
      <c r="F11" s="97">
        <f t="shared" si="2"/>
        <v>100.39526582945402</v>
      </c>
      <c r="G11" s="97">
        <f t="shared" si="3"/>
        <v>-0.39526582945401856</v>
      </c>
      <c r="H11" s="94">
        <f t="shared" si="4"/>
        <v>-1.6674032905533414</v>
      </c>
      <c r="I11" s="94">
        <f t="shared" si="5"/>
        <v>1.4794032905533414</v>
      </c>
      <c r="J11" s="106">
        <f t="shared" si="7"/>
        <v>148.38129496402877</v>
      </c>
      <c r="M11" s="55" t="s">
        <v>1</v>
      </c>
      <c r="N11" s="42">
        <f>STDEV(I12:I16)/STDEV(E12:E16)</f>
        <v>13.382890379850458</v>
      </c>
      <c r="O11" t="s">
        <v>8</v>
      </c>
    </row>
    <row r="12" spans="1:20" ht="16" x14ac:dyDescent="0.4">
      <c r="A12" s="47">
        <v>-0.26800000000000002</v>
      </c>
      <c r="B12" s="22">
        <f t="shared" si="0"/>
        <v>3.7313432835820892</v>
      </c>
      <c r="C12">
        <v>1.3620000000000001</v>
      </c>
      <c r="D12" s="48">
        <f t="shared" si="6"/>
        <v>0.80600000000000005</v>
      </c>
      <c r="E12" s="22">
        <f t="shared" si="1"/>
        <v>0.98083132434593867</v>
      </c>
      <c r="F12" s="49">
        <f t="shared" si="2"/>
        <v>98.083132434593864</v>
      </c>
      <c r="G12" s="49">
        <f t="shared" si="3"/>
        <v>1.916867565406136</v>
      </c>
      <c r="H12" s="47">
        <f t="shared" si="4"/>
        <v>-1.7225958102918926</v>
      </c>
      <c r="I12" s="47">
        <f t="shared" si="5"/>
        <v>1.4545958102918926</v>
      </c>
      <c r="J12" s="108">
        <f t="shared" si="7"/>
        <v>144.96402877697841</v>
      </c>
      <c r="M12" s="53" t="s">
        <v>33</v>
      </c>
      <c r="N12" s="43">
        <f>STDEV(E12:E16)/STDEV(A12:A16)</f>
        <v>6.1494797099786162E-2</v>
      </c>
      <c r="O12" t="s">
        <v>9</v>
      </c>
    </row>
    <row r="13" spans="1:20" ht="16.5" thickBot="1" x14ac:dyDescent="0.45">
      <c r="A13" s="47">
        <v>-0.74199999999999999</v>
      </c>
      <c r="B13" s="22">
        <f t="shared" si="0"/>
        <v>1.3477088948787062</v>
      </c>
      <c r="C13">
        <v>1.339</v>
      </c>
      <c r="D13" s="48">
        <f t="shared" si="6"/>
        <v>0.78299999999999992</v>
      </c>
      <c r="E13" s="22">
        <f t="shared" si="1"/>
        <v>0.95284234114499988</v>
      </c>
      <c r="F13" s="49">
        <f t="shared" si="2"/>
        <v>95.284234114499995</v>
      </c>
      <c r="G13" s="49">
        <f t="shared" si="3"/>
        <v>4.7157658855000051</v>
      </c>
      <c r="H13" s="47">
        <f t="shared" si="4"/>
        <v>-1.7945005292608405</v>
      </c>
      <c r="I13" s="47">
        <f t="shared" si="5"/>
        <v>1.0525005292608405</v>
      </c>
      <c r="J13" s="108">
        <f t="shared" si="7"/>
        <v>140.82733812949638</v>
      </c>
      <c r="M13" s="54" t="s">
        <v>0</v>
      </c>
      <c r="N13" s="41">
        <f>STDEV(E16:E21)/STDEV(A16:A21)</f>
        <v>0.21118701795780914</v>
      </c>
      <c r="O13" t="s">
        <v>10</v>
      </c>
    </row>
    <row r="14" spans="1:20" ht="16" x14ac:dyDescent="0.4">
      <c r="A14" s="50">
        <v>-1.39</v>
      </c>
      <c r="B14" s="22">
        <f t="shared" si="0"/>
        <v>0.71942446043165476</v>
      </c>
      <c r="C14">
        <v>1.3129999999999999</v>
      </c>
      <c r="D14" s="48">
        <f t="shared" si="6"/>
        <v>0.7569999999999999</v>
      </c>
      <c r="E14" s="22">
        <f t="shared" si="1"/>
        <v>0.92120262100480821</v>
      </c>
      <c r="F14" s="49">
        <f t="shared" si="2"/>
        <v>92.120262100480815</v>
      </c>
      <c r="G14" s="49">
        <f t="shared" si="3"/>
        <v>7.8797378995191849</v>
      </c>
      <c r="H14" s="47">
        <f t="shared" si="4"/>
        <v>-1.8833705526236071</v>
      </c>
      <c r="I14" s="47">
        <f t="shared" si="5"/>
        <v>0.49337055262360718</v>
      </c>
      <c r="J14" s="108">
        <f t="shared" si="7"/>
        <v>136.15107913669061</v>
      </c>
      <c r="M14" s="56" t="s">
        <v>16</v>
      </c>
      <c r="N14" s="44">
        <f>N12*B26/18/(E3/10000)</f>
        <v>0.7271399887109935</v>
      </c>
    </row>
    <row r="15" spans="1:20" ht="15" thickBot="1" x14ac:dyDescent="0.4">
      <c r="A15" s="50">
        <v>-1.69</v>
      </c>
      <c r="B15" s="22">
        <f t="shared" si="0"/>
        <v>0.59171597633136097</v>
      </c>
      <c r="C15" s="3">
        <v>1.296</v>
      </c>
      <c r="D15" s="48">
        <f t="shared" si="6"/>
        <v>0.74</v>
      </c>
      <c r="E15" s="22">
        <f t="shared" si="1"/>
        <v>0.90051511168237541</v>
      </c>
      <c r="F15" s="49">
        <f t="shared" si="2"/>
        <v>90.051511168237539</v>
      </c>
      <c r="G15" s="49">
        <f t="shared" si="3"/>
        <v>9.9484888317624609</v>
      </c>
      <c r="H15" s="47">
        <f t="shared" si="4"/>
        <v>-1.9463963814353273</v>
      </c>
      <c r="I15" s="47">
        <f t="shared" si="5"/>
        <v>0.25639638143532739</v>
      </c>
      <c r="J15" s="108">
        <f t="shared" si="7"/>
        <v>133.0935251798561</v>
      </c>
      <c r="K15" s="18"/>
      <c r="L15" s="19"/>
      <c r="O15" s="3"/>
    </row>
    <row r="16" spans="1:20" ht="15" thickBot="1" x14ac:dyDescent="0.4">
      <c r="A16" s="64">
        <v>-2.02</v>
      </c>
      <c r="B16" s="61">
        <f t="shared" si="0"/>
        <v>0.49504950495049505</v>
      </c>
      <c r="C16" s="66">
        <v>1.27</v>
      </c>
      <c r="D16" s="60">
        <f t="shared" si="6"/>
        <v>0.71399999999999997</v>
      </c>
      <c r="E16" s="61">
        <f t="shared" si="1"/>
        <v>0.86887539154218385</v>
      </c>
      <c r="F16" s="58">
        <f t="shared" si="2"/>
        <v>86.887539154218388</v>
      </c>
      <c r="G16" s="58">
        <f t="shared" si="3"/>
        <v>13.112460845781612</v>
      </c>
      <c r="H16" s="59">
        <f t="shared" si="4"/>
        <v>-2.0513881009349726</v>
      </c>
      <c r="I16" s="59">
        <f t="shared" si="5"/>
        <v>3.1388100934972574E-2</v>
      </c>
      <c r="J16" s="115">
        <f t="shared" si="7"/>
        <v>128.41726618705033</v>
      </c>
      <c r="K16" s="18"/>
      <c r="L16" s="19"/>
      <c r="O16" s="3"/>
      <c r="P16" s="3"/>
      <c r="Q16" s="3"/>
      <c r="R16" s="3"/>
      <c r="S16" s="3"/>
      <c r="T16" s="3"/>
    </row>
    <row r="17" spans="1:18" x14ac:dyDescent="0.35">
      <c r="A17" s="50">
        <v>-2.16</v>
      </c>
      <c r="B17" s="22">
        <f t="shared" si="0"/>
        <v>0.46296296296296291</v>
      </c>
      <c r="C17" s="35">
        <v>1.2490000000000001</v>
      </c>
      <c r="D17" s="48">
        <f t="shared" si="6"/>
        <v>0.69300000000000006</v>
      </c>
      <c r="E17" s="22">
        <f t="shared" si="1"/>
        <v>0.84332023296741387</v>
      </c>
      <c r="F17" s="49">
        <f t="shared" si="2"/>
        <v>84.332023296741383</v>
      </c>
      <c r="G17" s="49">
        <f t="shared" si="3"/>
        <v>15.667976703258617</v>
      </c>
      <c r="H17" s="47">
        <f t="shared" si="4"/>
        <v>-2.1448347076007557</v>
      </c>
      <c r="I17" s="47">
        <f t="shared" si="5"/>
        <v>-1.5165292399244468E-2</v>
      </c>
      <c r="J17" s="108">
        <f t="shared" si="7"/>
        <v>124.64028776978418</v>
      </c>
      <c r="K17" s="18"/>
      <c r="L17" s="19"/>
    </row>
    <row r="18" spans="1:18" x14ac:dyDescent="0.35">
      <c r="A18" s="50">
        <v>-2.31</v>
      </c>
      <c r="B18" s="22">
        <f t="shared" si="0"/>
        <v>0.4329004329004329</v>
      </c>
      <c r="C18" s="35">
        <v>1.2190000000000001</v>
      </c>
      <c r="D18" s="48">
        <f t="shared" si="6"/>
        <v>0.66300000000000003</v>
      </c>
      <c r="E18" s="22">
        <f t="shared" si="1"/>
        <v>0.80681286357488502</v>
      </c>
      <c r="F18" s="49">
        <f t="shared" si="2"/>
        <v>80.681286357488503</v>
      </c>
      <c r="G18" s="49">
        <f t="shared" si="3"/>
        <v>19.318713642511497</v>
      </c>
      <c r="H18" s="47">
        <f t="shared" si="4"/>
        <v>-2.2941261664051149</v>
      </c>
      <c r="I18" s="47">
        <f t="shared" si="5"/>
        <v>-1.5873833594885145E-2</v>
      </c>
      <c r="J18" s="108">
        <f t="shared" si="7"/>
        <v>119.24460431654676</v>
      </c>
    </row>
    <row r="19" spans="1:18" x14ac:dyDescent="0.35">
      <c r="A19" s="50">
        <v>-2.4</v>
      </c>
      <c r="B19" s="22">
        <f t="shared" si="0"/>
        <v>0.41666666666666669</v>
      </c>
      <c r="C19" s="35">
        <v>1.2050000000000001</v>
      </c>
      <c r="D19" s="48">
        <f t="shared" si="6"/>
        <v>0.64900000000000002</v>
      </c>
      <c r="E19" s="22">
        <f t="shared" si="1"/>
        <v>0.789776091191705</v>
      </c>
      <c r="F19" s="49">
        <f t="shared" si="2"/>
        <v>78.977609119170495</v>
      </c>
      <c r="G19" s="49">
        <f t="shared" si="3"/>
        <v>21.022390880829505</v>
      </c>
      <c r="H19" s="47">
        <f t="shared" si="4"/>
        <v>-2.3711466660875669</v>
      </c>
      <c r="I19" s="47">
        <f t="shared" si="5"/>
        <v>-2.8853333912433055E-2</v>
      </c>
      <c r="J19" s="108">
        <f t="shared" si="7"/>
        <v>116.72661870503596</v>
      </c>
    </row>
    <row r="20" spans="1:18" x14ac:dyDescent="0.35">
      <c r="A20" s="50">
        <v>-2.4900000000000002</v>
      </c>
      <c r="B20" s="22">
        <f t="shared" si="0"/>
        <v>0.40160642570281119</v>
      </c>
      <c r="C20" s="35">
        <v>1.1870000000000001</v>
      </c>
      <c r="D20" s="48">
        <f t="shared" si="6"/>
        <v>0.63100000000000001</v>
      </c>
      <c r="E20" s="22">
        <f t="shared" si="1"/>
        <v>0.76787166955618769</v>
      </c>
      <c r="F20" s="49">
        <f t="shared" si="2"/>
        <v>76.787166955618773</v>
      </c>
      <c r="G20" s="49">
        <f t="shared" si="3"/>
        <v>23.212833044381227</v>
      </c>
      <c r="H20" s="47">
        <f t="shared" si="4"/>
        <v>-2.4781149299412464</v>
      </c>
      <c r="I20" s="47">
        <f t="shared" si="5"/>
        <v>-1.1885070058753833E-2</v>
      </c>
      <c r="J20" s="108">
        <f t="shared" si="7"/>
        <v>113.48920863309351</v>
      </c>
      <c r="P20" s="10"/>
      <c r="Q20" s="9"/>
      <c r="R20" s="9"/>
    </row>
    <row r="21" spans="1:18" x14ac:dyDescent="0.35">
      <c r="A21" s="50">
        <v>-2.82</v>
      </c>
      <c r="B21" s="22">
        <f t="shared" si="0"/>
        <v>0.3546099290780142</v>
      </c>
      <c r="C21" s="35">
        <v>1.133</v>
      </c>
      <c r="D21" s="48">
        <f t="shared" si="6"/>
        <v>0.57699999999999996</v>
      </c>
      <c r="E21" s="22">
        <f t="shared" si="1"/>
        <v>0.70215840464963597</v>
      </c>
      <c r="F21" s="49">
        <f t="shared" si="2"/>
        <v>70.215840464963591</v>
      </c>
      <c r="G21" s="49">
        <f t="shared" si="3"/>
        <v>29.784159535036409</v>
      </c>
      <c r="H21" s="47">
        <f t="shared" si="4"/>
        <v>-2.8659906069224053</v>
      </c>
      <c r="I21" s="47">
        <f t="shared" si="5"/>
        <v>4.5990606922405419E-2</v>
      </c>
      <c r="J21" s="108">
        <f t="shared" si="7"/>
        <v>103.77697841726616</v>
      </c>
      <c r="P21" s="10"/>
      <c r="Q21" s="9"/>
      <c r="R21" s="9"/>
    </row>
    <row r="22" spans="1:18" x14ac:dyDescent="0.35">
      <c r="A22" s="50"/>
      <c r="B22" s="6"/>
      <c r="C22" s="35"/>
      <c r="D22" s="48"/>
      <c r="E22" s="22"/>
      <c r="F22" s="49"/>
      <c r="G22" s="49"/>
      <c r="H22" s="47"/>
      <c r="I22" s="47"/>
      <c r="J22" s="108"/>
      <c r="P22" s="10"/>
      <c r="Q22" s="9"/>
      <c r="R22" s="9"/>
    </row>
    <row r="23" spans="1:18" x14ac:dyDescent="0.35">
      <c r="A23" s="50"/>
      <c r="B23" s="6"/>
      <c r="C23" s="35"/>
      <c r="D23" s="48"/>
      <c r="E23" s="22"/>
      <c r="F23" s="49"/>
      <c r="G23" s="49"/>
      <c r="H23" s="47"/>
      <c r="I23" s="47"/>
      <c r="J23" s="108"/>
      <c r="P23" s="10"/>
      <c r="Q23" s="9"/>
      <c r="R23" s="9"/>
    </row>
    <row r="24" spans="1:18" ht="15" x14ac:dyDescent="0.4">
      <c r="A24" s="13" t="s">
        <v>4</v>
      </c>
      <c r="B24" s="13"/>
      <c r="C24" s="23"/>
      <c r="D24" s="14"/>
      <c r="F24" s="34" t="s">
        <v>14</v>
      </c>
      <c r="Q24" s="9"/>
      <c r="R24" s="9"/>
    </row>
    <row r="25" spans="1:18" x14ac:dyDescent="0.35">
      <c r="A25" s="3" t="s">
        <v>26</v>
      </c>
      <c r="B25" s="27">
        <f>STDEV(D12:D16)/STDEV(A12:A16)</f>
        <v>5.0533466083456956E-2</v>
      </c>
      <c r="C25" s="5" t="s">
        <v>24</v>
      </c>
      <c r="D25" s="28">
        <f>COUNT(D12:D16)</f>
        <v>5</v>
      </c>
      <c r="F25" s="35" t="s">
        <v>26</v>
      </c>
      <c r="G25" s="30">
        <f>-STDEV(B16:B21)/STDEV(G16:G21)</f>
        <v>-8.3108088661223156E-3</v>
      </c>
      <c r="H25" s="5" t="s">
        <v>24</v>
      </c>
      <c r="I25" s="28">
        <f>COUNT(B16:B21)</f>
        <v>6</v>
      </c>
      <c r="Q25" s="9"/>
      <c r="R25" s="9"/>
    </row>
    <row r="26" spans="1:18" ht="15.5" x14ac:dyDescent="0.35">
      <c r="A26" s="3" t="s">
        <v>3</v>
      </c>
      <c r="B26" s="24">
        <f>AVERAGE(D12:D16)-B25*AVERAGE(A12:A16)</f>
        <v>0.82175189555398442</v>
      </c>
      <c r="C26" s="26" t="s">
        <v>7</v>
      </c>
      <c r="F26" s="35" t="s">
        <v>3</v>
      </c>
      <c r="G26" s="31">
        <f>AVERAGE(B16:B21)-G25*AVERAGE(G16:G21)</f>
        <v>0.59644995379390298</v>
      </c>
      <c r="H26" s="25"/>
      <c r="Q26" s="9"/>
      <c r="R26" s="9"/>
    </row>
    <row r="27" spans="1:18" x14ac:dyDescent="0.35">
      <c r="A27" s="3"/>
      <c r="B27" s="6"/>
      <c r="C27" s="3"/>
      <c r="D27" s="48"/>
      <c r="E27" s="22"/>
      <c r="F27" s="49"/>
      <c r="G27" s="49"/>
      <c r="H27" s="47"/>
      <c r="I27" s="47"/>
      <c r="Q27" s="9"/>
      <c r="R27" s="9"/>
    </row>
    <row r="28" spans="1:18" x14ac:dyDescent="0.35">
      <c r="B28" s="6"/>
      <c r="D28" s="48"/>
      <c r="E28" s="22"/>
      <c r="F28" s="49"/>
      <c r="G28" s="49"/>
      <c r="H28" s="47"/>
      <c r="I28" s="47"/>
      <c r="Q28" s="9"/>
      <c r="R28" s="9"/>
    </row>
    <row r="29" spans="1:18" x14ac:dyDescent="0.35">
      <c r="B29" s="6"/>
      <c r="D29" s="48"/>
      <c r="E29" s="22"/>
      <c r="F29" s="49"/>
      <c r="G29" s="49"/>
      <c r="H29" s="47"/>
      <c r="I29" s="47"/>
      <c r="Q29" s="9"/>
      <c r="R29" s="9"/>
    </row>
    <row r="30" spans="1:18" x14ac:dyDescent="0.35">
      <c r="B30" s="22"/>
      <c r="D30" s="48"/>
      <c r="E30" s="22"/>
      <c r="F30" s="49"/>
      <c r="G30" s="49"/>
      <c r="H30" s="47"/>
      <c r="I30" s="47"/>
    </row>
    <row r="34" spans="17:18" x14ac:dyDescent="0.35">
      <c r="Q34" s="15"/>
      <c r="R34" s="15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C968-FE23-4AED-997C-C20F00918150}">
  <dimension ref="A1:Q34"/>
  <sheetViews>
    <sheetView zoomScale="60" zoomScaleNormal="60" workbookViewId="0">
      <selection activeCell="M15" sqref="M15:P31"/>
    </sheetView>
  </sheetViews>
  <sheetFormatPr defaultRowHeight="14.5" x14ac:dyDescent="0.35"/>
  <cols>
    <col min="7" max="7" width="9.453125" bestFit="1" customWidth="1"/>
  </cols>
  <sheetData>
    <row r="1" spans="1:17" x14ac:dyDescent="0.35">
      <c r="A1" t="s">
        <v>38</v>
      </c>
      <c r="B1" s="123">
        <v>44846</v>
      </c>
      <c r="M1" s="17"/>
    </row>
    <row r="2" spans="1:17" x14ac:dyDescent="0.35">
      <c r="A2" s="1" t="s">
        <v>21</v>
      </c>
      <c r="B2" s="2"/>
      <c r="C2" s="4"/>
      <c r="K2" s="108"/>
      <c r="M2" s="17"/>
    </row>
    <row r="3" spans="1:17" x14ac:dyDescent="0.35">
      <c r="A3" s="3" t="s">
        <v>25</v>
      </c>
      <c r="B3" s="29"/>
      <c r="C3" s="3"/>
      <c r="D3" t="s">
        <v>15</v>
      </c>
      <c r="E3">
        <v>32.259</v>
      </c>
      <c r="J3" s="116"/>
    </row>
    <row r="4" spans="1:17" x14ac:dyDescent="0.35">
      <c r="A4" s="3" t="s">
        <v>22</v>
      </c>
      <c r="B4" s="102">
        <v>0.41799999999999998</v>
      </c>
      <c r="C4" s="3"/>
      <c r="J4" s="9"/>
    </row>
    <row r="5" spans="1:17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7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7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B30/B4</f>
        <v>1.5416797274403828</v>
      </c>
      <c r="O7" t="s">
        <v>11</v>
      </c>
    </row>
    <row r="8" spans="1:17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-1/G30</f>
        <v>-1.7127621520345022</v>
      </c>
      <c r="O8" t="s">
        <v>12</v>
      </c>
    </row>
    <row r="9" spans="1:17" ht="15" x14ac:dyDescent="0.4">
      <c r="A9" s="142">
        <v>-4.2000000000000003E-2</v>
      </c>
      <c r="B9" s="95">
        <f t="shared" ref="B9:B27" si="0">-1/A9</f>
        <v>23.809523809523807</v>
      </c>
      <c r="C9" s="142">
        <v>1.0900000000000001</v>
      </c>
      <c r="D9" s="96">
        <f>C9-$B$3-$B$4</f>
        <v>0.67200000000000015</v>
      </c>
      <c r="E9" s="95">
        <f t="shared" ref="E9:E27" si="1">(D9/$B$30)</f>
        <v>1.0427947347154265</v>
      </c>
      <c r="F9" s="97">
        <f t="shared" ref="F9:F21" si="2">100*E9</f>
        <v>104.27947347154264</v>
      </c>
      <c r="G9" s="97">
        <f t="shared" ref="G9:G21" si="3">100-F9</f>
        <v>-4.2794734715426443</v>
      </c>
      <c r="H9" s="94">
        <f t="shared" ref="H9:H27" si="4">-1/($G$30+$G$29*G9)</f>
        <v>-1.6354200084193407</v>
      </c>
      <c r="I9" s="94">
        <f t="shared" ref="I9:I21" si="5">A9-H9</f>
        <v>1.5934200084193406</v>
      </c>
      <c r="J9" s="106">
        <f>D9/$B$4*100</f>
        <v>160.7655502392345</v>
      </c>
      <c r="M9" s="53" t="s">
        <v>23</v>
      </c>
      <c r="N9" s="40">
        <f>H22</f>
        <v>-2.0395001147367515</v>
      </c>
      <c r="O9" t="s">
        <v>5</v>
      </c>
    </row>
    <row r="10" spans="1:17" ht="15.5" thickBot="1" x14ac:dyDescent="0.45">
      <c r="A10" s="142">
        <v>-3.7999999999999999E-2</v>
      </c>
      <c r="B10" s="95">
        <f t="shared" si="0"/>
        <v>26.315789473684212</v>
      </c>
      <c r="C10" s="142">
        <v>1.0880000000000001</v>
      </c>
      <c r="D10" s="96">
        <f t="shared" ref="D10:D21" si="6">C10-$B$3-$B$4</f>
        <v>0.67000000000000015</v>
      </c>
      <c r="E10" s="95">
        <f t="shared" si="1"/>
        <v>1.0396911789573449</v>
      </c>
      <c r="F10" s="97">
        <f t="shared" si="2"/>
        <v>103.96911789573448</v>
      </c>
      <c r="G10" s="97">
        <f t="shared" si="3"/>
        <v>-3.9691178957344846</v>
      </c>
      <c r="H10" s="94">
        <f t="shared" si="4"/>
        <v>-1.6407933226773976</v>
      </c>
      <c r="I10" s="94">
        <f t="shared" si="5"/>
        <v>1.6027933226773976</v>
      </c>
      <c r="J10" s="106">
        <f t="shared" ref="J10:J21" si="7">D10/$B$4*100</f>
        <v>160.28708133971296</v>
      </c>
      <c r="M10" s="54" t="s">
        <v>31</v>
      </c>
      <c r="N10" s="41">
        <f>F22</f>
        <v>85.50296113514878</v>
      </c>
      <c r="O10" t="s">
        <v>6</v>
      </c>
    </row>
    <row r="11" spans="1:17" ht="18.5" thickBot="1" x14ac:dyDescent="0.45">
      <c r="A11" s="142">
        <v>-4.5999999999999999E-2</v>
      </c>
      <c r="B11" s="95">
        <f t="shared" si="0"/>
        <v>21.739130434782609</v>
      </c>
      <c r="C11" s="142">
        <v>1.085</v>
      </c>
      <c r="D11" s="96">
        <f t="shared" si="6"/>
        <v>0.66700000000000004</v>
      </c>
      <c r="E11" s="95">
        <f t="shared" si="1"/>
        <v>1.0350358453202222</v>
      </c>
      <c r="F11" s="97">
        <f t="shared" si="2"/>
        <v>103.50358453202222</v>
      </c>
      <c r="G11" s="97">
        <f t="shared" si="3"/>
        <v>-3.5035845320222165</v>
      </c>
      <c r="H11" s="94">
        <f t="shared" si="4"/>
        <v>-1.648919826297961</v>
      </c>
      <c r="I11" s="94">
        <f t="shared" si="5"/>
        <v>1.6029198262979609</v>
      </c>
      <c r="J11" s="106">
        <f t="shared" si="7"/>
        <v>159.56937799043064</v>
      </c>
      <c r="M11" s="55" t="s">
        <v>1</v>
      </c>
      <c r="N11" s="42">
        <f>STDEV(I16:I22)/STDEV(E16:E22)</f>
        <v>13.475698088753141</v>
      </c>
      <c r="O11" t="s">
        <v>8</v>
      </c>
    </row>
    <row r="12" spans="1:17" ht="16" x14ac:dyDescent="0.4">
      <c r="A12" s="142">
        <v>-5.1999999999999998E-2</v>
      </c>
      <c r="B12" s="95">
        <f t="shared" si="0"/>
        <v>19.23076923076923</v>
      </c>
      <c r="C12" s="142">
        <v>1.083</v>
      </c>
      <c r="D12" s="96">
        <f t="shared" si="6"/>
        <v>0.66500000000000004</v>
      </c>
      <c r="E12" s="95">
        <f t="shared" si="1"/>
        <v>1.0319322895621406</v>
      </c>
      <c r="F12" s="97">
        <f t="shared" si="2"/>
        <v>103.19322895621406</v>
      </c>
      <c r="G12" s="97">
        <f t="shared" si="3"/>
        <v>-3.1932289562140568</v>
      </c>
      <c r="H12" s="94">
        <f t="shared" si="4"/>
        <v>-1.6543823644856261</v>
      </c>
      <c r="I12" s="94">
        <f t="shared" si="5"/>
        <v>1.6023823644856261</v>
      </c>
      <c r="J12" s="106">
        <f t="shared" si="7"/>
        <v>159.09090909090909</v>
      </c>
      <c r="M12" s="53" t="s">
        <v>33</v>
      </c>
      <c r="N12" s="43">
        <f>STDEV(E16:E22)/STDEV(A16:A22)</f>
        <v>6.3823596021365697E-2</v>
      </c>
      <c r="O12" t="s">
        <v>9</v>
      </c>
    </row>
    <row r="13" spans="1:17" ht="16.5" thickBot="1" x14ac:dyDescent="0.45">
      <c r="A13" s="142">
        <v>-5.1999999999999998E-2</v>
      </c>
      <c r="B13" s="95">
        <f t="shared" si="0"/>
        <v>19.23076923076923</v>
      </c>
      <c r="C13" s="142">
        <v>1.0780000000000001</v>
      </c>
      <c r="D13" s="96">
        <f t="shared" si="6"/>
        <v>0.66000000000000014</v>
      </c>
      <c r="E13" s="95">
        <f t="shared" si="1"/>
        <v>1.0241734001669367</v>
      </c>
      <c r="F13" s="97">
        <f t="shared" si="2"/>
        <v>102.41734001669367</v>
      </c>
      <c r="G13" s="97">
        <f t="shared" si="3"/>
        <v>-2.4173400166936716</v>
      </c>
      <c r="H13" s="94">
        <f t="shared" si="4"/>
        <v>-1.6681983747936751</v>
      </c>
      <c r="I13" s="94">
        <f t="shared" si="5"/>
        <v>1.616198374793675</v>
      </c>
      <c r="J13" s="106">
        <f t="shared" si="7"/>
        <v>157.89473684210532</v>
      </c>
      <c r="M13" s="54" t="s">
        <v>0</v>
      </c>
      <c r="N13" s="41">
        <f>STDEV(E22:E27)/STDEV(A22:A27)</f>
        <v>0.327671935849703</v>
      </c>
      <c r="O13" t="s">
        <v>10</v>
      </c>
    </row>
    <row r="14" spans="1:17" ht="16" x14ac:dyDescent="0.4">
      <c r="A14" s="142">
        <v>-7.4999999999999997E-2</v>
      </c>
      <c r="B14" s="95">
        <f t="shared" si="0"/>
        <v>13.333333333333334</v>
      </c>
      <c r="C14" s="142">
        <v>1.0740000000000001</v>
      </c>
      <c r="D14" s="96">
        <f t="shared" si="6"/>
        <v>0.65600000000000014</v>
      </c>
      <c r="E14" s="95">
        <f t="shared" si="1"/>
        <v>1.0179662886507734</v>
      </c>
      <c r="F14" s="97">
        <f t="shared" si="2"/>
        <v>101.79662886507734</v>
      </c>
      <c r="G14" s="97">
        <f t="shared" si="3"/>
        <v>-1.7966288650773379</v>
      </c>
      <c r="H14" s="94">
        <f t="shared" si="4"/>
        <v>-1.679418447288332</v>
      </c>
      <c r="I14" s="94">
        <f t="shared" si="5"/>
        <v>1.6044184472883321</v>
      </c>
      <c r="J14" s="106">
        <f t="shared" si="7"/>
        <v>156.93779904306226</v>
      </c>
      <c r="M14" s="56" t="s">
        <v>16</v>
      </c>
      <c r="N14" s="44">
        <f>N12*B30/18/(E3/10000)</f>
        <v>0.70831804804733878</v>
      </c>
    </row>
    <row r="15" spans="1:17" x14ac:dyDescent="0.35">
      <c r="A15" s="142">
        <v>-0.1</v>
      </c>
      <c r="B15" s="95">
        <f t="shared" si="0"/>
        <v>10</v>
      </c>
      <c r="C15" s="142">
        <v>1.0660000000000001</v>
      </c>
      <c r="D15" s="96">
        <f t="shared" si="6"/>
        <v>0.64800000000000013</v>
      </c>
      <c r="E15" s="95">
        <f t="shared" si="1"/>
        <v>1.0055520656184469</v>
      </c>
      <c r="F15" s="97">
        <f t="shared" si="2"/>
        <v>100.55520656184468</v>
      </c>
      <c r="G15" s="97">
        <f t="shared" si="3"/>
        <v>-0.55520656184468464</v>
      </c>
      <c r="H15" s="94">
        <f t="shared" si="4"/>
        <v>-1.702317554078373</v>
      </c>
      <c r="I15" s="94">
        <f t="shared" si="5"/>
        <v>1.602317554078373</v>
      </c>
      <c r="J15" s="106">
        <f t="shared" si="7"/>
        <v>155.02392344497611</v>
      </c>
      <c r="K15" s="18"/>
      <c r="L15" s="19"/>
    </row>
    <row r="16" spans="1:17" x14ac:dyDescent="0.35">
      <c r="A16" s="141">
        <v>-0.13500000000000001</v>
      </c>
      <c r="B16" s="22">
        <f t="shared" si="0"/>
        <v>7.4074074074074066</v>
      </c>
      <c r="C16" s="141">
        <v>1.0569999999999999</v>
      </c>
      <c r="D16" s="48">
        <f t="shared" si="6"/>
        <v>0.63900000000000001</v>
      </c>
      <c r="E16" s="22">
        <f t="shared" si="1"/>
        <v>0.99158606470707944</v>
      </c>
      <c r="F16" s="49">
        <f t="shared" si="2"/>
        <v>99.158606470707937</v>
      </c>
      <c r="G16" s="49">
        <f t="shared" si="3"/>
        <v>0.84139352929206268</v>
      </c>
      <c r="H16" s="47">
        <f t="shared" si="4"/>
        <v>-1.7288371084134317</v>
      </c>
      <c r="I16" s="47">
        <f t="shared" si="5"/>
        <v>1.5938371084134317</v>
      </c>
      <c r="J16" s="108">
        <f t="shared" si="7"/>
        <v>152.87081339712921</v>
      </c>
      <c r="K16" s="18"/>
      <c r="L16" s="19"/>
      <c r="Q16" s="3"/>
    </row>
    <row r="17" spans="1:17" x14ac:dyDescent="0.35">
      <c r="A17" s="139">
        <v>-0.24399999999999999</v>
      </c>
      <c r="B17" s="22">
        <f t="shared" si="0"/>
        <v>4.0983606557377046</v>
      </c>
      <c r="C17" s="139">
        <v>1.046</v>
      </c>
      <c r="D17" s="48">
        <f t="shared" si="6"/>
        <v>0.62800000000000011</v>
      </c>
      <c r="E17" s="22">
        <f t="shared" si="1"/>
        <v>0.97451650803763057</v>
      </c>
      <c r="F17" s="49">
        <f t="shared" si="2"/>
        <v>97.451650803763059</v>
      </c>
      <c r="G17" s="49">
        <f t="shared" si="3"/>
        <v>2.5483491962369413</v>
      </c>
      <c r="H17" s="47">
        <f t="shared" si="4"/>
        <v>-1.7623937716035765</v>
      </c>
      <c r="I17" s="47">
        <f t="shared" si="5"/>
        <v>1.5183937716035765</v>
      </c>
      <c r="J17" s="108">
        <f t="shared" si="7"/>
        <v>150.2392344497608</v>
      </c>
      <c r="K17" s="18"/>
      <c r="L17" s="19"/>
    </row>
    <row r="18" spans="1:17" x14ac:dyDescent="0.35">
      <c r="A18" s="139">
        <v>-0.68200000000000005</v>
      </c>
      <c r="B18" s="22">
        <f t="shared" si="0"/>
        <v>1.4662756598240467</v>
      </c>
      <c r="C18" s="139">
        <v>1.034</v>
      </c>
      <c r="D18" s="48">
        <f t="shared" si="6"/>
        <v>0.6160000000000001</v>
      </c>
      <c r="E18" s="22">
        <f t="shared" si="1"/>
        <v>0.95589517348914088</v>
      </c>
      <c r="F18" s="49">
        <f t="shared" si="2"/>
        <v>95.589517348914086</v>
      </c>
      <c r="G18" s="49">
        <f t="shared" si="3"/>
        <v>4.4104826510859141</v>
      </c>
      <c r="H18" s="47">
        <f t="shared" si="4"/>
        <v>-1.8005188662336364</v>
      </c>
      <c r="I18" s="47">
        <f t="shared" si="5"/>
        <v>1.1185188662336363</v>
      </c>
      <c r="J18" s="108">
        <f t="shared" si="7"/>
        <v>147.36842105263162</v>
      </c>
    </row>
    <row r="19" spans="1:17" x14ac:dyDescent="0.35">
      <c r="A19" s="139">
        <v>-1.39</v>
      </c>
      <c r="B19" s="22">
        <f t="shared" si="0"/>
        <v>0.71942446043165476</v>
      </c>
      <c r="C19" s="139">
        <v>1.0149999999999999</v>
      </c>
      <c r="D19" s="48">
        <f t="shared" si="6"/>
        <v>0.59699999999999998</v>
      </c>
      <c r="E19" s="22">
        <f t="shared" si="1"/>
        <v>0.92641139378736526</v>
      </c>
      <c r="F19" s="49">
        <f t="shared" si="2"/>
        <v>92.641139378736526</v>
      </c>
      <c r="G19" s="49">
        <f t="shared" si="3"/>
        <v>7.3588606212634744</v>
      </c>
      <c r="H19" s="47">
        <f t="shared" si="4"/>
        <v>-1.8643766726886166</v>
      </c>
      <c r="I19" s="47">
        <f t="shared" si="5"/>
        <v>0.47437667268861672</v>
      </c>
      <c r="J19" s="108">
        <f t="shared" si="7"/>
        <v>142.82296650717703</v>
      </c>
    </row>
    <row r="20" spans="1:17" x14ac:dyDescent="0.35">
      <c r="A20" s="139">
        <v>-1.7</v>
      </c>
      <c r="B20" s="22">
        <f t="shared" si="0"/>
        <v>0.58823529411764708</v>
      </c>
      <c r="C20" s="139">
        <v>0.999</v>
      </c>
      <c r="D20" s="48">
        <f t="shared" si="6"/>
        <v>0.58099999999999996</v>
      </c>
      <c r="E20" s="22">
        <f t="shared" si="1"/>
        <v>0.90158294772271219</v>
      </c>
      <c r="F20" s="49">
        <f t="shared" si="2"/>
        <v>90.158294772271219</v>
      </c>
      <c r="G20" s="49">
        <f t="shared" si="3"/>
        <v>9.8417052277287809</v>
      </c>
      <c r="H20" s="47">
        <f t="shared" si="4"/>
        <v>-1.9217730933825889</v>
      </c>
      <c r="I20" s="47">
        <f t="shared" si="5"/>
        <v>0.22177309338258899</v>
      </c>
      <c r="J20" s="108">
        <f t="shared" si="7"/>
        <v>138.99521531100478</v>
      </c>
      <c r="Q20" s="9"/>
    </row>
    <row r="21" spans="1:17" ht="15" thickBot="1" x14ac:dyDescent="0.4">
      <c r="A21" s="139">
        <v>-1.87</v>
      </c>
      <c r="B21" s="22">
        <f t="shared" si="0"/>
        <v>0.53475935828876997</v>
      </c>
      <c r="C21" s="139">
        <v>0.98499999999999999</v>
      </c>
      <c r="D21" s="48">
        <f t="shared" si="6"/>
        <v>0.56699999999999995</v>
      </c>
      <c r="E21" s="22">
        <f t="shared" si="1"/>
        <v>0.87985805741614076</v>
      </c>
      <c r="F21" s="49">
        <f t="shared" si="2"/>
        <v>87.985805741614072</v>
      </c>
      <c r="G21" s="49">
        <f t="shared" si="3"/>
        <v>12.014194258385928</v>
      </c>
      <c r="H21" s="47">
        <f t="shared" si="4"/>
        <v>-1.9749741953966733</v>
      </c>
      <c r="I21" s="47">
        <f t="shared" si="5"/>
        <v>0.10497419539667319</v>
      </c>
      <c r="J21" s="108">
        <f t="shared" si="7"/>
        <v>135.64593301435406</v>
      </c>
      <c r="Q21" s="9"/>
    </row>
    <row r="22" spans="1:17" ht="15" thickBot="1" x14ac:dyDescent="0.4">
      <c r="A22" s="143">
        <v>-2.0499999999999998</v>
      </c>
      <c r="B22" s="61">
        <f t="shared" si="0"/>
        <v>0.48780487804878053</v>
      </c>
      <c r="C22" s="144">
        <v>0.96899999999999997</v>
      </c>
      <c r="D22" s="60">
        <f t="shared" ref="D22:D24" si="8">C22-$B$3-$B$4</f>
        <v>0.55099999999999993</v>
      </c>
      <c r="E22" s="61">
        <f t="shared" si="1"/>
        <v>0.85502961135148781</v>
      </c>
      <c r="F22" s="58">
        <f t="shared" ref="F22:F24" si="9">100*E22</f>
        <v>85.50296113514878</v>
      </c>
      <c r="G22" s="58">
        <f t="shared" ref="G22:G24" si="10">100-F22</f>
        <v>14.49703886485122</v>
      </c>
      <c r="H22" s="59">
        <f t="shared" si="4"/>
        <v>-2.0395001147367515</v>
      </c>
      <c r="I22" s="59">
        <f t="shared" ref="I22:I24" si="11">A22-H22</f>
        <v>-1.0499885263248299E-2</v>
      </c>
      <c r="J22" s="115">
        <f t="shared" ref="J22:J24" si="12">D22/$B$4*100</f>
        <v>131.81818181818181</v>
      </c>
      <c r="Q22" s="9"/>
    </row>
    <row r="23" spans="1:17" x14ac:dyDescent="0.35">
      <c r="A23" s="139">
        <v>-2.08</v>
      </c>
      <c r="B23" s="22">
        <f t="shared" si="0"/>
        <v>0.48076923076923073</v>
      </c>
      <c r="C23" s="139">
        <v>0.95599999999999996</v>
      </c>
      <c r="D23" s="48">
        <f t="shared" si="8"/>
        <v>0.53800000000000003</v>
      </c>
      <c r="E23" s="22">
        <f t="shared" si="1"/>
        <v>0.8348564989239573</v>
      </c>
      <c r="F23" s="49">
        <f t="shared" si="9"/>
        <v>83.485649892395728</v>
      </c>
      <c r="G23" s="49">
        <f t="shared" si="10"/>
        <v>16.514350107604272</v>
      </c>
      <c r="H23" s="47">
        <f t="shared" si="4"/>
        <v>-2.0951167056501663</v>
      </c>
      <c r="I23" s="47">
        <f t="shared" si="11"/>
        <v>1.5116705650166207E-2</v>
      </c>
      <c r="J23" s="108">
        <f t="shared" si="12"/>
        <v>128.70813397129189</v>
      </c>
      <c r="Q23" s="9"/>
    </row>
    <row r="24" spans="1:17" x14ac:dyDescent="0.35">
      <c r="A24" s="139">
        <v>-2.145</v>
      </c>
      <c r="B24" s="22">
        <f t="shared" si="0"/>
        <v>0.46620046620046618</v>
      </c>
      <c r="C24" s="139">
        <v>0.94299999999999995</v>
      </c>
      <c r="D24" s="48">
        <f t="shared" si="8"/>
        <v>0.52499999999999991</v>
      </c>
      <c r="E24" s="22">
        <f t="shared" si="1"/>
        <v>0.81468338649642658</v>
      </c>
      <c r="F24" s="49">
        <f t="shared" si="9"/>
        <v>81.468338649642661</v>
      </c>
      <c r="G24" s="49">
        <f t="shared" si="10"/>
        <v>18.531661350357339</v>
      </c>
      <c r="H24" s="47">
        <f t="shared" si="4"/>
        <v>-2.1538516300218573</v>
      </c>
      <c r="I24" s="47">
        <f t="shared" si="11"/>
        <v>8.851630021857293E-3</v>
      </c>
      <c r="J24" s="108">
        <f t="shared" si="12"/>
        <v>125.5980861244019</v>
      </c>
      <c r="Q24" s="9"/>
    </row>
    <row r="25" spans="1:17" x14ac:dyDescent="0.35">
      <c r="A25" s="139">
        <v>-2.2400000000000002</v>
      </c>
      <c r="B25" s="22">
        <f t="shared" si="0"/>
        <v>0.4464285714285714</v>
      </c>
      <c r="C25" s="139">
        <v>0.92900000000000005</v>
      </c>
      <c r="D25" s="48">
        <f t="shared" ref="D25" si="13">C25-$B$3-$B$4</f>
        <v>0.51100000000000012</v>
      </c>
      <c r="E25" s="22">
        <f t="shared" si="1"/>
        <v>0.79295849618985559</v>
      </c>
      <c r="F25" s="49">
        <f t="shared" ref="F25" si="14">100*E25</f>
        <v>79.295849618985557</v>
      </c>
      <c r="G25" s="49">
        <f t="shared" ref="G25" si="15">100-F25</f>
        <v>20.704150381014443</v>
      </c>
      <c r="H25" s="47">
        <f t="shared" si="4"/>
        <v>-2.2209021741751092</v>
      </c>
      <c r="I25" s="47">
        <f t="shared" ref="I25" si="16">A25-H25</f>
        <v>-1.9097825824891057E-2</v>
      </c>
      <c r="J25" s="108">
        <f t="shared" ref="J25" si="17">D25/$B$4*100</f>
        <v>122.24880382775123</v>
      </c>
      <c r="Q25" s="9"/>
    </row>
    <row r="26" spans="1:17" x14ac:dyDescent="0.35">
      <c r="A26" s="139">
        <v>-2.29</v>
      </c>
      <c r="B26" s="22">
        <f t="shared" si="0"/>
        <v>0.4366812227074236</v>
      </c>
      <c r="C26" s="139">
        <v>0.91900000000000004</v>
      </c>
      <c r="D26" s="48">
        <f t="shared" ref="D26" si="18">C26-$B$3-$B$4</f>
        <v>0.50100000000000011</v>
      </c>
      <c r="E26" s="22">
        <f t="shared" si="1"/>
        <v>0.77744071739944742</v>
      </c>
      <c r="F26" s="49">
        <f t="shared" ref="F26" si="19">100*E26</f>
        <v>77.744071739944744</v>
      </c>
      <c r="G26" s="49">
        <f t="shared" ref="G26" si="20">100-F26</f>
        <v>22.255928260055256</v>
      </c>
      <c r="H26" s="47">
        <f t="shared" si="4"/>
        <v>-2.2714094465772536</v>
      </c>
      <c r="I26" s="47">
        <f t="shared" ref="I26" si="21">A26-H26</f>
        <v>-1.8590553422746403E-2</v>
      </c>
      <c r="J26" s="108">
        <f t="shared" ref="J26" si="22">D26/$B$4*100</f>
        <v>119.85645933014357</v>
      </c>
      <c r="Q26" s="9"/>
    </row>
    <row r="27" spans="1:17" x14ac:dyDescent="0.35">
      <c r="A27" s="139">
        <v>-2.2999999999999998</v>
      </c>
      <c r="B27" s="22">
        <f t="shared" si="0"/>
        <v>0.43478260869565222</v>
      </c>
      <c r="C27" s="139">
        <v>0.90900000000000003</v>
      </c>
      <c r="D27" s="48">
        <f t="shared" ref="D27" si="23">C27-$B$3-$B$4</f>
        <v>0.49100000000000005</v>
      </c>
      <c r="E27" s="22">
        <f t="shared" si="1"/>
        <v>0.76192293860903915</v>
      </c>
      <c r="F27" s="49">
        <f t="shared" ref="F27" si="24">100*E27</f>
        <v>76.192293860903916</v>
      </c>
      <c r="G27" s="49">
        <f t="shared" ref="G27" si="25">100-F27</f>
        <v>23.807706139096084</v>
      </c>
      <c r="H27" s="47">
        <f t="shared" si="4"/>
        <v>-2.3242674290399687</v>
      </c>
      <c r="I27" s="47">
        <f t="shared" ref="I27" si="26">A27-H27</f>
        <v>2.4267429039968924E-2</v>
      </c>
      <c r="J27" s="108">
        <f t="shared" ref="J27" si="27">D27/$B$4*100</f>
        <v>117.4641148325359</v>
      </c>
      <c r="Q27" s="9"/>
    </row>
    <row r="28" spans="1:17" x14ac:dyDescent="0.35">
      <c r="Q28" s="9"/>
    </row>
    <row r="29" spans="1:17" x14ac:dyDescent="0.35">
      <c r="A29" s="3" t="s">
        <v>26</v>
      </c>
      <c r="B29" s="27">
        <f>STDEV(D16:D22)/STDEV(A16:A22)</f>
        <v>4.1129337441526394E-2</v>
      </c>
      <c r="C29" s="5" t="s">
        <v>24</v>
      </c>
      <c r="D29" s="28">
        <f>COUNT(D16:D22)</f>
        <v>7</v>
      </c>
      <c r="F29" s="35" t="s">
        <v>26</v>
      </c>
      <c r="G29" s="30">
        <f>-STDEV(B22:B27)/STDEV(G22:G27)</f>
        <v>-6.4520764100967484E-3</v>
      </c>
      <c r="H29" s="5" t="s">
        <v>24</v>
      </c>
      <c r="I29" s="28">
        <f>COUNT(B22:B27)</f>
        <v>6</v>
      </c>
      <c r="Q29" s="9"/>
    </row>
    <row r="30" spans="1:17" ht="15.5" x14ac:dyDescent="0.35">
      <c r="A30" s="3" t="s">
        <v>3</v>
      </c>
      <c r="B30" s="24">
        <f>AVERAGE(D16:D22)-B29*AVERAGE(A16:A22)</f>
        <v>0.64442212607007998</v>
      </c>
      <c r="C30" s="26" t="s">
        <v>7</v>
      </c>
      <c r="F30" s="35" t="s">
        <v>3</v>
      </c>
      <c r="G30" s="31">
        <f>AVERAGE(B22:B27)-G29*AVERAGE(G22:G27)</f>
        <v>0.58385222887611765</v>
      </c>
      <c r="H30" s="25"/>
    </row>
    <row r="31" spans="1:17" x14ac:dyDescent="0.35">
      <c r="A31" s="3"/>
      <c r="B31" s="6"/>
      <c r="C31" s="3"/>
      <c r="D31" s="48"/>
      <c r="E31" s="22"/>
      <c r="F31" s="49"/>
      <c r="G31" s="49"/>
      <c r="H31" s="47"/>
      <c r="I31" s="47"/>
    </row>
    <row r="32" spans="1:17" x14ac:dyDescent="0.35">
      <c r="B32" s="6"/>
      <c r="D32" s="48"/>
      <c r="E32" s="22"/>
      <c r="F32" s="49"/>
      <c r="G32" s="49"/>
      <c r="H32" s="47"/>
      <c r="I32" s="47"/>
    </row>
    <row r="33" spans="2:17" x14ac:dyDescent="0.35">
      <c r="B33" s="6"/>
      <c r="D33" s="48"/>
      <c r="E33" s="22"/>
      <c r="F33" s="49"/>
      <c r="G33" s="49"/>
      <c r="H33" s="47"/>
      <c r="I33" s="47"/>
    </row>
    <row r="34" spans="2:17" x14ac:dyDescent="0.35">
      <c r="B34" s="22"/>
      <c r="D34" s="48"/>
      <c r="E34" s="22"/>
      <c r="F34" s="49"/>
      <c r="G34" s="49"/>
      <c r="H34" s="47"/>
      <c r="I34" s="47"/>
      <c r="Q34" s="15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B662-5B3A-4A23-80A0-47B3F98A7A02}">
  <dimension ref="A1:Q34"/>
  <sheetViews>
    <sheetView zoomScale="60" zoomScaleNormal="60" workbookViewId="0">
      <selection activeCell="L24" sqref="L24"/>
    </sheetView>
  </sheetViews>
  <sheetFormatPr defaultRowHeight="14.5" x14ac:dyDescent="0.35"/>
  <cols>
    <col min="7" max="7" width="9.453125" bestFit="1" customWidth="1"/>
  </cols>
  <sheetData>
    <row r="1" spans="1:17" x14ac:dyDescent="0.35">
      <c r="A1" t="s">
        <v>38</v>
      </c>
      <c r="B1" s="123">
        <v>44846</v>
      </c>
      <c r="M1" s="17"/>
    </row>
    <row r="2" spans="1:17" x14ac:dyDescent="0.35">
      <c r="A2" s="1" t="s">
        <v>21</v>
      </c>
      <c r="B2" s="2"/>
      <c r="C2" s="4"/>
      <c r="K2" s="108"/>
      <c r="M2" s="17"/>
    </row>
    <row r="3" spans="1:17" x14ac:dyDescent="0.35">
      <c r="A3" s="3" t="s">
        <v>25</v>
      </c>
      <c r="B3" s="29"/>
      <c r="C3" s="3"/>
      <c r="D3" t="s">
        <v>15</v>
      </c>
      <c r="E3">
        <v>42.231999999999999</v>
      </c>
      <c r="J3" s="116"/>
    </row>
    <row r="4" spans="1:17" x14ac:dyDescent="0.35">
      <c r="A4" s="3" t="s">
        <v>22</v>
      </c>
      <c r="B4" s="102">
        <v>0.52</v>
      </c>
      <c r="C4" s="3"/>
      <c r="J4" s="9"/>
    </row>
    <row r="5" spans="1:17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7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7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B29/B4</f>
        <v>1.6348808590529542</v>
      </c>
      <c r="O7" t="s">
        <v>11</v>
      </c>
    </row>
    <row r="8" spans="1:17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-1/G29</f>
        <v>-1.2689089274777161</v>
      </c>
      <c r="O8" t="s">
        <v>12</v>
      </c>
    </row>
    <row r="9" spans="1:17" ht="15" x14ac:dyDescent="0.4">
      <c r="A9" s="147">
        <v>-2.9000000000000001E-2</v>
      </c>
      <c r="B9" s="95">
        <f t="shared" ref="B9:B24" si="0">-1/A9</f>
        <v>34.482758620689651</v>
      </c>
      <c r="C9" s="147">
        <v>1.3859999999999999</v>
      </c>
      <c r="D9" s="96">
        <f>C9-$B$3-$B$4</f>
        <v>0.86599999999999988</v>
      </c>
      <c r="E9" s="95">
        <f t="shared" ref="E9:E24" si="1">(D9/$B$29)</f>
        <v>1.0186580912992833</v>
      </c>
      <c r="F9" s="97">
        <f t="shared" ref="F9:F21" si="2">100*E9</f>
        <v>101.86580912992834</v>
      </c>
      <c r="G9" s="97">
        <f t="shared" ref="G9:G21" si="3">100-F9</f>
        <v>-1.865809129928337</v>
      </c>
      <c r="H9" s="94">
        <f t="shared" ref="H9:H24" si="4">-1/($G$29+$G$28*G9)</f>
        <v>-1.227331239400163</v>
      </c>
      <c r="I9" s="94">
        <f t="shared" ref="I9:I21" si="5">A9-H9</f>
        <v>1.1983312394001631</v>
      </c>
      <c r="J9" s="106">
        <f>D9/$B$4*100</f>
        <v>166.53846153846149</v>
      </c>
      <c r="M9" s="53" t="s">
        <v>23</v>
      </c>
      <c r="N9" s="40">
        <f>H18</f>
        <v>-1.5388602308248382</v>
      </c>
      <c r="O9" t="s">
        <v>5</v>
      </c>
    </row>
    <row r="10" spans="1:17" ht="15.5" thickBot="1" x14ac:dyDescent="0.45">
      <c r="A10" s="147">
        <v>-3.7999999999999999E-2</v>
      </c>
      <c r="B10" s="95">
        <f t="shared" si="0"/>
        <v>26.315789473684212</v>
      </c>
      <c r="C10" s="147">
        <v>1.379</v>
      </c>
      <c r="D10" s="96">
        <f t="shared" ref="D10:D21" si="6">C10-$B$3-$B$4</f>
        <v>0.85899999999999999</v>
      </c>
      <c r="E10" s="95">
        <f t="shared" si="1"/>
        <v>1.0104241344412062</v>
      </c>
      <c r="F10" s="97">
        <f t="shared" si="2"/>
        <v>101.04241344412061</v>
      </c>
      <c r="G10" s="97">
        <f t="shared" si="3"/>
        <v>-1.0424134441206121</v>
      </c>
      <c r="H10" s="94">
        <f t="shared" si="4"/>
        <v>-1.2453389637247652</v>
      </c>
      <c r="I10" s="94">
        <f t="shared" si="5"/>
        <v>1.2073389637247651</v>
      </c>
      <c r="J10" s="106">
        <f t="shared" ref="J10:J24" si="7">D10/$B$4*100</f>
        <v>165.19230769230768</v>
      </c>
      <c r="M10" s="54" t="s">
        <v>31</v>
      </c>
      <c r="N10" s="41">
        <f>F18</f>
        <v>90.33826952862006</v>
      </c>
      <c r="O10" t="s">
        <v>6</v>
      </c>
    </row>
    <row r="11" spans="1:17" ht="18.5" thickBot="1" x14ac:dyDescent="0.45">
      <c r="A11" s="147">
        <v>-7.0000000000000007E-2</v>
      </c>
      <c r="B11" s="95">
        <f t="shared" si="0"/>
        <v>14.285714285714285</v>
      </c>
      <c r="C11" s="147">
        <v>1.3740000000000001</v>
      </c>
      <c r="D11" s="96">
        <f t="shared" si="6"/>
        <v>0.85400000000000009</v>
      </c>
      <c r="E11" s="95">
        <f t="shared" si="1"/>
        <v>1.0045427366854367</v>
      </c>
      <c r="F11" s="97">
        <f t="shared" si="2"/>
        <v>100.45427366854366</v>
      </c>
      <c r="G11" s="97">
        <f t="shared" si="3"/>
        <v>-0.45427366854366369</v>
      </c>
      <c r="H11" s="94">
        <f t="shared" si="4"/>
        <v>-1.2585285778808237</v>
      </c>
      <c r="I11" s="94">
        <f t="shared" si="5"/>
        <v>1.1885285778808237</v>
      </c>
      <c r="J11" s="106">
        <f t="shared" si="7"/>
        <v>164.23076923076925</v>
      </c>
      <c r="M11" s="55" t="s">
        <v>1</v>
      </c>
      <c r="N11" s="42">
        <f>STDEV(I12:I18)/STDEV(E12:E18)</f>
        <v>13.453083010423898</v>
      </c>
      <c r="O11" t="s">
        <v>8</v>
      </c>
    </row>
    <row r="12" spans="1:17" ht="16" x14ac:dyDescent="0.4">
      <c r="A12" s="146">
        <v>-0.10100000000000001</v>
      </c>
      <c r="B12" s="52">
        <f t="shared" si="0"/>
        <v>9.9009900990099009</v>
      </c>
      <c r="C12" s="146">
        <v>1.367</v>
      </c>
      <c r="D12" s="62">
        <f t="shared" si="6"/>
        <v>0.84699999999999998</v>
      </c>
      <c r="E12" s="52">
        <f t="shared" si="1"/>
        <v>0.99630877982735921</v>
      </c>
      <c r="F12" s="63">
        <f t="shared" si="2"/>
        <v>99.630877982735925</v>
      </c>
      <c r="G12" s="63">
        <f t="shared" si="3"/>
        <v>0.36912201726407545</v>
      </c>
      <c r="H12" s="50">
        <f t="shared" si="4"/>
        <v>-1.2774704727145434</v>
      </c>
      <c r="I12" s="50">
        <f t="shared" si="5"/>
        <v>1.1764704727145434</v>
      </c>
      <c r="J12" s="108">
        <f t="shared" si="7"/>
        <v>162.88461538461539</v>
      </c>
      <c r="M12" s="53" t="s">
        <v>33</v>
      </c>
      <c r="N12" s="43">
        <f>STDEV(E12:E18)/STDEV(A12:A18)</f>
        <v>6.159369023494881E-2</v>
      </c>
      <c r="O12" t="s">
        <v>9</v>
      </c>
    </row>
    <row r="13" spans="1:17" ht="16.5" thickBot="1" x14ac:dyDescent="0.45">
      <c r="A13" s="140">
        <v>-0.161</v>
      </c>
      <c r="B13" s="22">
        <f t="shared" si="0"/>
        <v>6.2111801242236027</v>
      </c>
      <c r="C13" s="140">
        <v>1.359</v>
      </c>
      <c r="D13" s="48">
        <f t="shared" si="6"/>
        <v>0.83899999999999997</v>
      </c>
      <c r="E13" s="22">
        <f t="shared" si="1"/>
        <v>0.98689854341812799</v>
      </c>
      <c r="F13" s="49">
        <f t="shared" si="2"/>
        <v>98.689854341812804</v>
      </c>
      <c r="G13" s="49">
        <f t="shared" si="3"/>
        <v>1.3101456581871957</v>
      </c>
      <c r="H13" s="47">
        <f t="shared" si="4"/>
        <v>-1.2998287545579226</v>
      </c>
      <c r="I13" s="47">
        <f t="shared" si="5"/>
        <v>1.1388287545579225</v>
      </c>
      <c r="J13" s="108">
        <f t="shared" si="7"/>
        <v>161.34615384615384</v>
      </c>
      <c r="M13" s="54" t="s">
        <v>0</v>
      </c>
      <c r="N13" s="41">
        <f>STDEV(E18:E24)/STDEV(A18:A24)</f>
        <v>0.2388793577374268</v>
      </c>
      <c r="O13" t="s">
        <v>10</v>
      </c>
    </row>
    <row r="14" spans="1:17" ht="16" x14ac:dyDescent="0.4">
      <c r="A14" s="140">
        <v>-0.29899999999999999</v>
      </c>
      <c r="B14" s="22">
        <f t="shared" si="0"/>
        <v>3.3444816053511706</v>
      </c>
      <c r="C14" s="140">
        <v>1.3520000000000001</v>
      </c>
      <c r="D14" s="48">
        <f t="shared" si="6"/>
        <v>0.83200000000000007</v>
      </c>
      <c r="E14" s="22">
        <f t="shared" si="1"/>
        <v>0.97866458656005073</v>
      </c>
      <c r="F14" s="49">
        <f t="shared" si="2"/>
        <v>97.866458656005079</v>
      </c>
      <c r="G14" s="49">
        <f t="shared" si="3"/>
        <v>2.1335413439949207</v>
      </c>
      <c r="H14" s="47">
        <f t="shared" si="4"/>
        <v>-1.3200442362432423</v>
      </c>
      <c r="I14" s="47">
        <f t="shared" si="5"/>
        <v>1.0210442362432424</v>
      </c>
      <c r="J14" s="108">
        <f t="shared" si="7"/>
        <v>160</v>
      </c>
      <c r="M14" s="56" t="s">
        <v>16</v>
      </c>
      <c r="N14" s="44">
        <f>N12*B29/18/(E3/10000)</f>
        <v>0.68882915937688682</v>
      </c>
    </row>
    <row r="15" spans="1:17" x14ac:dyDescent="0.35">
      <c r="A15" s="140">
        <v>-0.56999999999999995</v>
      </c>
      <c r="B15" s="22">
        <f t="shared" si="0"/>
        <v>1.7543859649122808</v>
      </c>
      <c r="C15" s="140">
        <v>1.341</v>
      </c>
      <c r="D15" s="48">
        <f t="shared" si="6"/>
        <v>0.82099999999999995</v>
      </c>
      <c r="E15" s="22">
        <f t="shared" si="1"/>
        <v>0.96572551149735764</v>
      </c>
      <c r="F15" s="49">
        <f t="shared" si="2"/>
        <v>96.572551149735759</v>
      </c>
      <c r="G15" s="49">
        <f t="shared" si="3"/>
        <v>3.4274488502642413</v>
      </c>
      <c r="H15" s="47">
        <f t="shared" si="4"/>
        <v>-1.3531136795192071</v>
      </c>
      <c r="I15" s="47">
        <f t="shared" si="5"/>
        <v>0.78311367951920718</v>
      </c>
      <c r="J15" s="108">
        <f t="shared" si="7"/>
        <v>157.88461538461539</v>
      </c>
      <c r="K15" s="18"/>
      <c r="L15" s="19"/>
      <c r="O15" s="3"/>
    </row>
    <row r="16" spans="1:17" x14ac:dyDescent="0.35">
      <c r="A16" s="145">
        <v>-0.91</v>
      </c>
      <c r="B16" s="22">
        <f t="shared" si="0"/>
        <v>1.0989010989010988</v>
      </c>
      <c r="C16" s="145">
        <v>1.3260000000000001</v>
      </c>
      <c r="D16" s="48">
        <f t="shared" si="6"/>
        <v>0.80600000000000005</v>
      </c>
      <c r="E16" s="22">
        <f t="shared" si="1"/>
        <v>0.94808131823004915</v>
      </c>
      <c r="F16" s="49">
        <f t="shared" si="2"/>
        <v>94.808131823004913</v>
      </c>
      <c r="G16" s="49">
        <f t="shared" si="3"/>
        <v>5.1918681769950865</v>
      </c>
      <c r="H16" s="47">
        <f t="shared" si="4"/>
        <v>-1.4009730239336942</v>
      </c>
      <c r="I16" s="47">
        <f t="shared" si="5"/>
        <v>0.49097302393369413</v>
      </c>
      <c r="J16" s="108">
        <f t="shared" si="7"/>
        <v>155</v>
      </c>
      <c r="K16" s="18"/>
      <c r="L16" s="19"/>
      <c r="O16" s="3"/>
      <c r="P16" s="3"/>
      <c r="Q16" s="3"/>
    </row>
    <row r="17" spans="1:17" ht="15" thickBot="1" x14ac:dyDescent="0.4">
      <c r="A17" s="140">
        <v>-1.28</v>
      </c>
      <c r="B17" s="22">
        <f t="shared" si="0"/>
        <v>0.78125</v>
      </c>
      <c r="C17" s="140">
        <v>1.3049999999999999</v>
      </c>
      <c r="D17" s="48">
        <f t="shared" si="6"/>
        <v>0.78499999999999992</v>
      </c>
      <c r="E17" s="22">
        <f t="shared" si="1"/>
        <v>0.92337944765581692</v>
      </c>
      <c r="F17" s="49">
        <f t="shared" si="2"/>
        <v>92.337944765581696</v>
      </c>
      <c r="G17" s="49">
        <f t="shared" si="3"/>
        <v>7.6620552344183039</v>
      </c>
      <c r="H17" s="47">
        <f t="shared" si="4"/>
        <v>-1.4739601456083093</v>
      </c>
      <c r="I17" s="47">
        <f t="shared" si="5"/>
        <v>0.19396014560830932</v>
      </c>
      <c r="J17" s="108">
        <f t="shared" si="7"/>
        <v>150.96153846153842</v>
      </c>
      <c r="K17" s="18"/>
      <c r="L17" s="19"/>
    </row>
    <row r="18" spans="1:17" ht="15" thickBot="1" x14ac:dyDescent="0.4">
      <c r="A18" s="148">
        <v>-1.51</v>
      </c>
      <c r="B18" s="61">
        <f t="shared" si="0"/>
        <v>0.66225165562913912</v>
      </c>
      <c r="C18" s="149">
        <v>1.288</v>
      </c>
      <c r="D18" s="60">
        <f t="shared" si="6"/>
        <v>0.76800000000000002</v>
      </c>
      <c r="E18" s="61">
        <f t="shared" si="1"/>
        <v>0.90338269528620063</v>
      </c>
      <c r="F18" s="58">
        <f t="shared" si="2"/>
        <v>90.33826952862006</v>
      </c>
      <c r="G18" s="58">
        <f t="shared" si="3"/>
        <v>9.6617304713799399</v>
      </c>
      <c r="H18" s="59">
        <f t="shared" si="4"/>
        <v>-1.5388602308248382</v>
      </c>
      <c r="I18" s="59">
        <f t="shared" si="5"/>
        <v>2.886023082483824E-2</v>
      </c>
      <c r="J18" s="115">
        <f t="shared" si="7"/>
        <v>147.69230769230771</v>
      </c>
    </row>
    <row r="19" spans="1:17" x14ac:dyDescent="0.35">
      <c r="A19" s="140">
        <v>-1.64</v>
      </c>
      <c r="B19" s="22">
        <f t="shared" si="0"/>
        <v>0.6097560975609756</v>
      </c>
      <c r="C19" s="140">
        <v>1.266</v>
      </c>
      <c r="D19" s="48">
        <f t="shared" si="6"/>
        <v>0.746</v>
      </c>
      <c r="E19" s="22">
        <f t="shared" si="1"/>
        <v>0.87750454516081466</v>
      </c>
      <c r="F19" s="49">
        <f t="shared" si="2"/>
        <v>87.750454516081462</v>
      </c>
      <c r="G19" s="49">
        <f t="shared" si="3"/>
        <v>12.249545483918538</v>
      </c>
      <c r="H19" s="47">
        <f t="shared" si="4"/>
        <v>-1.6318450848009787</v>
      </c>
      <c r="I19" s="47">
        <f t="shared" si="5"/>
        <v>-8.1549151990212287E-3</v>
      </c>
      <c r="J19" s="108">
        <f t="shared" si="7"/>
        <v>143.46153846153845</v>
      </c>
    </row>
    <row r="20" spans="1:17" x14ac:dyDescent="0.35">
      <c r="A20" s="140">
        <v>-1.76</v>
      </c>
      <c r="B20" s="22">
        <f t="shared" si="0"/>
        <v>0.56818181818181823</v>
      </c>
      <c r="C20" s="140">
        <v>1.25</v>
      </c>
      <c r="D20" s="48">
        <f t="shared" si="6"/>
        <v>0.73</v>
      </c>
      <c r="E20" s="22">
        <f t="shared" si="1"/>
        <v>0.85868407234235211</v>
      </c>
      <c r="F20" s="49">
        <f t="shared" si="2"/>
        <v>85.868407234235207</v>
      </c>
      <c r="G20" s="49">
        <f t="shared" si="3"/>
        <v>14.131592765764793</v>
      </c>
      <c r="H20" s="47">
        <f t="shared" si="4"/>
        <v>-1.7068528851332596</v>
      </c>
      <c r="I20" s="47">
        <f t="shared" si="5"/>
        <v>-5.3147114866740397E-2</v>
      </c>
      <c r="J20" s="108">
        <f t="shared" si="7"/>
        <v>140.38461538461539</v>
      </c>
      <c r="P20" s="10"/>
      <c r="Q20" s="9"/>
    </row>
    <row r="21" spans="1:17" x14ac:dyDescent="0.35">
      <c r="A21" s="140">
        <v>-1.78</v>
      </c>
      <c r="B21" s="22">
        <f t="shared" si="0"/>
        <v>0.5617977528089888</v>
      </c>
      <c r="C21" s="140">
        <v>1.238</v>
      </c>
      <c r="D21" s="48">
        <f t="shared" si="6"/>
        <v>0.71799999999999997</v>
      </c>
      <c r="E21" s="22">
        <f t="shared" si="1"/>
        <v>0.84456871772850528</v>
      </c>
      <c r="F21" s="49">
        <f t="shared" si="2"/>
        <v>84.456871772850533</v>
      </c>
      <c r="G21" s="49">
        <f t="shared" si="3"/>
        <v>15.543128227149467</v>
      </c>
      <c r="H21" s="47">
        <f t="shared" si="4"/>
        <v>-1.767795457091619</v>
      </c>
      <c r="I21" s="47">
        <f t="shared" si="5"/>
        <v>-1.2204542908381022E-2</v>
      </c>
      <c r="J21" s="108">
        <f t="shared" si="7"/>
        <v>138.07692307692307</v>
      </c>
      <c r="P21" s="10"/>
      <c r="Q21" s="9"/>
    </row>
    <row r="22" spans="1:17" x14ac:dyDescent="0.35">
      <c r="A22" s="140">
        <v>-1.84</v>
      </c>
      <c r="B22" s="22">
        <f t="shared" si="0"/>
        <v>0.54347826086956519</v>
      </c>
      <c r="C22" s="140">
        <v>1.228</v>
      </c>
      <c r="D22" s="48">
        <f t="shared" ref="D22:D23" si="8">C22-$B$3-$B$4</f>
        <v>0.70799999999999996</v>
      </c>
      <c r="E22" s="22">
        <f t="shared" si="1"/>
        <v>0.83280592221696614</v>
      </c>
      <c r="F22" s="49">
        <f t="shared" ref="F22:F23" si="9">100*E22</f>
        <v>83.280592221696608</v>
      </c>
      <c r="G22" s="49">
        <f t="shared" ref="G22:G23" si="10">100-F22</f>
        <v>16.719407778303392</v>
      </c>
      <c r="H22" s="47">
        <f t="shared" si="4"/>
        <v>-1.8220072207042326</v>
      </c>
      <c r="I22" s="47">
        <f t="shared" ref="I22:I23" si="11">A22-H22</f>
        <v>-1.799277929576748E-2</v>
      </c>
      <c r="J22" s="108">
        <f t="shared" si="7"/>
        <v>136.15384615384613</v>
      </c>
      <c r="P22" s="10"/>
      <c r="Q22" s="9"/>
    </row>
    <row r="23" spans="1:17" x14ac:dyDescent="0.35">
      <c r="A23" s="140">
        <v>-1.89</v>
      </c>
      <c r="B23" s="22">
        <f t="shared" si="0"/>
        <v>0.52910052910052918</v>
      </c>
      <c r="C23" s="140">
        <v>1.2130000000000001</v>
      </c>
      <c r="D23" s="48">
        <f t="shared" si="8"/>
        <v>0.69300000000000006</v>
      </c>
      <c r="E23" s="22">
        <f t="shared" si="1"/>
        <v>0.81516172894965766</v>
      </c>
      <c r="F23" s="49">
        <f t="shared" si="9"/>
        <v>81.516172894965763</v>
      </c>
      <c r="G23" s="49">
        <f t="shared" si="10"/>
        <v>18.483827105034237</v>
      </c>
      <c r="H23" s="47">
        <f t="shared" si="4"/>
        <v>-1.9098597474902113</v>
      </c>
      <c r="I23" s="47">
        <f t="shared" si="11"/>
        <v>1.9859747490211355E-2</v>
      </c>
      <c r="J23" s="108">
        <f t="shared" si="7"/>
        <v>133.26923076923077</v>
      </c>
      <c r="P23" s="10"/>
      <c r="Q23" s="9"/>
    </row>
    <row r="24" spans="1:17" x14ac:dyDescent="0.35">
      <c r="A24" s="140">
        <v>-1.94</v>
      </c>
      <c r="B24" s="22">
        <f t="shared" si="0"/>
        <v>0.51546391752577325</v>
      </c>
      <c r="C24" s="140">
        <v>1.2010000000000001</v>
      </c>
      <c r="D24" s="48">
        <f t="shared" ref="D24" si="12">C24-$B$3-$B$4</f>
        <v>0.68100000000000005</v>
      </c>
      <c r="E24" s="22">
        <f t="shared" si="1"/>
        <v>0.80104637433581072</v>
      </c>
      <c r="F24" s="49">
        <f t="shared" ref="F24" si="13">100*E24</f>
        <v>80.104637433581075</v>
      </c>
      <c r="G24" s="49">
        <f t="shared" ref="G24" si="14">100-F24</f>
        <v>19.895362566418925</v>
      </c>
      <c r="H24" s="47">
        <f t="shared" si="4"/>
        <v>-1.9864863803402721</v>
      </c>
      <c r="I24" s="47">
        <f t="shared" ref="I24" si="15">A24-H24</f>
        <v>4.6486380340272193E-2</v>
      </c>
      <c r="J24" s="108">
        <f t="shared" si="7"/>
        <v>130.96153846153845</v>
      </c>
      <c r="Q24" s="9"/>
    </row>
    <row r="25" spans="1:17" x14ac:dyDescent="0.35">
      <c r="Q25" s="9"/>
    </row>
    <row r="26" spans="1:17" x14ac:dyDescent="0.35">
      <c r="Q26" s="9"/>
    </row>
    <row r="27" spans="1:17" ht="15" x14ac:dyDescent="0.4">
      <c r="A27" s="13" t="s">
        <v>4</v>
      </c>
      <c r="B27" s="13"/>
      <c r="C27" s="23"/>
      <c r="D27" s="14"/>
      <c r="F27" s="34" t="s">
        <v>14</v>
      </c>
      <c r="Q27" s="9"/>
    </row>
    <row r="28" spans="1:17" x14ac:dyDescent="0.35">
      <c r="A28" s="3" t="s">
        <v>26</v>
      </c>
      <c r="B28" s="27">
        <f>STDEV(D12:D18)/STDEV(A12:A18)</f>
        <v>5.2363139505848443E-2</v>
      </c>
      <c r="C28" s="5" t="s">
        <v>24</v>
      </c>
      <c r="D28" s="28">
        <f>COUNT(D12:D18)</f>
        <v>7</v>
      </c>
      <c r="F28" s="35" t="s">
        <v>26</v>
      </c>
      <c r="G28" s="30">
        <f>-STDEV(B18:B24)/STDEV(G18:G24)</f>
        <v>-1.4308723170370881E-2</v>
      </c>
      <c r="H28" s="5" t="s">
        <v>24</v>
      </c>
      <c r="I28" s="28">
        <f>COUNT(B18:B24)</f>
        <v>7</v>
      </c>
      <c r="Q28" s="9"/>
    </row>
    <row r="29" spans="1:17" ht="15.5" x14ac:dyDescent="0.35">
      <c r="A29" s="3" t="s">
        <v>3</v>
      </c>
      <c r="B29" s="24">
        <f>AVERAGE(D12:D18)-B28*AVERAGE(A12:A18)</f>
        <v>0.85013804670753623</v>
      </c>
      <c r="C29" s="26" t="s">
        <v>7</v>
      </c>
      <c r="F29" s="35" t="s">
        <v>3</v>
      </c>
      <c r="G29" s="31">
        <f>AVERAGE(B18:B24)-G28*AVERAGE(G18:G24)</f>
        <v>0.78807862278009033</v>
      </c>
      <c r="H29" s="25"/>
      <c r="Q29" s="9"/>
    </row>
    <row r="30" spans="1:17" x14ac:dyDescent="0.35">
      <c r="A30" s="3"/>
      <c r="B30" s="6"/>
      <c r="C30" s="3"/>
      <c r="D30" s="48"/>
      <c r="E30" s="22"/>
      <c r="F30" s="49"/>
      <c r="G30" s="49"/>
      <c r="H30" s="47"/>
      <c r="I30" s="47"/>
    </row>
    <row r="31" spans="1:17" x14ac:dyDescent="0.35">
      <c r="B31" s="6"/>
      <c r="D31" s="48"/>
      <c r="E31" s="22"/>
      <c r="F31" s="49"/>
      <c r="G31" s="49"/>
      <c r="H31" s="47"/>
      <c r="I31" s="47"/>
    </row>
    <row r="32" spans="1:17" x14ac:dyDescent="0.35">
      <c r="B32" s="6"/>
      <c r="D32" s="48"/>
      <c r="E32" s="22"/>
      <c r="F32" s="49"/>
      <c r="G32" s="49"/>
      <c r="H32" s="47"/>
      <c r="I32" s="47"/>
    </row>
    <row r="33" spans="2:17" x14ac:dyDescent="0.35">
      <c r="B33" s="22"/>
      <c r="D33" s="48"/>
      <c r="E33" s="22"/>
      <c r="F33" s="49"/>
      <c r="G33" s="49"/>
      <c r="H33" s="47"/>
      <c r="I33" s="47"/>
    </row>
    <row r="34" spans="2:17" x14ac:dyDescent="0.35">
      <c r="Q34" s="15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54A8-C094-4185-9844-271390B4B9C9}">
  <dimension ref="A1:Q34"/>
  <sheetViews>
    <sheetView zoomScale="60" zoomScaleNormal="60" workbookViewId="0">
      <selection activeCell="T31" sqref="T31"/>
    </sheetView>
  </sheetViews>
  <sheetFormatPr defaultRowHeight="14.5" x14ac:dyDescent="0.35"/>
  <cols>
    <col min="7" max="7" width="9.453125" bestFit="1" customWidth="1"/>
  </cols>
  <sheetData>
    <row r="1" spans="1:17" x14ac:dyDescent="0.35">
      <c r="A1" t="s">
        <v>38</v>
      </c>
      <c r="B1" s="123">
        <v>44846</v>
      </c>
      <c r="M1" s="17"/>
    </row>
    <row r="2" spans="1:17" x14ac:dyDescent="0.35">
      <c r="A2" s="1" t="s">
        <v>21</v>
      </c>
      <c r="B2" s="2"/>
      <c r="C2" s="4"/>
      <c r="K2" s="108"/>
      <c r="M2" s="17"/>
    </row>
    <row r="3" spans="1:17" x14ac:dyDescent="0.35">
      <c r="A3" s="3" t="s">
        <v>25</v>
      </c>
      <c r="B3" s="29"/>
      <c r="C3" s="3"/>
      <c r="D3" t="s">
        <v>15</v>
      </c>
      <c r="E3">
        <v>36.146999999999998</v>
      </c>
      <c r="J3" s="116"/>
    </row>
    <row r="4" spans="1:17" x14ac:dyDescent="0.35">
      <c r="A4" s="3" t="s">
        <v>22</v>
      </c>
      <c r="B4" s="102">
        <v>0.432</v>
      </c>
      <c r="C4" s="3"/>
      <c r="J4" s="9"/>
    </row>
    <row r="5" spans="1:17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7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7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B29/B4</f>
        <v>1.6814496041469211</v>
      </c>
      <c r="O7" t="s">
        <v>11</v>
      </c>
    </row>
    <row r="8" spans="1:17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-1/G29</f>
        <v>-1.477848068219346</v>
      </c>
      <c r="O8" t="s">
        <v>12</v>
      </c>
    </row>
    <row r="9" spans="1:17" ht="15" x14ac:dyDescent="0.4">
      <c r="A9" s="151">
        <v>-0.04</v>
      </c>
      <c r="B9" s="95">
        <f t="shared" ref="B9:B25" si="0">-1/A9</f>
        <v>25</v>
      </c>
      <c r="C9" s="151">
        <v>1.179</v>
      </c>
      <c r="D9" s="96">
        <f>C9-$B$3-$B$4</f>
        <v>0.74700000000000011</v>
      </c>
      <c r="E9" s="95">
        <f t="shared" ref="E9:E25" si="1">(D9/$B$29)</f>
        <v>1.0283785267200767</v>
      </c>
      <c r="F9" s="97">
        <f t="shared" ref="F9:F21" si="2">100*E9</f>
        <v>102.83785267200767</v>
      </c>
      <c r="G9" s="97">
        <f t="shared" ref="G9:G21" si="3">100-F9</f>
        <v>-2.8378526720076707</v>
      </c>
      <c r="H9" s="94">
        <f t="shared" ref="H9:H25" si="4">-1/($G$29+$G$28*G9)</f>
        <v>-1.4174146144362891</v>
      </c>
      <c r="I9" s="94">
        <f t="shared" ref="I9:I21" si="5">A9-H9</f>
        <v>1.3774146144362891</v>
      </c>
      <c r="J9" s="106">
        <f>D9/$B$4*100</f>
        <v>172.91666666666669</v>
      </c>
      <c r="M9" s="53" t="s">
        <v>23</v>
      </c>
      <c r="N9" s="40">
        <f>H20</f>
        <v>-1.7508487347600892</v>
      </c>
      <c r="O9" t="s">
        <v>5</v>
      </c>
    </row>
    <row r="10" spans="1:17" ht="15.5" thickBot="1" x14ac:dyDescent="0.45">
      <c r="A10" s="151">
        <v>-4.5999999999999999E-2</v>
      </c>
      <c r="B10" s="95">
        <f t="shared" si="0"/>
        <v>21.739130434782609</v>
      </c>
      <c r="C10" s="151">
        <v>1.179</v>
      </c>
      <c r="D10" s="96">
        <f t="shared" ref="D10:D21" si="6">C10-$B$3-$B$4</f>
        <v>0.74700000000000011</v>
      </c>
      <c r="E10" s="95">
        <f t="shared" si="1"/>
        <v>1.0283785267200767</v>
      </c>
      <c r="F10" s="97">
        <f t="shared" si="2"/>
        <v>102.83785267200767</v>
      </c>
      <c r="G10" s="97">
        <f t="shared" si="3"/>
        <v>-2.8378526720076707</v>
      </c>
      <c r="H10" s="94">
        <f t="shared" si="4"/>
        <v>-1.4174146144362891</v>
      </c>
      <c r="I10" s="94">
        <f t="shared" si="5"/>
        <v>1.3714146144362891</v>
      </c>
      <c r="J10" s="106">
        <f t="shared" ref="J10:J21" si="7">D10/$B$4*100</f>
        <v>172.91666666666669</v>
      </c>
      <c r="M10" s="54" t="s">
        <v>31</v>
      </c>
      <c r="N10" s="41">
        <f>F20</f>
        <v>89.62174309166933</v>
      </c>
      <c r="O10" t="s">
        <v>6</v>
      </c>
    </row>
    <row r="11" spans="1:17" ht="18.5" thickBot="1" x14ac:dyDescent="0.45">
      <c r="A11" s="151">
        <v>-5.8000000000000003E-2</v>
      </c>
      <c r="B11" s="95">
        <f t="shared" si="0"/>
        <v>17.241379310344826</v>
      </c>
      <c r="C11" s="151">
        <v>1.1759999999999999</v>
      </c>
      <c r="D11" s="96">
        <f t="shared" si="6"/>
        <v>0.74399999999999999</v>
      </c>
      <c r="E11" s="95">
        <f t="shared" si="1"/>
        <v>1.024248492476221</v>
      </c>
      <c r="F11" s="97">
        <f t="shared" si="2"/>
        <v>102.42484924762209</v>
      </c>
      <c r="G11" s="97">
        <f t="shared" si="3"/>
        <v>-2.4248492476220918</v>
      </c>
      <c r="H11" s="94">
        <f t="shared" si="4"/>
        <v>-1.4259005684961439</v>
      </c>
      <c r="I11" s="94">
        <f t="shared" si="5"/>
        <v>1.3679005684961438</v>
      </c>
      <c r="J11" s="106">
        <f t="shared" si="7"/>
        <v>172.22222222222223</v>
      </c>
      <c r="M11" s="55" t="s">
        <v>1</v>
      </c>
      <c r="N11" s="42">
        <f>STDEV(I15:I20)/STDEV(E15:E20)</f>
        <v>14.056256132814653</v>
      </c>
      <c r="O11" t="s">
        <v>8</v>
      </c>
    </row>
    <row r="12" spans="1:17" ht="16" x14ac:dyDescent="0.4">
      <c r="A12" s="151">
        <v>-0.05</v>
      </c>
      <c r="B12" s="95">
        <f t="shared" si="0"/>
        <v>20</v>
      </c>
      <c r="C12" s="151">
        <v>1.173</v>
      </c>
      <c r="D12" s="96">
        <f t="shared" si="6"/>
        <v>0.7410000000000001</v>
      </c>
      <c r="E12" s="95">
        <f t="shared" si="1"/>
        <v>1.0201184582323652</v>
      </c>
      <c r="F12" s="97">
        <f t="shared" si="2"/>
        <v>102.01184582323653</v>
      </c>
      <c r="G12" s="97">
        <f t="shared" si="3"/>
        <v>-2.0118458232365271</v>
      </c>
      <c r="H12" s="94">
        <f t="shared" si="4"/>
        <v>-1.4344887440783949</v>
      </c>
      <c r="I12" s="94">
        <f t="shared" si="5"/>
        <v>1.3844887440783948</v>
      </c>
      <c r="J12" s="106">
        <f t="shared" si="7"/>
        <v>171.5277777777778</v>
      </c>
      <c r="M12" s="53" t="s">
        <v>33</v>
      </c>
      <c r="N12" s="43">
        <f>STDEV(E15:E20)/STDEV(A15:A20)</f>
        <v>6.0036631123068999E-2</v>
      </c>
      <c r="O12" t="s">
        <v>9</v>
      </c>
    </row>
    <row r="13" spans="1:17" ht="16.5" thickBot="1" x14ac:dyDescent="0.45">
      <c r="A13" s="151">
        <v>-5.7000000000000002E-2</v>
      </c>
      <c r="B13" s="95">
        <f t="shared" si="0"/>
        <v>17.543859649122805</v>
      </c>
      <c r="C13" s="151">
        <v>1.17</v>
      </c>
      <c r="D13" s="96">
        <f t="shared" si="6"/>
        <v>0.73799999999999999</v>
      </c>
      <c r="E13" s="95">
        <f t="shared" si="1"/>
        <v>1.0159884239885095</v>
      </c>
      <c r="F13" s="97">
        <f t="shared" si="2"/>
        <v>101.59884239885095</v>
      </c>
      <c r="G13" s="97">
        <f t="shared" si="3"/>
        <v>-1.5988423988509481</v>
      </c>
      <c r="H13" s="94">
        <f t="shared" si="4"/>
        <v>-1.4431809994107427</v>
      </c>
      <c r="I13" s="94">
        <f t="shared" si="5"/>
        <v>1.3861809994107428</v>
      </c>
      <c r="J13" s="106">
        <f t="shared" si="7"/>
        <v>170.83333333333331</v>
      </c>
      <c r="M13" s="54" t="s">
        <v>0</v>
      </c>
      <c r="N13" s="41">
        <f>STDEV(E20:E26)/STDEV(A20:A26)</f>
        <v>0.28420628876081838</v>
      </c>
      <c r="O13" t="s">
        <v>10</v>
      </c>
    </row>
    <row r="14" spans="1:17" ht="16" x14ac:dyDescent="0.4">
      <c r="A14" s="151">
        <v>-6.5000000000000002E-2</v>
      </c>
      <c r="B14" s="95">
        <f t="shared" si="0"/>
        <v>15.384615384615383</v>
      </c>
      <c r="C14" s="151">
        <v>1.165</v>
      </c>
      <c r="D14" s="96">
        <f t="shared" si="6"/>
        <v>0.7330000000000001</v>
      </c>
      <c r="E14" s="95">
        <f t="shared" si="1"/>
        <v>1.0091050335820833</v>
      </c>
      <c r="F14" s="97">
        <f t="shared" si="2"/>
        <v>100.91050335820833</v>
      </c>
      <c r="G14" s="97">
        <f t="shared" si="3"/>
        <v>-0.91050335820833084</v>
      </c>
      <c r="H14" s="94">
        <f t="shared" si="4"/>
        <v>-1.4579045711770837</v>
      </c>
      <c r="I14" s="94">
        <f t="shared" si="5"/>
        <v>1.3929045711770838</v>
      </c>
      <c r="J14" s="106">
        <f t="shared" si="7"/>
        <v>169.67592592592595</v>
      </c>
      <c r="M14" s="56" t="s">
        <v>16</v>
      </c>
      <c r="N14" s="44">
        <f>N12*B29/18/(E3/10000)</f>
        <v>0.67025359539347062</v>
      </c>
    </row>
    <row r="15" spans="1:17" x14ac:dyDescent="0.35">
      <c r="A15" s="150">
        <v>-7.9000000000000001E-2</v>
      </c>
      <c r="B15" s="22">
        <f t="shared" si="0"/>
        <v>12.658227848101266</v>
      </c>
      <c r="C15" s="150">
        <v>1.1599999999999999</v>
      </c>
      <c r="D15" s="48">
        <f t="shared" si="6"/>
        <v>0.72799999999999998</v>
      </c>
      <c r="E15" s="22">
        <f t="shared" si="1"/>
        <v>1.002221643175657</v>
      </c>
      <c r="F15" s="49">
        <f t="shared" si="2"/>
        <v>100.2221643175657</v>
      </c>
      <c r="G15" s="49">
        <f t="shared" si="3"/>
        <v>-0.22216431756569932</v>
      </c>
      <c r="H15" s="47">
        <f t="shared" si="4"/>
        <v>-1.472931664156397</v>
      </c>
      <c r="I15" s="47">
        <f t="shared" si="5"/>
        <v>1.393931664156397</v>
      </c>
      <c r="J15" s="108">
        <f t="shared" si="7"/>
        <v>168.5185185185185</v>
      </c>
      <c r="K15" s="18"/>
      <c r="L15" s="19"/>
      <c r="O15" s="3"/>
    </row>
    <row r="16" spans="1:17" x14ac:dyDescent="0.35">
      <c r="A16" s="154">
        <v>-0.13500000000000001</v>
      </c>
      <c r="B16" s="22">
        <f t="shared" si="0"/>
        <v>7.4074074074074066</v>
      </c>
      <c r="C16" s="154">
        <v>1.1519999999999999</v>
      </c>
      <c r="D16" s="48">
        <f t="shared" si="6"/>
        <v>0.72</v>
      </c>
      <c r="E16" s="22">
        <f t="shared" si="1"/>
        <v>0.991208218525375</v>
      </c>
      <c r="F16" s="49">
        <f t="shared" si="2"/>
        <v>99.120821852537503</v>
      </c>
      <c r="G16" s="49">
        <f t="shared" si="3"/>
        <v>0.8791781474624969</v>
      </c>
      <c r="H16" s="47">
        <f t="shared" si="4"/>
        <v>-1.4976301560031855</v>
      </c>
      <c r="I16" s="47">
        <f t="shared" si="5"/>
        <v>1.3626301560031855</v>
      </c>
      <c r="J16" s="108">
        <f t="shared" si="7"/>
        <v>166.66666666666666</v>
      </c>
      <c r="K16" s="18"/>
      <c r="L16" s="19"/>
      <c r="O16" s="3"/>
      <c r="P16" s="3"/>
      <c r="Q16" s="3"/>
    </row>
    <row r="17" spans="1:17" x14ac:dyDescent="0.35">
      <c r="A17" s="150">
        <v>-0.22500000000000001</v>
      </c>
      <c r="B17" s="22">
        <f t="shared" si="0"/>
        <v>4.4444444444444446</v>
      </c>
      <c r="C17" s="150">
        <v>1.1439999999999999</v>
      </c>
      <c r="D17" s="48">
        <f t="shared" si="6"/>
        <v>0.71199999999999997</v>
      </c>
      <c r="E17" s="22">
        <f t="shared" si="1"/>
        <v>0.98019479387509312</v>
      </c>
      <c r="F17" s="49">
        <f t="shared" si="2"/>
        <v>98.019479387509307</v>
      </c>
      <c r="G17" s="49">
        <f t="shared" si="3"/>
        <v>1.9805206124906931</v>
      </c>
      <c r="H17" s="47">
        <f t="shared" si="4"/>
        <v>-1.5231710750380392</v>
      </c>
      <c r="I17" s="47">
        <f t="shared" si="5"/>
        <v>1.2981710750380391</v>
      </c>
      <c r="J17" s="108">
        <f t="shared" si="7"/>
        <v>164.81481481481481</v>
      </c>
      <c r="K17" s="18"/>
      <c r="L17" s="19"/>
    </row>
    <row r="18" spans="1:17" x14ac:dyDescent="0.35">
      <c r="A18" s="150">
        <v>-0.64</v>
      </c>
      <c r="B18" s="22">
        <f t="shared" si="0"/>
        <v>1.5625</v>
      </c>
      <c r="C18" s="150">
        <v>1.1279999999999999</v>
      </c>
      <c r="D18" s="48">
        <f t="shared" si="6"/>
        <v>0.69599999999999995</v>
      </c>
      <c r="E18" s="22">
        <f t="shared" si="1"/>
        <v>0.95816794457452914</v>
      </c>
      <c r="F18" s="49">
        <f t="shared" si="2"/>
        <v>95.816794457452914</v>
      </c>
      <c r="G18" s="49">
        <f t="shared" si="3"/>
        <v>4.1832055425470855</v>
      </c>
      <c r="H18" s="47">
        <f t="shared" si="4"/>
        <v>-1.5769586860310192</v>
      </c>
      <c r="I18" s="47">
        <f t="shared" si="5"/>
        <v>0.93695868603101917</v>
      </c>
      <c r="J18" s="108">
        <f t="shared" si="7"/>
        <v>161.11111111111109</v>
      </c>
    </row>
    <row r="19" spans="1:17" ht="15" thickBot="1" x14ac:dyDescent="0.4">
      <c r="A19" s="150">
        <v>-1.2669999999999999</v>
      </c>
      <c r="B19" s="22">
        <f t="shared" si="0"/>
        <v>0.78926598263614844</v>
      </c>
      <c r="C19" s="150">
        <v>1.1060000000000001</v>
      </c>
      <c r="D19" s="48">
        <f t="shared" si="6"/>
        <v>0.67400000000000015</v>
      </c>
      <c r="E19" s="22">
        <f t="shared" si="1"/>
        <v>0.92788102678625406</v>
      </c>
      <c r="F19" s="49">
        <f t="shared" si="2"/>
        <v>92.788102678625407</v>
      </c>
      <c r="G19" s="49">
        <f t="shared" si="3"/>
        <v>7.2118973213745932</v>
      </c>
      <c r="H19" s="47">
        <f t="shared" si="4"/>
        <v>-1.6574359151502385</v>
      </c>
      <c r="I19" s="47">
        <f t="shared" si="5"/>
        <v>0.39043591515023857</v>
      </c>
      <c r="J19" s="108">
        <f t="shared" si="7"/>
        <v>156.01851851851856</v>
      </c>
    </row>
    <row r="20" spans="1:17" ht="15" thickBot="1" x14ac:dyDescent="0.4">
      <c r="A20" s="152">
        <v>-1.72</v>
      </c>
      <c r="B20" s="61">
        <f t="shared" si="0"/>
        <v>0.58139534883720934</v>
      </c>
      <c r="C20" s="153">
        <v>1.083</v>
      </c>
      <c r="D20" s="60">
        <f t="shared" si="6"/>
        <v>0.65100000000000002</v>
      </c>
      <c r="E20" s="61">
        <f t="shared" si="1"/>
        <v>0.89621743091669337</v>
      </c>
      <c r="F20" s="58">
        <f t="shared" si="2"/>
        <v>89.62174309166933</v>
      </c>
      <c r="G20" s="58">
        <f t="shared" si="3"/>
        <v>10.37825690833067</v>
      </c>
      <c r="H20" s="59">
        <f t="shared" si="4"/>
        <v>-1.7508487347600892</v>
      </c>
      <c r="I20" s="59">
        <f t="shared" si="5"/>
        <v>3.0848734760089203E-2</v>
      </c>
      <c r="J20" s="115">
        <f t="shared" si="7"/>
        <v>150.69444444444443</v>
      </c>
      <c r="P20" s="10"/>
      <c r="Q20" s="9"/>
    </row>
    <row r="21" spans="1:17" x14ac:dyDescent="0.35">
      <c r="A21" s="150">
        <v>-1.86</v>
      </c>
      <c r="B21" s="22">
        <f t="shared" si="0"/>
        <v>0.5376344086021505</v>
      </c>
      <c r="C21" s="150">
        <v>1.0640000000000001</v>
      </c>
      <c r="D21" s="48">
        <f t="shared" si="6"/>
        <v>0.63200000000000012</v>
      </c>
      <c r="E21" s="22">
        <f t="shared" si="1"/>
        <v>0.87006054737227378</v>
      </c>
      <c r="F21" s="49">
        <f t="shared" si="2"/>
        <v>87.006054737227373</v>
      </c>
      <c r="G21" s="49">
        <f t="shared" si="3"/>
        <v>12.993945262772627</v>
      </c>
      <c r="H21" s="47">
        <f t="shared" si="4"/>
        <v>-1.8363455438272989</v>
      </c>
      <c r="I21" s="47">
        <f t="shared" si="5"/>
        <v>-2.3654456172701233E-2</v>
      </c>
      <c r="J21" s="108">
        <f t="shared" si="7"/>
        <v>146.29629629629633</v>
      </c>
      <c r="P21" s="10"/>
      <c r="Q21" s="9"/>
    </row>
    <row r="22" spans="1:17" x14ac:dyDescent="0.35">
      <c r="A22" s="150">
        <v>-1.92</v>
      </c>
      <c r="B22" s="22">
        <f t="shared" si="0"/>
        <v>0.52083333333333337</v>
      </c>
      <c r="C22" s="150">
        <v>1.054</v>
      </c>
      <c r="D22" s="48">
        <f t="shared" ref="D22:D24" si="8">C22-$B$3-$B$4</f>
        <v>0.62200000000000011</v>
      </c>
      <c r="E22" s="22">
        <f t="shared" si="1"/>
        <v>0.85629376655942135</v>
      </c>
      <c r="F22" s="49">
        <f t="shared" ref="F22:F24" si="9">100*E22</f>
        <v>85.629376655942139</v>
      </c>
      <c r="G22" s="49">
        <f t="shared" ref="G22:G24" si="10">100-F22</f>
        <v>14.370623344057861</v>
      </c>
      <c r="H22" s="47">
        <f t="shared" si="4"/>
        <v>-1.8847861718890506</v>
      </c>
      <c r="I22" s="47">
        <f t="shared" ref="I22:I24" si="11">A22-H22</f>
        <v>-3.5213828110949308E-2</v>
      </c>
      <c r="J22" s="108">
        <f t="shared" ref="J22:J24" si="12">D22/$B$4*100</f>
        <v>143.98148148148152</v>
      </c>
      <c r="P22" s="10"/>
      <c r="Q22" s="9"/>
    </row>
    <row r="23" spans="1:17" x14ac:dyDescent="0.35">
      <c r="A23" s="150">
        <v>-1.98</v>
      </c>
      <c r="B23" s="22">
        <f t="shared" si="0"/>
        <v>0.50505050505050508</v>
      </c>
      <c r="C23" s="150">
        <v>1.042</v>
      </c>
      <c r="D23" s="48">
        <f t="shared" si="8"/>
        <v>0.6100000000000001</v>
      </c>
      <c r="E23" s="22">
        <f t="shared" si="1"/>
        <v>0.83977362958399848</v>
      </c>
      <c r="F23" s="49">
        <f t="shared" si="9"/>
        <v>83.977362958399851</v>
      </c>
      <c r="G23" s="49">
        <f t="shared" si="10"/>
        <v>16.022637041600149</v>
      </c>
      <c r="H23" s="47">
        <f t="shared" si="4"/>
        <v>-1.9463986095405108</v>
      </c>
      <c r="I23" s="47">
        <f t="shared" si="11"/>
        <v>-3.3601390459489178E-2</v>
      </c>
      <c r="J23" s="108">
        <f t="shared" si="12"/>
        <v>141.20370370370372</v>
      </c>
      <c r="P23" s="10"/>
      <c r="Q23" s="9"/>
    </row>
    <row r="24" spans="1:17" x14ac:dyDescent="0.35">
      <c r="A24" s="150">
        <v>-1.99</v>
      </c>
      <c r="B24" s="22">
        <f t="shared" si="0"/>
        <v>0.50251256281407031</v>
      </c>
      <c r="C24" s="150">
        <v>1.034</v>
      </c>
      <c r="D24" s="48">
        <f t="shared" si="8"/>
        <v>0.60200000000000009</v>
      </c>
      <c r="E24" s="22">
        <f t="shared" si="1"/>
        <v>0.82876020493371649</v>
      </c>
      <c r="F24" s="49">
        <f t="shared" si="9"/>
        <v>82.876020493371655</v>
      </c>
      <c r="G24" s="49">
        <f t="shared" si="10"/>
        <v>17.123979506628345</v>
      </c>
      <c r="H24" s="47">
        <f t="shared" si="4"/>
        <v>-1.9897612801149671</v>
      </c>
      <c r="I24" s="47">
        <f t="shared" si="11"/>
        <v>-2.3871988503287866E-4</v>
      </c>
      <c r="J24" s="108">
        <f t="shared" si="12"/>
        <v>139.35185185185188</v>
      </c>
      <c r="Q24" s="9"/>
    </row>
    <row r="25" spans="1:17" x14ac:dyDescent="0.35">
      <c r="A25" s="150">
        <v>-2.0129999999999999</v>
      </c>
      <c r="B25" s="22">
        <f t="shared" si="0"/>
        <v>0.49677098857426727</v>
      </c>
      <c r="C25" s="150">
        <v>1.0189999999999999</v>
      </c>
      <c r="D25" s="48">
        <f t="shared" ref="D25" si="13">C25-$B$3-$B$4</f>
        <v>0.58699999999999997</v>
      </c>
      <c r="E25" s="22">
        <f t="shared" si="1"/>
        <v>0.80811003371443768</v>
      </c>
      <c r="F25" s="49">
        <f t="shared" ref="F25" si="14">100*E25</f>
        <v>80.811003371443775</v>
      </c>
      <c r="G25" s="49">
        <f t="shared" ref="G25" si="15">100-F25</f>
        <v>19.188996628556225</v>
      </c>
      <c r="H25" s="47">
        <f t="shared" si="4"/>
        <v>-2.0765009243167114</v>
      </c>
      <c r="I25" s="47">
        <f t="shared" ref="I25" si="16">A25-H25</f>
        <v>6.3500924316711505E-2</v>
      </c>
      <c r="J25" s="108">
        <f t="shared" ref="J25" si="17">D25/$B$4*100</f>
        <v>135.87962962962962</v>
      </c>
      <c r="Q25" s="9"/>
    </row>
    <row r="26" spans="1:17" x14ac:dyDescent="0.35">
      <c r="Q26" s="9"/>
    </row>
    <row r="27" spans="1:17" ht="15" x14ac:dyDescent="0.4">
      <c r="A27" s="13" t="s">
        <v>4</v>
      </c>
      <c r="B27" s="13"/>
      <c r="C27" s="23"/>
      <c r="D27" s="14"/>
      <c r="F27" s="34" t="s">
        <v>14</v>
      </c>
      <c r="Q27" s="9"/>
    </row>
    <row r="28" spans="1:17" x14ac:dyDescent="0.35">
      <c r="A28" s="3" t="s">
        <v>26</v>
      </c>
      <c r="B28" s="27">
        <f>STDEV(D15:D20)/STDEV(A15:A20)</f>
        <v>4.3609782082838014E-2</v>
      </c>
      <c r="C28" s="5" t="s">
        <v>24</v>
      </c>
      <c r="D28" s="28">
        <f>COUNT(D15:D20)</f>
        <v>6</v>
      </c>
      <c r="F28" s="35" t="s">
        <v>26</v>
      </c>
      <c r="G28" s="30">
        <f>-STDEV(B20:B25)/STDEV(G20:G25)</f>
        <v>-1.0166252105604628E-2</v>
      </c>
      <c r="H28" s="5" t="s">
        <v>24</v>
      </c>
      <c r="I28" s="28">
        <f>COUNT(B20:B25)</f>
        <v>6</v>
      </c>
      <c r="Q28" s="9"/>
    </row>
    <row r="29" spans="1:17" ht="15.5" x14ac:dyDescent="0.35">
      <c r="A29" s="3" t="s">
        <v>3</v>
      </c>
      <c r="B29" s="24">
        <f>AVERAGE(D15:D20)-B28*AVERAGE(A15:A20)</f>
        <v>0.72638622899146987</v>
      </c>
      <c r="C29" s="26" t="s">
        <v>7</v>
      </c>
      <c r="F29" s="35" t="s">
        <v>3</v>
      </c>
      <c r="G29" s="31">
        <f>AVERAGE(B20:B25)-G28*AVERAGE(G20:G25)</f>
        <v>0.67665954403885142</v>
      </c>
      <c r="H29" s="25"/>
      <c r="Q29" s="9"/>
    </row>
    <row r="30" spans="1:17" x14ac:dyDescent="0.35">
      <c r="A30" s="3"/>
      <c r="B30" s="6"/>
      <c r="C30" s="3"/>
      <c r="D30" s="48"/>
      <c r="E30" s="22"/>
      <c r="F30" s="49"/>
      <c r="G30" s="49"/>
      <c r="H30" s="47"/>
      <c r="I30" s="47"/>
    </row>
    <row r="31" spans="1:17" x14ac:dyDescent="0.35">
      <c r="B31" s="6"/>
      <c r="D31" s="48"/>
      <c r="E31" s="22"/>
      <c r="F31" s="49"/>
      <c r="G31" s="49"/>
      <c r="H31" s="47"/>
      <c r="I31" s="47"/>
    </row>
    <row r="32" spans="1:17" x14ac:dyDescent="0.35">
      <c r="B32" s="6"/>
      <c r="D32" s="48"/>
      <c r="E32" s="22"/>
      <c r="F32" s="49"/>
      <c r="G32" s="49"/>
      <c r="H32" s="47"/>
      <c r="I32" s="47"/>
    </row>
    <row r="33" spans="2:17" x14ac:dyDescent="0.35">
      <c r="B33" s="22"/>
      <c r="D33" s="48"/>
      <c r="E33" s="22"/>
      <c r="F33" s="49"/>
      <c r="G33" s="49"/>
      <c r="H33" s="47"/>
      <c r="I33" s="47"/>
    </row>
    <row r="34" spans="2:17" x14ac:dyDescent="0.35">
      <c r="Q34" s="15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4"/>
  <sheetViews>
    <sheetView zoomScale="60" zoomScaleNormal="60" workbookViewId="0">
      <selection activeCell="P24" sqref="P24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3.453125" customWidth="1"/>
    <col min="11" max="11" width="6.453125" customWidth="1"/>
    <col min="12" max="12" width="9.1796875" customWidth="1"/>
    <col min="13" max="13" width="19.1796875" customWidth="1"/>
    <col min="14" max="14" width="8.36328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44805</v>
      </c>
      <c r="M1" s="17"/>
    </row>
    <row r="2" spans="1:20" x14ac:dyDescent="0.35">
      <c r="A2" s="1" t="s">
        <v>21</v>
      </c>
      <c r="B2" s="2"/>
      <c r="C2" s="4"/>
      <c r="K2" s="108"/>
      <c r="M2" s="17"/>
    </row>
    <row r="3" spans="1:20" x14ac:dyDescent="0.35">
      <c r="A3" s="3" t="s">
        <v>25</v>
      </c>
      <c r="B3" s="29"/>
      <c r="C3" s="3"/>
      <c r="D3" t="s">
        <v>15</v>
      </c>
      <c r="E3">
        <v>18.427</v>
      </c>
      <c r="J3" s="116"/>
    </row>
    <row r="4" spans="1:20" x14ac:dyDescent="0.35">
      <c r="A4" s="3" t="s">
        <v>22</v>
      </c>
      <c r="B4" s="102">
        <v>0.41199999999999998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B32/B4</f>
        <v>1.0117855167207261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-1/G32</f>
        <v>-2.7535345793400663</v>
      </c>
      <c r="O8" t="s">
        <v>12</v>
      </c>
    </row>
    <row r="9" spans="1:20" ht="15" x14ac:dyDescent="0.4">
      <c r="A9" s="94">
        <v>-3.7999999999999999E-2</v>
      </c>
      <c r="B9" s="95">
        <f t="shared" ref="B9:B27" si="0">-1/A9</f>
        <v>26.315789473684212</v>
      </c>
      <c r="C9" s="91">
        <v>0.83</v>
      </c>
      <c r="D9" s="96">
        <f t="shared" ref="D9:D27" si="1">C9-$B$3-$B$4</f>
        <v>0.41799999999999998</v>
      </c>
      <c r="E9" s="95">
        <f t="shared" ref="E9:E27" si="2">(D9/$B$32)</f>
        <v>1.0027452360500206</v>
      </c>
      <c r="F9" s="97">
        <f t="shared" ref="F9:F27" si="3">100*E9</f>
        <v>100.27452360500206</v>
      </c>
      <c r="G9" s="97">
        <f t="shared" ref="G9:G27" si="4">100-F9</f>
        <v>-0.27452360500205941</v>
      </c>
      <c r="H9" s="94">
        <f t="shared" ref="H9:H27" si="5">-1/($G$32+$G$31*G9)</f>
        <v>-2.7439192524358669</v>
      </c>
      <c r="I9" s="94">
        <f>A9-H9</f>
        <v>2.7059192524358671</v>
      </c>
      <c r="J9" s="106">
        <f>D9/$B$4*100</f>
        <v>101.45631067961165</v>
      </c>
      <c r="M9" s="53" t="s">
        <v>23</v>
      </c>
      <c r="N9" s="40">
        <f>H21</f>
        <v>-3.3094433727960424</v>
      </c>
      <c r="O9" t="s">
        <v>5</v>
      </c>
    </row>
    <row r="10" spans="1:20" ht="15.5" thickBot="1" x14ac:dyDescent="0.45">
      <c r="A10" s="94">
        <v>-8.4000000000000005E-2</v>
      </c>
      <c r="B10" s="95">
        <f t="shared" si="0"/>
        <v>11.904761904761903</v>
      </c>
      <c r="C10" s="91">
        <v>0.83</v>
      </c>
      <c r="D10" s="96">
        <f t="shared" si="1"/>
        <v>0.41799999999999998</v>
      </c>
      <c r="E10" s="95">
        <f t="shared" si="2"/>
        <v>1.0027452360500206</v>
      </c>
      <c r="F10" s="97">
        <f t="shared" si="3"/>
        <v>100.27452360500206</v>
      </c>
      <c r="G10" s="97">
        <f t="shared" si="4"/>
        <v>-0.27452360500205941</v>
      </c>
      <c r="H10" s="94">
        <f t="shared" si="5"/>
        <v>-2.7439192524358669</v>
      </c>
      <c r="I10" s="94">
        <f t="shared" ref="I10:I27" si="6">A10-H10</f>
        <v>2.6599192524358668</v>
      </c>
      <c r="J10" s="106">
        <f t="shared" ref="J10:J27" si="7">D10/$B$4*100</f>
        <v>101.45631067961165</v>
      </c>
      <c r="M10" s="54" t="s">
        <v>31</v>
      </c>
      <c r="N10" s="41">
        <f>F21</f>
        <v>86.840616136389357</v>
      </c>
      <c r="O10" t="s">
        <v>6</v>
      </c>
    </row>
    <row r="11" spans="1:20" ht="16.5" customHeight="1" thickBot="1" x14ac:dyDescent="0.45">
      <c r="A11" s="94">
        <v>-0.06</v>
      </c>
      <c r="B11" s="95">
        <f t="shared" si="0"/>
        <v>16.666666666666668</v>
      </c>
      <c r="C11" s="91">
        <v>0.82899999999999996</v>
      </c>
      <c r="D11" s="96">
        <f t="shared" si="1"/>
        <v>0.41699999999999998</v>
      </c>
      <c r="E11" s="95">
        <f t="shared" si="2"/>
        <v>1.000346324002054</v>
      </c>
      <c r="F11" s="97">
        <f t="shared" si="3"/>
        <v>100.0346324002054</v>
      </c>
      <c r="G11" s="97">
        <f t="shared" si="4"/>
        <v>-3.4632400205396152E-2</v>
      </c>
      <c r="H11" s="94">
        <f t="shared" si="5"/>
        <v>-2.7523178493521785</v>
      </c>
      <c r="I11" s="94">
        <f t="shared" si="6"/>
        <v>2.6923178493521784</v>
      </c>
      <c r="J11" s="106">
        <f t="shared" si="7"/>
        <v>101.21359223300972</v>
      </c>
      <c r="M11" s="55" t="s">
        <v>1</v>
      </c>
      <c r="N11" s="42">
        <f>STDEV(I14:I21)/STDEV(E14:E21)</f>
        <v>21.537384555979607</v>
      </c>
      <c r="O11" t="s">
        <v>8</v>
      </c>
    </row>
    <row r="12" spans="1:20" ht="16" x14ac:dyDescent="0.4">
      <c r="A12" s="94">
        <v>-0.11700000000000001</v>
      </c>
      <c r="B12" s="95">
        <f t="shared" si="0"/>
        <v>8.5470085470085468</v>
      </c>
      <c r="C12" s="91">
        <v>0.82799999999999996</v>
      </c>
      <c r="D12" s="96">
        <f t="shared" si="1"/>
        <v>0.41599999999999998</v>
      </c>
      <c r="E12" s="95">
        <f t="shared" si="2"/>
        <v>0.99794741195408743</v>
      </c>
      <c r="F12" s="97">
        <f t="shared" si="3"/>
        <v>99.794741195408747</v>
      </c>
      <c r="G12" s="97">
        <f t="shared" si="4"/>
        <v>0.2052588045912529</v>
      </c>
      <c r="H12" s="94">
        <f t="shared" si="5"/>
        <v>-2.76076801702159</v>
      </c>
      <c r="I12" s="94">
        <f t="shared" si="6"/>
        <v>2.64376801702159</v>
      </c>
      <c r="J12" s="106">
        <f>D12/$B$4*100</f>
        <v>100.97087378640776</v>
      </c>
      <c r="M12" s="53" t="s">
        <v>33</v>
      </c>
      <c r="N12" s="43">
        <f>STDEV(E14:E21)/STDEV(A14:A21)</f>
        <v>3.8879103064629168E-2</v>
      </c>
      <c r="O12" t="s">
        <v>9</v>
      </c>
    </row>
    <row r="13" spans="1:20" ht="16.5" thickBot="1" x14ac:dyDescent="0.45">
      <c r="A13" s="94">
        <v>-0.106</v>
      </c>
      <c r="B13" s="95">
        <f t="shared" si="0"/>
        <v>9.433962264150944</v>
      </c>
      <c r="C13" s="91">
        <v>0.82799999999999996</v>
      </c>
      <c r="D13" s="96">
        <f t="shared" si="1"/>
        <v>0.41599999999999998</v>
      </c>
      <c r="E13" s="95">
        <f t="shared" si="2"/>
        <v>0.99794741195408743</v>
      </c>
      <c r="F13" s="97">
        <f t="shared" si="3"/>
        <v>99.794741195408747</v>
      </c>
      <c r="G13" s="97">
        <f t="shared" si="4"/>
        <v>0.2052588045912529</v>
      </c>
      <c r="H13" s="94">
        <f t="shared" si="5"/>
        <v>-2.76076801702159</v>
      </c>
      <c r="I13" s="94">
        <f t="shared" si="6"/>
        <v>2.6547680170215902</v>
      </c>
      <c r="J13" s="106">
        <f t="shared" si="7"/>
        <v>100.97087378640776</v>
      </c>
      <c r="M13" s="54" t="s">
        <v>0</v>
      </c>
      <c r="N13" s="41">
        <f>STDEV(E21:E27)/STDEV(A21:A27)</f>
        <v>0.11482047880399196</v>
      </c>
      <c r="O13" t="s">
        <v>10</v>
      </c>
    </row>
    <row r="14" spans="1:20" ht="16" x14ac:dyDescent="0.4">
      <c r="A14" s="50">
        <v>-0.13900000000000001</v>
      </c>
      <c r="B14" s="22">
        <f t="shared" si="0"/>
        <v>7.1942446043165464</v>
      </c>
      <c r="C14">
        <v>0.82699999999999996</v>
      </c>
      <c r="D14" s="48">
        <f t="shared" si="1"/>
        <v>0.41499999999999998</v>
      </c>
      <c r="E14" s="22">
        <f t="shared" si="2"/>
        <v>0.99554849990612093</v>
      </c>
      <c r="F14" s="49">
        <f t="shared" si="3"/>
        <v>99.554849990612098</v>
      </c>
      <c r="G14" s="49">
        <f t="shared" si="4"/>
        <v>0.44515000938790195</v>
      </c>
      <c r="H14" s="47">
        <f t="shared" si="5"/>
        <v>-2.7692702319045885</v>
      </c>
      <c r="I14" s="47">
        <f t="shared" si="6"/>
        <v>2.6302702319045883</v>
      </c>
      <c r="J14" s="108">
        <f t="shared" si="7"/>
        <v>100.72815533980584</v>
      </c>
      <c r="M14" s="56" t="s">
        <v>16</v>
      </c>
      <c r="N14" s="44">
        <f>N12*B32/18/(E3/10000)</f>
        <v>0.48862397309986805</v>
      </c>
    </row>
    <row r="15" spans="1:20" x14ac:dyDescent="0.35">
      <c r="A15" s="50">
        <v>-0.29699999999999999</v>
      </c>
      <c r="B15" s="22">
        <f t="shared" si="0"/>
        <v>3.3670033670033672</v>
      </c>
      <c r="C15">
        <v>0.82299999999999995</v>
      </c>
      <c r="D15" s="48">
        <f t="shared" si="1"/>
        <v>0.41099999999999998</v>
      </c>
      <c r="E15" s="22">
        <f t="shared" si="2"/>
        <v>0.98595285171425462</v>
      </c>
      <c r="F15" s="49">
        <f t="shared" si="3"/>
        <v>98.595285171425459</v>
      </c>
      <c r="G15" s="49">
        <f t="shared" si="4"/>
        <v>1.4047148285745408</v>
      </c>
      <c r="H15" s="47">
        <f t="shared" si="5"/>
        <v>-2.8038093007711189</v>
      </c>
      <c r="I15" s="47">
        <f t="shared" si="6"/>
        <v>2.5068093007711187</v>
      </c>
      <c r="J15" s="108">
        <f t="shared" si="7"/>
        <v>99.757281553398059</v>
      </c>
      <c r="K15" s="18"/>
      <c r="L15" s="19"/>
    </row>
    <row r="16" spans="1:20" x14ac:dyDescent="0.35">
      <c r="A16" s="50">
        <v>-0.55400000000000005</v>
      </c>
      <c r="B16" s="22">
        <f t="shared" si="0"/>
        <v>1.8050541516245486</v>
      </c>
      <c r="C16">
        <v>0.81899999999999995</v>
      </c>
      <c r="D16" s="48">
        <f t="shared" si="1"/>
        <v>0.40699999999999997</v>
      </c>
      <c r="E16" s="22">
        <f t="shared" si="2"/>
        <v>0.97635720352238842</v>
      </c>
      <c r="F16" s="49">
        <f t="shared" si="3"/>
        <v>97.635720352238849</v>
      </c>
      <c r="G16" s="49">
        <f t="shared" si="4"/>
        <v>2.3642796477611512</v>
      </c>
      <c r="H16" s="47">
        <f t="shared" si="5"/>
        <v>-2.8392208117221136</v>
      </c>
      <c r="I16" s="47">
        <f t="shared" si="6"/>
        <v>2.2852208117221133</v>
      </c>
      <c r="J16" s="108">
        <f t="shared" si="7"/>
        <v>98.786407766990294</v>
      </c>
      <c r="K16" s="18"/>
      <c r="L16" s="19"/>
      <c r="P16" s="3"/>
      <c r="Q16" s="3"/>
      <c r="R16" s="3"/>
      <c r="S16" s="3"/>
      <c r="T16" s="3"/>
    </row>
    <row r="17" spans="1:18" x14ac:dyDescent="0.35">
      <c r="A17" s="50">
        <v>-0.92400000000000004</v>
      </c>
      <c r="B17" s="22">
        <f t="shared" si="0"/>
        <v>1.0822510822510822</v>
      </c>
      <c r="C17" s="3">
        <v>0.81299999999999994</v>
      </c>
      <c r="D17" s="48">
        <f t="shared" si="1"/>
        <v>0.40099999999999997</v>
      </c>
      <c r="E17" s="22">
        <f t="shared" si="2"/>
        <v>0.96196373123458911</v>
      </c>
      <c r="F17" s="49">
        <f t="shared" si="3"/>
        <v>96.196373123458912</v>
      </c>
      <c r="G17" s="49">
        <f t="shared" si="4"/>
        <v>3.8036268765410881</v>
      </c>
      <c r="H17" s="47">
        <f t="shared" si="5"/>
        <v>-2.8940476140020066</v>
      </c>
      <c r="I17" s="47">
        <f t="shared" si="6"/>
        <v>1.9700476140020067</v>
      </c>
      <c r="J17" s="108">
        <f t="shared" si="7"/>
        <v>97.330097087378647</v>
      </c>
      <c r="K17" s="18"/>
      <c r="L17" s="19"/>
    </row>
    <row r="18" spans="1:18" x14ac:dyDescent="0.35">
      <c r="A18" s="50">
        <v>-1.72</v>
      </c>
      <c r="B18" s="22">
        <f t="shared" si="0"/>
        <v>0.58139534883720934</v>
      </c>
      <c r="C18" s="35">
        <v>0.80300000000000005</v>
      </c>
      <c r="D18" s="48">
        <f t="shared" si="1"/>
        <v>0.39100000000000007</v>
      </c>
      <c r="E18" s="22">
        <f t="shared" si="2"/>
        <v>0.93797461075492372</v>
      </c>
      <c r="F18" s="49">
        <f t="shared" si="3"/>
        <v>93.797461075492379</v>
      </c>
      <c r="G18" s="49">
        <f t="shared" si="4"/>
        <v>6.2025389245076212</v>
      </c>
      <c r="H18" s="47">
        <f t="shared" si="5"/>
        <v>-2.990287578350292</v>
      </c>
      <c r="I18" s="47">
        <f t="shared" si="6"/>
        <v>1.270287578350292</v>
      </c>
      <c r="J18" s="108">
        <f t="shared" si="7"/>
        <v>94.902912621359249</v>
      </c>
    </row>
    <row r="19" spans="1:18" x14ac:dyDescent="0.35">
      <c r="A19" s="50">
        <v>-2.37</v>
      </c>
      <c r="B19" s="22">
        <f t="shared" si="0"/>
        <v>0.42194092827004215</v>
      </c>
      <c r="C19" s="35">
        <v>0.79300000000000004</v>
      </c>
      <c r="D19" s="48">
        <f t="shared" si="1"/>
        <v>0.38100000000000006</v>
      </c>
      <c r="E19" s="22">
        <f t="shared" si="2"/>
        <v>0.91398549027525822</v>
      </c>
      <c r="F19" s="49">
        <f t="shared" si="3"/>
        <v>91.398549027525817</v>
      </c>
      <c r="G19" s="49">
        <f t="shared" si="4"/>
        <v>8.6014509724741828</v>
      </c>
      <c r="H19" s="47">
        <f t="shared" si="5"/>
        <v>-3.0931485344875651</v>
      </c>
      <c r="I19" s="47">
        <f t="shared" si="6"/>
        <v>0.723148534487565</v>
      </c>
      <c r="J19" s="108">
        <f t="shared" si="7"/>
        <v>92.475728155339823</v>
      </c>
    </row>
    <row r="20" spans="1:18" ht="15" thickBot="1" x14ac:dyDescent="0.4">
      <c r="A20" s="50">
        <v>-2.89</v>
      </c>
      <c r="B20" s="22">
        <f t="shared" si="0"/>
        <v>0.34602076124567471</v>
      </c>
      <c r="C20" s="35">
        <v>0.78300000000000003</v>
      </c>
      <c r="D20" s="48">
        <f t="shared" si="1"/>
        <v>0.37100000000000005</v>
      </c>
      <c r="E20" s="22">
        <f t="shared" si="2"/>
        <v>0.8899963697955926</v>
      </c>
      <c r="F20" s="49">
        <f t="shared" si="3"/>
        <v>88.999636979559256</v>
      </c>
      <c r="G20" s="49">
        <f t="shared" si="4"/>
        <v>11.000363020440744</v>
      </c>
      <c r="H20" s="47">
        <f t="shared" si="5"/>
        <v>-3.2033380760275478</v>
      </c>
      <c r="I20" s="47">
        <f t="shared" si="6"/>
        <v>0.31333807602754771</v>
      </c>
      <c r="J20" s="108">
        <f t="shared" si="7"/>
        <v>90.048543689320411</v>
      </c>
      <c r="P20" s="10"/>
      <c r="Q20" s="9"/>
      <c r="R20" s="9"/>
    </row>
    <row r="21" spans="1:18" ht="15" thickBot="1" x14ac:dyDescent="0.4">
      <c r="A21" s="64">
        <v>-3.19</v>
      </c>
      <c r="B21" s="61">
        <f t="shared" si="0"/>
        <v>0.31347962382445144</v>
      </c>
      <c r="C21" s="66">
        <v>0.77400000000000002</v>
      </c>
      <c r="D21" s="60">
        <f t="shared" si="1"/>
        <v>0.36200000000000004</v>
      </c>
      <c r="E21" s="61">
        <f t="shared" si="2"/>
        <v>0.86840616136389359</v>
      </c>
      <c r="F21" s="58">
        <f t="shared" si="3"/>
        <v>86.840616136389357</v>
      </c>
      <c r="G21" s="58">
        <f t="shared" si="4"/>
        <v>13.159383863610643</v>
      </c>
      <c r="H21" s="59">
        <f t="shared" si="5"/>
        <v>-3.3094433727960424</v>
      </c>
      <c r="I21" s="59">
        <f t="shared" si="6"/>
        <v>0.11944337279604245</v>
      </c>
      <c r="J21" s="115">
        <f t="shared" si="7"/>
        <v>87.864077669902926</v>
      </c>
      <c r="P21" s="10"/>
      <c r="Q21" s="9"/>
      <c r="R21" s="9"/>
    </row>
    <row r="22" spans="1:18" x14ac:dyDescent="0.35">
      <c r="A22" s="50">
        <v>-3.4</v>
      </c>
      <c r="B22" s="6">
        <f t="shared" si="0"/>
        <v>0.29411764705882354</v>
      </c>
      <c r="C22" s="35">
        <v>0.76500000000000001</v>
      </c>
      <c r="D22" s="48">
        <f t="shared" si="1"/>
        <v>0.35300000000000004</v>
      </c>
      <c r="E22" s="22">
        <f t="shared" si="2"/>
        <v>0.84681595293219458</v>
      </c>
      <c r="F22" s="49">
        <f t="shared" si="3"/>
        <v>84.681595293219459</v>
      </c>
      <c r="G22" s="49">
        <f t="shared" si="4"/>
        <v>15.318404706780541</v>
      </c>
      <c r="H22" s="47">
        <f t="shared" si="5"/>
        <v>-3.4228186003735632</v>
      </c>
      <c r="I22" s="47">
        <f t="shared" si="6"/>
        <v>2.2818600373563314E-2</v>
      </c>
      <c r="J22" s="108">
        <f t="shared" si="7"/>
        <v>85.679611650485455</v>
      </c>
      <c r="P22" s="10"/>
      <c r="Q22" s="9"/>
      <c r="R22" s="9"/>
    </row>
    <row r="23" spans="1:18" x14ac:dyDescent="0.35">
      <c r="A23" s="50">
        <v>-3.56</v>
      </c>
      <c r="B23" s="6">
        <f t="shared" si="0"/>
        <v>0.2808988764044944</v>
      </c>
      <c r="C23" s="35">
        <v>0.75600000000000001</v>
      </c>
      <c r="D23" s="48">
        <f t="shared" si="1"/>
        <v>0.34400000000000003</v>
      </c>
      <c r="E23" s="22">
        <f t="shared" si="2"/>
        <v>0.82522574450049546</v>
      </c>
      <c r="F23" s="49">
        <f t="shared" si="3"/>
        <v>82.522574450049547</v>
      </c>
      <c r="G23" s="49">
        <f t="shared" si="4"/>
        <v>17.477425549950453</v>
      </c>
      <c r="H23" s="47">
        <f t="shared" si="5"/>
        <v>-3.544237425048653</v>
      </c>
      <c r="I23" s="47">
        <f t="shared" si="6"/>
        <v>-1.576257495134703E-2</v>
      </c>
      <c r="J23" s="108">
        <f t="shared" si="7"/>
        <v>83.49514563106797</v>
      </c>
      <c r="P23" s="10"/>
      <c r="Q23" s="9"/>
      <c r="R23" s="9"/>
    </row>
    <row r="24" spans="1:18" x14ac:dyDescent="0.35">
      <c r="A24" s="50">
        <v>-3.74</v>
      </c>
      <c r="B24" s="6">
        <f t="shared" si="0"/>
        <v>0.26737967914438499</v>
      </c>
      <c r="C24" s="35">
        <v>0.747</v>
      </c>
      <c r="D24" s="48">
        <f t="shared" si="1"/>
        <v>0.33500000000000002</v>
      </c>
      <c r="E24" s="22">
        <f t="shared" si="2"/>
        <v>0.80363553606879645</v>
      </c>
      <c r="F24" s="49">
        <f t="shared" si="3"/>
        <v>80.363553606879648</v>
      </c>
      <c r="G24" s="49">
        <f t="shared" si="4"/>
        <v>19.636446393120352</v>
      </c>
      <c r="H24" s="47">
        <f t="shared" si="5"/>
        <v>-3.67458732865214</v>
      </c>
      <c r="I24" s="47">
        <f t="shared" si="6"/>
        <v>-6.5412671347860218E-2</v>
      </c>
      <c r="J24" s="108">
        <f t="shared" si="7"/>
        <v>81.3106796116505</v>
      </c>
      <c r="Q24" s="9"/>
      <c r="R24" s="9"/>
    </row>
    <row r="25" spans="1:18" x14ac:dyDescent="0.35">
      <c r="A25" s="50">
        <v>-4.0199999999999996</v>
      </c>
      <c r="B25" s="6">
        <f t="shared" si="0"/>
        <v>0.24875621890547267</v>
      </c>
      <c r="C25" s="35">
        <v>0.73599999999999999</v>
      </c>
      <c r="D25" s="48">
        <f t="shared" si="1"/>
        <v>0.32400000000000001</v>
      </c>
      <c r="E25" s="22">
        <f t="shared" si="2"/>
        <v>0.77724750354116434</v>
      </c>
      <c r="F25" s="49">
        <f t="shared" si="3"/>
        <v>77.724750354116438</v>
      </c>
      <c r="G25" s="49">
        <f t="shared" si="4"/>
        <v>22.275249645883562</v>
      </c>
      <c r="H25" s="47">
        <f t="shared" si="5"/>
        <v>-3.8475374781697456</v>
      </c>
      <c r="I25" s="47">
        <f t="shared" si="6"/>
        <v>-0.17246252183025401</v>
      </c>
      <c r="J25" s="108">
        <f t="shared" si="7"/>
        <v>78.640776699029132</v>
      </c>
      <c r="Q25" s="9"/>
      <c r="R25" s="9"/>
    </row>
    <row r="26" spans="1:18" x14ac:dyDescent="0.35">
      <c r="A26" s="50">
        <v>-4.5199999999999996</v>
      </c>
      <c r="B26" s="6">
        <f t="shared" si="0"/>
        <v>0.22123893805309736</v>
      </c>
      <c r="C26" s="35">
        <v>0.70499999999999996</v>
      </c>
      <c r="D26" s="48">
        <f t="shared" si="1"/>
        <v>0.29299999999999998</v>
      </c>
      <c r="E26" s="22">
        <f t="shared" si="2"/>
        <v>0.702881230054201</v>
      </c>
      <c r="F26" s="49">
        <f t="shared" si="3"/>
        <v>70.288123005420104</v>
      </c>
      <c r="G26" s="49">
        <f t="shared" si="4"/>
        <v>29.711876994579896</v>
      </c>
      <c r="H26" s="47">
        <f t="shared" si="5"/>
        <v>-4.4359283086895349</v>
      </c>
      <c r="I26" s="47">
        <f t="shared" si="6"/>
        <v>-8.4071691310464658E-2</v>
      </c>
      <c r="J26" s="108">
        <f t="shared" si="7"/>
        <v>71.116504854368941</v>
      </c>
      <c r="Q26" s="9"/>
      <c r="R26" s="9"/>
    </row>
    <row r="27" spans="1:18" x14ac:dyDescent="0.35">
      <c r="A27" s="50">
        <v>-5.84</v>
      </c>
      <c r="B27" s="6">
        <f t="shared" si="0"/>
        <v>0.17123287671232876</v>
      </c>
      <c r="C27" s="35">
        <v>0.64900000000000002</v>
      </c>
      <c r="D27" s="48">
        <f t="shared" si="1"/>
        <v>0.23700000000000004</v>
      </c>
      <c r="E27" s="22">
        <f t="shared" si="2"/>
        <v>0.56854215536807395</v>
      </c>
      <c r="F27" s="49">
        <f t="shared" si="3"/>
        <v>56.854215536807395</v>
      </c>
      <c r="G27" s="49">
        <f t="shared" si="4"/>
        <v>43.145784463192605</v>
      </c>
      <c r="H27" s="47">
        <f t="shared" si="5"/>
        <v>-6.1291273584522994</v>
      </c>
      <c r="I27" s="47">
        <f t="shared" si="6"/>
        <v>0.28912735845229953</v>
      </c>
      <c r="J27" s="108">
        <f t="shared" si="7"/>
        <v>57.524271844660213</v>
      </c>
      <c r="Q27" s="9"/>
      <c r="R27" s="9"/>
    </row>
    <row r="28" spans="1:18" x14ac:dyDescent="0.35">
      <c r="A28" s="50"/>
      <c r="B28" s="6"/>
      <c r="C28" s="35"/>
      <c r="D28" s="48"/>
      <c r="E28" s="22"/>
      <c r="F28" s="49"/>
      <c r="G28" s="49"/>
      <c r="H28" s="47"/>
      <c r="I28" s="47"/>
      <c r="Q28" s="9"/>
      <c r="R28" s="9"/>
    </row>
    <row r="29" spans="1:18" x14ac:dyDescent="0.35">
      <c r="A29" s="50"/>
      <c r="B29" s="6"/>
      <c r="C29" s="35"/>
      <c r="D29" s="48"/>
      <c r="E29" s="22"/>
      <c r="F29" s="49"/>
      <c r="G29" s="49"/>
      <c r="H29" s="47"/>
      <c r="I29" s="47"/>
      <c r="Q29" s="9"/>
      <c r="R29" s="9"/>
    </row>
    <row r="30" spans="1:18" ht="15" x14ac:dyDescent="0.4">
      <c r="A30" s="13" t="s">
        <v>4</v>
      </c>
      <c r="B30" s="13"/>
      <c r="C30" s="23"/>
      <c r="D30" s="14"/>
      <c r="F30" s="34" t="s">
        <v>14</v>
      </c>
    </row>
    <row r="31" spans="1:18" x14ac:dyDescent="0.35">
      <c r="A31" s="3" t="s">
        <v>26</v>
      </c>
      <c r="B31" s="27">
        <f>STDEV(D14:D21)/STDEV(A14:A21)</f>
        <v>1.6206973114160288E-2</v>
      </c>
      <c r="C31" s="5" t="s">
        <v>24</v>
      </c>
      <c r="D31" s="28">
        <f>COUNT(D14:D21)</f>
        <v>8</v>
      </c>
      <c r="F31" s="35" t="s">
        <v>26</v>
      </c>
      <c r="G31" s="30">
        <f>-STDEV(B21:B27)/STDEV(G21:G27)</f>
        <v>-4.6357766009501884E-3</v>
      </c>
      <c r="H31" s="5" t="s">
        <v>24</v>
      </c>
      <c r="I31" s="28">
        <f>COUNT(B21:B27)</f>
        <v>7</v>
      </c>
    </row>
    <row r="32" spans="1:18" ht="15.5" x14ac:dyDescent="0.35">
      <c r="A32" s="3" t="s">
        <v>3</v>
      </c>
      <c r="B32" s="24">
        <f>AVERAGE(D14:D21)-B31*AVERAGE(A14:A21)</f>
        <v>0.41685563288893912</v>
      </c>
      <c r="C32" s="26" t="s">
        <v>7</v>
      </c>
      <c r="F32" s="35" t="s">
        <v>3</v>
      </c>
      <c r="G32" s="31">
        <f>AVERAGE(B21:B27)-G31*AVERAGE(G21:G27)</f>
        <v>0.36316958120049025</v>
      </c>
      <c r="H32" s="25"/>
    </row>
    <row r="34" spans="17:18" x14ac:dyDescent="0.35">
      <c r="Q34" s="15"/>
      <c r="R34" s="15"/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4"/>
  <sheetViews>
    <sheetView zoomScale="60" zoomScaleNormal="60" workbookViewId="0">
      <selection activeCell="S24" sqref="S24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2.08984375" customWidth="1"/>
    <col min="11" max="11" width="8.90625" customWidth="1"/>
    <col min="12" max="12" width="7.36328125" customWidth="1"/>
    <col min="13" max="13" width="19.1796875" customWidth="1"/>
    <col min="14" max="14" width="9.4531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44805</v>
      </c>
      <c r="M1" s="17"/>
    </row>
    <row r="2" spans="1:20" x14ac:dyDescent="0.35">
      <c r="A2" s="1" t="s">
        <v>21</v>
      </c>
      <c r="B2" s="2"/>
      <c r="C2" s="4"/>
      <c r="K2" s="108"/>
      <c r="M2" s="17"/>
    </row>
    <row r="3" spans="1:20" x14ac:dyDescent="0.35">
      <c r="A3" s="3" t="s">
        <v>25</v>
      </c>
      <c r="B3" s="29"/>
      <c r="C3" s="3"/>
      <c r="D3" t="s">
        <v>15</v>
      </c>
      <c r="E3">
        <v>14.669</v>
      </c>
      <c r="J3" s="116"/>
    </row>
    <row r="4" spans="1:20" x14ac:dyDescent="0.35">
      <c r="A4" s="3" t="s">
        <v>22</v>
      </c>
      <c r="B4" s="102">
        <v>0.29199999999999998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B33/B4</f>
        <v>1.0101381030955128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-1/G33</f>
        <v>-2.782278105803131</v>
      </c>
      <c r="O8" t="s">
        <v>12</v>
      </c>
    </row>
    <row r="9" spans="1:20" ht="15" x14ac:dyDescent="0.4">
      <c r="A9" s="94">
        <v>-4.4999999999999998E-2</v>
      </c>
      <c r="B9" s="95">
        <f t="shared" ref="B9:B28" si="0">-1/A9</f>
        <v>22.222222222222221</v>
      </c>
      <c r="C9" s="91">
        <v>0.59099999999999997</v>
      </c>
      <c r="D9" s="96">
        <f t="shared" ref="D9:D28" si="1">C9-$B$3-$B$4</f>
        <v>0.29899999999999999</v>
      </c>
      <c r="E9" s="95">
        <f t="shared" ref="E9:E28" si="2">(D9/$B$33)</f>
        <v>1.0136956517151647</v>
      </c>
      <c r="F9" s="97">
        <f t="shared" ref="F9:F28" si="3">100*E9</f>
        <v>101.36956517151647</v>
      </c>
      <c r="G9" s="97">
        <f t="shared" ref="G9:G28" si="4">100-F9</f>
        <v>-1.3695651715164701</v>
      </c>
      <c r="H9" s="94">
        <f t="shared" ref="H9:H28" si="5">-1/($G$33+$G$32*G9)</f>
        <v>-2.7329243185369352</v>
      </c>
      <c r="I9" s="94">
        <f>A9-H9</f>
        <v>2.6879243185369353</v>
      </c>
      <c r="J9" s="106">
        <f>D9/$B$4*100</f>
        <v>102.39726027397261</v>
      </c>
      <c r="M9" s="53" t="s">
        <v>23</v>
      </c>
      <c r="N9" s="40">
        <f>H23</f>
        <v>-3.2802777624798698</v>
      </c>
      <c r="O9" t="s">
        <v>5</v>
      </c>
    </row>
    <row r="10" spans="1:20" ht="15.5" thickBot="1" x14ac:dyDescent="0.45">
      <c r="A10" s="94">
        <v>-0.105</v>
      </c>
      <c r="B10" s="95">
        <f t="shared" si="0"/>
        <v>9.5238095238095237</v>
      </c>
      <c r="C10" s="91">
        <v>0.59</v>
      </c>
      <c r="D10" s="96">
        <f t="shared" si="1"/>
        <v>0.29799999999999999</v>
      </c>
      <c r="E10" s="95">
        <f t="shared" si="2"/>
        <v>1.0103053652545788</v>
      </c>
      <c r="F10" s="97">
        <f t="shared" si="3"/>
        <v>101.03053652545788</v>
      </c>
      <c r="G10" s="97">
        <f t="shared" si="4"/>
        <v>-1.030536525457876</v>
      </c>
      <c r="H10" s="94">
        <f t="shared" si="5"/>
        <v>-2.7449777991832143</v>
      </c>
      <c r="I10" s="94">
        <f t="shared" ref="I10:I28" si="6">A10-H10</f>
        <v>2.6399777991832143</v>
      </c>
      <c r="J10" s="106">
        <f t="shared" ref="J10:J28" si="7">D10/$B$4*100</f>
        <v>102.05479452054796</v>
      </c>
      <c r="M10" s="54" t="s">
        <v>31</v>
      </c>
      <c r="N10" s="41">
        <f>F23</f>
        <v>88.486476621290322</v>
      </c>
      <c r="O10" t="s">
        <v>6</v>
      </c>
    </row>
    <row r="11" spans="1:20" ht="16.5" customHeight="1" thickBot="1" x14ac:dyDescent="0.45">
      <c r="A11" s="94">
        <v>-0.14499999999999999</v>
      </c>
      <c r="B11" s="95">
        <f t="shared" si="0"/>
        <v>6.8965517241379315</v>
      </c>
      <c r="C11" s="91">
        <v>0.58799999999999997</v>
      </c>
      <c r="D11" s="96">
        <f t="shared" si="1"/>
        <v>0.29599999999999999</v>
      </c>
      <c r="E11" s="95">
        <f t="shared" si="2"/>
        <v>1.0035247923334072</v>
      </c>
      <c r="F11" s="97">
        <f t="shared" si="3"/>
        <v>100.35247923334072</v>
      </c>
      <c r="G11" s="97">
        <f t="shared" si="4"/>
        <v>-0.35247923334071629</v>
      </c>
      <c r="H11" s="94">
        <f t="shared" si="5"/>
        <v>-2.7694065682092499</v>
      </c>
      <c r="I11" s="94">
        <f t="shared" si="6"/>
        <v>2.6244065682092499</v>
      </c>
      <c r="J11" s="106">
        <f t="shared" si="7"/>
        <v>101.36986301369863</v>
      </c>
      <c r="M11" s="55" t="s">
        <v>1</v>
      </c>
      <c r="N11" s="42">
        <f>STDEV(I14:I23)/STDEV(E14:E23)</f>
        <v>25.655879163916254</v>
      </c>
      <c r="O11" t="s">
        <v>8</v>
      </c>
    </row>
    <row r="12" spans="1:20" ht="16" x14ac:dyDescent="0.4">
      <c r="A12" s="94">
        <v>-0.124</v>
      </c>
      <c r="B12" s="95">
        <f t="shared" si="0"/>
        <v>8.064516129032258</v>
      </c>
      <c r="C12" s="91">
        <v>0.58699999999999997</v>
      </c>
      <c r="D12" s="96">
        <f t="shared" si="1"/>
        <v>0.29499999999999998</v>
      </c>
      <c r="E12" s="95">
        <f t="shared" si="2"/>
        <v>1.0001345058728213</v>
      </c>
      <c r="F12" s="97">
        <f t="shared" si="3"/>
        <v>100.01345058728212</v>
      </c>
      <c r="G12" s="97">
        <f t="shared" si="4"/>
        <v>-1.3450587282122228E-2</v>
      </c>
      <c r="H12" s="94">
        <f t="shared" si="5"/>
        <v>-2.7817847332986223</v>
      </c>
      <c r="I12" s="94">
        <f t="shared" si="6"/>
        <v>2.6577847332986222</v>
      </c>
      <c r="J12" s="106">
        <f>D12/$B$4*100</f>
        <v>101.02739726027397</v>
      </c>
      <c r="M12" s="53" t="s">
        <v>33</v>
      </c>
      <c r="N12" s="43">
        <f>STDEV(E14:E23)/STDEV(A14:A23)</f>
        <v>3.3414448274567632E-2</v>
      </c>
      <c r="O12" t="s">
        <v>9</v>
      </c>
    </row>
    <row r="13" spans="1:20" ht="16.5" thickBot="1" x14ac:dyDescent="0.45">
      <c r="A13" s="94">
        <v>-0.19600000000000001</v>
      </c>
      <c r="B13" s="95">
        <f t="shared" si="0"/>
        <v>5.1020408163265305</v>
      </c>
      <c r="C13" s="91">
        <v>0.58599999999999997</v>
      </c>
      <c r="D13" s="96">
        <f t="shared" si="1"/>
        <v>0.29399999999999998</v>
      </c>
      <c r="E13" s="95">
        <f t="shared" si="2"/>
        <v>0.99674421941223545</v>
      </c>
      <c r="F13" s="97">
        <f t="shared" si="3"/>
        <v>99.674421941223542</v>
      </c>
      <c r="G13" s="97">
        <f t="shared" si="4"/>
        <v>0.32557805877645762</v>
      </c>
      <c r="H13" s="94">
        <f t="shared" si="5"/>
        <v>-2.794274046296958</v>
      </c>
      <c r="I13" s="94">
        <f t="shared" si="6"/>
        <v>2.5982740462969578</v>
      </c>
      <c r="J13" s="106">
        <f t="shared" si="7"/>
        <v>100.68493150684932</v>
      </c>
      <c r="M13" s="54" t="s">
        <v>0</v>
      </c>
      <c r="N13" s="41">
        <f>STDEV(E23:E28)/STDEV(A23:A28)</f>
        <v>0.13552683210847874</v>
      </c>
      <c r="O13" t="s">
        <v>10</v>
      </c>
    </row>
    <row r="14" spans="1:20" ht="16" x14ac:dyDescent="0.4">
      <c r="A14" s="50">
        <v>-0.247</v>
      </c>
      <c r="B14" s="22">
        <f t="shared" si="0"/>
        <v>4.048582995951417</v>
      </c>
      <c r="C14">
        <v>0.58399999999999996</v>
      </c>
      <c r="D14" s="48">
        <f t="shared" si="1"/>
        <v>0.29199999999999998</v>
      </c>
      <c r="E14" s="22">
        <f t="shared" si="2"/>
        <v>0.98996364649106383</v>
      </c>
      <c r="F14" s="49">
        <f t="shared" si="3"/>
        <v>98.996364649106383</v>
      </c>
      <c r="G14" s="49">
        <f t="shared" si="4"/>
        <v>1.0036353508936173</v>
      </c>
      <c r="H14" s="47">
        <f t="shared" si="5"/>
        <v>-2.8195921584956305</v>
      </c>
      <c r="I14" s="47">
        <f t="shared" si="6"/>
        <v>2.5725921584956306</v>
      </c>
      <c r="J14" s="108">
        <f t="shared" si="7"/>
        <v>100</v>
      </c>
      <c r="M14" s="56" t="s">
        <v>16</v>
      </c>
      <c r="N14" s="44">
        <f>N12*B33/18/(E3/10000)</f>
        <v>0.37327154618007824</v>
      </c>
    </row>
    <row r="15" spans="1:20" x14ac:dyDescent="0.35">
      <c r="A15" s="50">
        <v>-0.33400000000000002</v>
      </c>
      <c r="B15" s="22">
        <f t="shared" si="0"/>
        <v>2.9940119760479038</v>
      </c>
      <c r="C15">
        <v>0.58299999999999996</v>
      </c>
      <c r="D15" s="48">
        <f t="shared" si="1"/>
        <v>0.29099999999999998</v>
      </c>
      <c r="E15" s="22">
        <f t="shared" si="2"/>
        <v>0.98657336003047791</v>
      </c>
      <c r="F15" s="49">
        <f t="shared" si="3"/>
        <v>98.657336003047789</v>
      </c>
      <c r="G15" s="49">
        <f t="shared" si="4"/>
        <v>1.3426639969522114</v>
      </c>
      <c r="H15" s="47">
        <f t="shared" si="5"/>
        <v>-2.8324240476813847</v>
      </c>
      <c r="I15" s="47">
        <f t="shared" si="6"/>
        <v>2.4984240476813846</v>
      </c>
      <c r="J15" s="108">
        <f t="shared" si="7"/>
        <v>99.657534246575338</v>
      </c>
      <c r="K15" s="18"/>
      <c r="L15" s="19"/>
      <c r="O15" s="3"/>
    </row>
    <row r="16" spans="1:20" x14ac:dyDescent="0.35">
      <c r="A16" s="50">
        <v>-0.50900000000000001</v>
      </c>
      <c r="B16" s="22">
        <f t="shared" si="0"/>
        <v>1.9646365422396856</v>
      </c>
      <c r="C16">
        <v>0.58099999999999996</v>
      </c>
      <c r="D16" s="48">
        <f t="shared" si="1"/>
        <v>0.28899999999999998</v>
      </c>
      <c r="E16" s="22">
        <f t="shared" si="2"/>
        <v>0.97979278710930628</v>
      </c>
      <c r="F16" s="49">
        <f t="shared" si="3"/>
        <v>97.979278710930629</v>
      </c>
      <c r="G16" s="49">
        <f t="shared" si="4"/>
        <v>2.0207212890693711</v>
      </c>
      <c r="H16" s="47">
        <f t="shared" si="5"/>
        <v>-2.8584414300634586</v>
      </c>
      <c r="I16" s="47">
        <f t="shared" si="6"/>
        <v>2.3494414300634587</v>
      </c>
      <c r="J16" s="108">
        <f t="shared" si="7"/>
        <v>98.972602739726028</v>
      </c>
      <c r="K16" s="18"/>
      <c r="L16" s="19"/>
      <c r="O16" s="3"/>
      <c r="P16" s="3"/>
      <c r="Q16" s="3"/>
      <c r="R16" s="3"/>
      <c r="S16" s="3"/>
      <c r="T16" s="3"/>
    </row>
    <row r="17" spans="1:18" x14ac:dyDescent="0.35">
      <c r="A17" s="50">
        <v>-0.749</v>
      </c>
      <c r="B17" s="22">
        <f t="shared" si="0"/>
        <v>1.3351134846461949</v>
      </c>
      <c r="C17" s="3">
        <v>0.57899999999999996</v>
      </c>
      <c r="D17" s="48">
        <f t="shared" si="1"/>
        <v>0.28699999999999998</v>
      </c>
      <c r="E17" s="22">
        <f t="shared" si="2"/>
        <v>0.97301221418813455</v>
      </c>
      <c r="F17" s="49">
        <f t="shared" si="3"/>
        <v>97.301221418813455</v>
      </c>
      <c r="G17" s="49">
        <f t="shared" si="4"/>
        <v>2.698778581186545</v>
      </c>
      <c r="H17" s="47">
        <f t="shared" si="5"/>
        <v>-2.8849412116604332</v>
      </c>
      <c r="I17" s="47">
        <f t="shared" si="6"/>
        <v>2.135941211660433</v>
      </c>
      <c r="J17" s="108">
        <f t="shared" si="7"/>
        <v>98.287671232876704</v>
      </c>
      <c r="K17" s="18"/>
      <c r="L17" s="19"/>
    </row>
    <row r="18" spans="1:18" x14ac:dyDescent="0.35">
      <c r="A18" s="50">
        <v>-1.1100000000000001</v>
      </c>
      <c r="B18" s="22">
        <f t="shared" si="0"/>
        <v>0.9009009009009008</v>
      </c>
      <c r="C18" s="35">
        <v>0.57599999999999996</v>
      </c>
      <c r="D18" s="48">
        <f t="shared" si="1"/>
        <v>0.28399999999999997</v>
      </c>
      <c r="E18" s="22">
        <f t="shared" si="2"/>
        <v>0.96284135480637711</v>
      </c>
      <c r="F18" s="49">
        <f t="shared" si="3"/>
        <v>96.284135480637715</v>
      </c>
      <c r="G18" s="49">
        <f t="shared" si="4"/>
        <v>3.7158645193622846</v>
      </c>
      <c r="H18" s="47">
        <f t="shared" si="5"/>
        <v>-2.9256251451667143</v>
      </c>
      <c r="I18" s="47">
        <f t="shared" si="6"/>
        <v>1.8156251451667142</v>
      </c>
      <c r="J18" s="108">
        <f t="shared" si="7"/>
        <v>97.260273972602747</v>
      </c>
    </row>
    <row r="19" spans="1:18" x14ac:dyDescent="0.35">
      <c r="A19" s="50">
        <v>-1.57</v>
      </c>
      <c r="B19" s="22">
        <f t="shared" si="0"/>
        <v>0.63694267515923564</v>
      </c>
      <c r="C19" s="35">
        <v>0.57299999999999995</v>
      </c>
      <c r="D19" s="48">
        <f t="shared" si="1"/>
        <v>0.28099999999999997</v>
      </c>
      <c r="E19" s="22">
        <f t="shared" si="2"/>
        <v>0.95267049542461957</v>
      </c>
      <c r="F19" s="49">
        <f t="shared" si="3"/>
        <v>95.267049542461962</v>
      </c>
      <c r="G19" s="49">
        <f t="shared" si="4"/>
        <v>4.7329504575380383</v>
      </c>
      <c r="H19" s="47">
        <f t="shared" si="5"/>
        <v>-2.9674729554138635</v>
      </c>
      <c r="I19" s="47">
        <f t="shared" si="6"/>
        <v>1.3974729554138634</v>
      </c>
      <c r="J19" s="108">
        <f t="shared" si="7"/>
        <v>96.232876712328761</v>
      </c>
    </row>
    <row r="20" spans="1:18" x14ac:dyDescent="0.35">
      <c r="A20" s="50">
        <v>-2.12</v>
      </c>
      <c r="B20" s="22">
        <f t="shared" si="0"/>
        <v>0.47169811320754712</v>
      </c>
      <c r="C20" s="35">
        <v>0.56899999999999995</v>
      </c>
      <c r="D20" s="48">
        <f t="shared" si="1"/>
        <v>0.27699999999999997</v>
      </c>
      <c r="E20" s="22">
        <f t="shared" si="2"/>
        <v>0.93910934958227621</v>
      </c>
      <c r="F20" s="49">
        <f t="shared" si="3"/>
        <v>93.910934958227614</v>
      </c>
      <c r="G20" s="49">
        <f t="shared" si="4"/>
        <v>6.0890650417723862</v>
      </c>
      <c r="H20" s="47">
        <f t="shared" si="5"/>
        <v>-3.0251685117775637</v>
      </c>
      <c r="I20" s="47">
        <f t="shared" si="6"/>
        <v>0.90516851177756363</v>
      </c>
      <c r="J20" s="108">
        <f t="shared" si="7"/>
        <v>94.863013698630127</v>
      </c>
      <c r="P20" s="10"/>
      <c r="Q20" s="9"/>
      <c r="R20" s="9"/>
    </row>
    <row r="21" spans="1:18" x14ac:dyDescent="0.35">
      <c r="A21" s="50">
        <v>-2.4500000000000002</v>
      </c>
      <c r="B21" s="22">
        <f t="shared" si="0"/>
        <v>0.4081632653061224</v>
      </c>
      <c r="C21" s="35">
        <v>0.56399999999999995</v>
      </c>
      <c r="D21" s="48">
        <f t="shared" si="1"/>
        <v>0.27199999999999996</v>
      </c>
      <c r="E21" s="22">
        <f t="shared" si="2"/>
        <v>0.92215791727934704</v>
      </c>
      <c r="F21" s="49">
        <f t="shared" si="3"/>
        <v>92.2157917279347</v>
      </c>
      <c r="G21" s="49">
        <f t="shared" si="4"/>
        <v>7.7842082720652996</v>
      </c>
      <c r="H21" s="47">
        <f t="shared" si="5"/>
        <v>-3.1005214780822761</v>
      </c>
      <c r="I21" s="47">
        <f t="shared" si="6"/>
        <v>0.65052147808227589</v>
      </c>
      <c r="J21" s="108">
        <f t="shared" si="7"/>
        <v>93.150684931506845</v>
      </c>
      <c r="P21" s="10"/>
      <c r="Q21" s="9"/>
      <c r="R21" s="9"/>
    </row>
    <row r="22" spans="1:18" ht="15" thickBot="1" x14ac:dyDescent="0.4">
      <c r="A22" s="50">
        <v>-2.91</v>
      </c>
      <c r="B22" s="6">
        <f t="shared" si="0"/>
        <v>0.3436426116838488</v>
      </c>
      <c r="C22" s="35">
        <v>0.55800000000000005</v>
      </c>
      <c r="D22" s="48">
        <f t="shared" si="1"/>
        <v>0.26600000000000007</v>
      </c>
      <c r="E22" s="22">
        <f t="shared" si="2"/>
        <v>0.90181619851583239</v>
      </c>
      <c r="F22" s="49">
        <f t="shared" si="3"/>
        <v>90.181619851583235</v>
      </c>
      <c r="G22" s="49">
        <f t="shared" si="4"/>
        <v>9.8183801484167645</v>
      </c>
      <c r="H22" s="47">
        <f t="shared" si="5"/>
        <v>-3.1960528421780405</v>
      </c>
      <c r="I22" s="47">
        <f t="shared" si="6"/>
        <v>0.28605284217804039</v>
      </c>
      <c r="J22" s="108">
        <f t="shared" si="7"/>
        <v>91.09589041095893</v>
      </c>
      <c r="P22" s="10"/>
      <c r="Q22" s="9"/>
      <c r="R22" s="9"/>
    </row>
    <row r="23" spans="1:18" ht="15" thickBot="1" x14ac:dyDescent="0.4">
      <c r="A23" s="64">
        <v>-3.18</v>
      </c>
      <c r="B23" s="67">
        <f t="shared" si="0"/>
        <v>0.31446540880503143</v>
      </c>
      <c r="C23" s="66">
        <v>0.55300000000000005</v>
      </c>
      <c r="D23" s="60">
        <f t="shared" si="1"/>
        <v>0.26100000000000007</v>
      </c>
      <c r="E23" s="61">
        <f t="shared" si="2"/>
        <v>0.88486476621290322</v>
      </c>
      <c r="F23" s="58">
        <f t="shared" si="3"/>
        <v>88.486476621290322</v>
      </c>
      <c r="G23" s="58">
        <f t="shared" si="4"/>
        <v>11.513523378709678</v>
      </c>
      <c r="H23" s="59">
        <f t="shared" si="5"/>
        <v>-3.2802777624798698</v>
      </c>
      <c r="I23" s="59">
        <f t="shared" si="6"/>
        <v>0.10027776247986964</v>
      </c>
      <c r="J23" s="115">
        <f t="shared" si="7"/>
        <v>89.383561643835634</v>
      </c>
      <c r="P23" s="10"/>
      <c r="Q23" s="9"/>
      <c r="R23" s="9"/>
    </row>
    <row r="24" spans="1:18" x14ac:dyDescent="0.35">
      <c r="A24" s="50">
        <v>-3.5</v>
      </c>
      <c r="B24" s="6">
        <f t="shared" si="0"/>
        <v>0.2857142857142857</v>
      </c>
      <c r="C24" s="35">
        <v>0.54300000000000004</v>
      </c>
      <c r="D24" s="48">
        <f t="shared" si="1"/>
        <v>0.25100000000000006</v>
      </c>
      <c r="E24" s="22">
        <f t="shared" si="2"/>
        <v>0.85096190160704477</v>
      </c>
      <c r="F24" s="49">
        <f t="shared" si="3"/>
        <v>85.096190160704481</v>
      </c>
      <c r="G24" s="49">
        <f t="shared" si="4"/>
        <v>14.903809839295519</v>
      </c>
      <c r="H24" s="47">
        <f t="shared" si="5"/>
        <v>-3.4627859268389765</v>
      </c>
      <c r="I24" s="47">
        <f t="shared" si="6"/>
        <v>-3.7214073161023542E-2</v>
      </c>
      <c r="J24" s="108">
        <f t="shared" si="7"/>
        <v>85.958904109589056</v>
      </c>
      <c r="Q24" s="9"/>
      <c r="R24" s="9"/>
    </row>
    <row r="25" spans="1:18" x14ac:dyDescent="0.35">
      <c r="A25" s="50">
        <v>-3.81</v>
      </c>
      <c r="B25" s="6">
        <f t="shared" si="0"/>
        <v>0.26246719160104987</v>
      </c>
      <c r="C25" s="35">
        <v>0.53100000000000003</v>
      </c>
      <c r="D25" s="48">
        <f t="shared" si="1"/>
        <v>0.23900000000000005</v>
      </c>
      <c r="E25" s="22">
        <f t="shared" si="2"/>
        <v>0.81027846408001469</v>
      </c>
      <c r="F25" s="49">
        <f t="shared" si="3"/>
        <v>81.027846408001466</v>
      </c>
      <c r="G25" s="49">
        <f t="shared" si="4"/>
        <v>18.972153591998534</v>
      </c>
      <c r="H25" s="47">
        <f t="shared" si="5"/>
        <v>-3.7105211961130737</v>
      </c>
      <c r="I25" s="47">
        <f t="shared" si="6"/>
        <v>-9.9478803886926315E-2</v>
      </c>
      <c r="J25" s="108">
        <f t="shared" si="7"/>
        <v>81.849315068493169</v>
      </c>
      <c r="Q25" s="9"/>
      <c r="R25" s="9"/>
    </row>
    <row r="26" spans="1:18" x14ac:dyDescent="0.35">
      <c r="A26" s="50">
        <v>-4.2</v>
      </c>
      <c r="B26" s="6">
        <f t="shared" si="0"/>
        <v>0.23809523809523808</v>
      </c>
      <c r="C26" s="35">
        <v>0.51600000000000001</v>
      </c>
      <c r="D26" s="48">
        <f t="shared" si="1"/>
        <v>0.22400000000000003</v>
      </c>
      <c r="E26" s="22">
        <f t="shared" si="2"/>
        <v>0.75942416717122718</v>
      </c>
      <c r="F26" s="49">
        <f t="shared" si="3"/>
        <v>75.942416717122711</v>
      </c>
      <c r="G26" s="49">
        <f t="shared" si="4"/>
        <v>24.057583282877289</v>
      </c>
      <c r="H26" s="47">
        <f t="shared" si="5"/>
        <v>-4.0749332264307077</v>
      </c>
      <c r="I26" s="47">
        <f t="shared" si="6"/>
        <v>-0.12506677356929252</v>
      </c>
      <c r="J26" s="108">
        <f t="shared" si="7"/>
        <v>76.71232876712331</v>
      </c>
      <c r="Q26" s="9"/>
      <c r="R26" s="9"/>
    </row>
    <row r="27" spans="1:18" x14ac:dyDescent="0.35">
      <c r="A27" s="50">
        <v>-4.5</v>
      </c>
      <c r="B27" s="6">
        <f t="shared" si="0"/>
        <v>0.22222222222222221</v>
      </c>
      <c r="C27" s="35">
        <v>0.502</v>
      </c>
      <c r="D27" s="48">
        <f t="shared" si="1"/>
        <v>0.21000000000000002</v>
      </c>
      <c r="E27" s="22">
        <f t="shared" si="2"/>
        <v>0.71196015672302548</v>
      </c>
      <c r="F27" s="49">
        <f t="shared" si="3"/>
        <v>71.196015672302551</v>
      </c>
      <c r="G27" s="49">
        <f t="shared" si="4"/>
        <v>28.803984327697449</v>
      </c>
      <c r="H27" s="47">
        <f t="shared" si="5"/>
        <v>-4.4861474305634976</v>
      </c>
      <c r="I27" s="47">
        <f t="shared" si="6"/>
        <v>-1.3852569436502371E-2</v>
      </c>
      <c r="J27" s="108">
        <f t="shared" si="7"/>
        <v>71.917808219178099</v>
      </c>
      <c r="Q27" s="9"/>
      <c r="R27" s="9"/>
    </row>
    <row r="28" spans="1:18" x14ac:dyDescent="0.35">
      <c r="A28" s="50">
        <v>-4.9000000000000004</v>
      </c>
      <c r="B28" s="6">
        <f t="shared" si="0"/>
        <v>0.2040816326530612</v>
      </c>
      <c r="C28" s="35">
        <v>0.48499999999999999</v>
      </c>
      <c r="D28" s="48">
        <f t="shared" si="1"/>
        <v>0.193</v>
      </c>
      <c r="E28" s="22">
        <f t="shared" si="2"/>
        <v>0.65432528689306624</v>
      </c>
      <c r="F28" s="49">
        <f t="shared" si="3"/>
        <v>65.432528689306622</v>
      </c>
      <c r="G28" s="49">
        <f t="shared" si="4"/>
        <v>34.567471310693378</v>
      </c>
      <c r="H28" s="47">
        <f t="shared" si="5"/>
        <v>-5.1126363599368103</v>
      </c>
      <c r="I28" s="47">
        <f t="shared" si="6"/>
        <v>0.21263635993680996</v>
      </c>
      <c r="J28" s="108">
        <f t="shared" si="7"/>
        <v>66.095890410958916</v>
      </c>
      <c r="Q28" s="9"/>
      <c r="R28" s="9"/>
    </row>
    <row r="29" spans="1:18" x14ac:dyDescent="0.35">
      <c r="A29" s="50"/>
      <c r="B29" s="6"/>
      <c r="C29" s="35"/>
      <c r="D29" s="48"/>
      <c r="E29" s="22"/>
      <c r="F29" s="49"/>
      <c r="G29" s="49"/>
      <c r="H29" s="47"/>
      <c r="I29" s="47"/>
      <c r="Q29" s="9"/>
      <c r="R29" s="9"/>
    </row>
    <row r="30" spans="1:18" x14ac:dyDescent="0.35">
      <c r="A30" s="50"/>
      <c r="B30" s="22"/>
      <c r="C30" s="35"/>
      <c r="D30" s="48"/>
      <c r="E30" s="22"/>
      <c r="F30" s="49"/>
      <c r="G30" s="49"/>
      <c r="H30" s="47"/>
      <c r="I30" s="47"/>
    </row>
    <row r="31" spans="1:18" ht="15" x14ac:dyDescent="0.4">
      <c r="A31" s="13" t="s">
        <v>4</v>
      </c>
      <c r="B31" s="13"/>
      <c r="C31" s="23"/>
      <c r="D31" s="14"/>
      <c r="F31" s="34" t="s">
        <v>14</v>
      </c>
    </row>
    <row r="32" spans="1:18" x14ac:dyDescent="0.35">
      <c r="A32" s="3" t="s">
        <v>26</v>
      </c>
      <c r="B32" s="27">
        <f>STDEV(D14:D23)/STDEV(A14:A23)</f>
        <v>9.855936559648025E-3</v>
      </c>
      <c r="C32" s="5" t="s">
        <v>24</v>
      </c>
      <c r="D32" s="28">
        <f>COUNT(D14:D23)</f>
        <v>10</v>
      </c>
      <c r="F32" s="35" t="s">
        <v>26</v>
      </c>
      <c r="G32" s="30">
        <f>-STDEV(B23:B28)/STDEV(G23:G28)</f>
        <v>-4.7392502117526878E-3</v>
      </c>
      <c r="H32" s="5" t="s">
        <v>24</v>
      </c>
      <c r="I32" s="28">
        <f>COUNT(B23:B28)</f>
        <v>6</v>
      </c>
    </row>
    <row r="33" spans="1:18" ht="15.5" x14ac:dyDescent="0.35">
      <c r="A33" s="3" t="s">
        <v>3</v>
      </c>
      <c r="B33" s="24">
        <f>AVERAGE(D14:D23)-B32*AVERAGE(A14:A23)</f>
        <v>0.29496032610388973</v>
      </c>
      <c r="C33" s="26" t="s">
        <v>7</v>
      </c>
      <c r="F33" s="35" t="s">
        <v>3</v>
      </c>
      <c r="G33" s="31">
        <f>AVERAGE(B23:B28)-G32*AVERAGE(G23:G28)</f>
        <v>0.3594177008812498</v>
      </c>
      <c r="H33" s="25"/>
    </row>
    <row r="34" spans="1:18" x14ac:dyDescent="0.35">
      <c r="Q34" s="15"/>
      <c r="R34" s="15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34"/>
  <sheetViews>
    <sheetView zoomScale="60" zoomScaleNormal="60" workbookViewId="0">
      <selection activeCell="M15" sqref="M15:N31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2.26953125" customWidth="1"/>
    <col min="11" max="11" width="10.7265625" customWidth="1"/>
    <col min="12" max="12" width="9.7265625" customWidth="1"/>
    <col min="13" max="13" width="19.1796875" customWidth="1"/>
    <col min="14" max="14" width="9.72656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44805</v>
      </c>
      <c r="M1" s="17"/>
    </row>
    <row r="2" spans="1:20" x14ac:dyDescent="0.35">
      <c r="A2" s="1" t="s">
        <v>21</v>
      </c>
      <c r="B2" s="2"/>
      <c r="C2" s="4"/>
      <c r="K2" s="108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27.251999999999999</v>
      </c>
      <c r="J3" s="116"/>
    </row>
    <row r="4" spans="1:20" x14ac:dyDescent="0.35">
      <c r="A4" s="3" t="s">
        <v>22</v>
      </c>
      <c r="B4" s="102">
        <v>0.64800000000000002</v>
      </c>
      <c r="C4" s="3"/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B26/B4</f>
        <v>1.0560966122344484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-1/G26</f>
        <v>-2.5810663242556422</v>
      </c>
      <c r="O8" t="s">
        <v>12</v>
      </c>
    </row>
    <row r="9" spans="1:20" ht="15" x14ac:dyDescent="0.4">
      <c r="A9" s="47">
        <v>-7.3999999999999996E-2</v>
      </c>
      <c r="B9" s="22">
        <f t="shared" ref="B9:B21" si="0">-1/A9</f>
        <v>13.513513513513514</v>
      </c>
      <c r="C9">
        <v>1.3320000000000001</v>
      </c>
      <c r="D9" s="48">
        <f t="shared" ref="D9:D21" si="1">C9-$B$3-$B$4</f>
        <v>0.68400000000000005</v>
      </c>
      <c r="E9" s="22">
        <f t="shared" ref="E9:E21" si="2">(D9/$B$26)</f>
        <v>0.99948768259208032</v>
      </c>
      <c r="F9" s="49">
        <f t="shared" ref="F9:F21" si="3">100*E9</f>
        <v>99.948768259208038</v>
      </c>
      <c r="G9" s="49">
        <f t="shared" ref="G9:G21" si="4">100-F9</f>
        <v>5.1231740791962466E-2</v>
      </c>
      <c r="H9" s="47">
        <f t="shared" ref="H9:H21" si="5">-1/($G$26+$G$25*G9)</f>
        <v>-2.5830628043442712</v>
      </c>
      <c r="I9" s="47">
        <f>A9-H9</f>
        <v>2.5090628043442713</v>
      </c>
      <c r="J9" s="108">
        <f>D9/$B$4*100</f>
        <v>105.55555555555556</v>
      </c>
      <c r="M9" s="53" t="s">
        <v>23</v>
      </c>
      <c r="N9" s="40">
        <f>H16</f>
        <v>-3.0708616893200791</v>
      </c>
      <c r="O9" t="s">
        <v>5</v>
      </c>
    </row>
    <row r="10" spans="1:20" ht="15.5" thickBot="1" x14ac:dyDescent="0.45">
      <c r="A10" s="50">
        <v>-0.14499999999999999</v>
      </c>
      <c r="B10" s="22">
        <f t="shared" si="0"/>
        <v>6.8965517241379315</v>
      </c>
      <c r="C10">
        <v>1.329</v>
      </c>
      <c r="D10" s="48">
        <f t="shared" si="1"/>
        <v>0.68099999999999994</v>
      </c>
      <c r="E10" s="22">
        <f t="shared" si="2"/>
        <v>0.99510396468597451</v>
      </c>
      <c r="F10" s="49">
        <f t="shared" si="3"/>
        <v>99.510396468597449</v>
      </c>
      <c r="G10" s="49">
        <f t="shared" si="4"/>
        <v>0.48960353140255108</v>
      </c>
      <c r="H10" s="47">
        <f t="shared" si="5"/>
        <v>-2.6002730974953518</v>
      </c>
      <c r="I10" s="47">
        <f t="shared" ref="I10:I21" si="6">A10-H10</f>
        <v>2.4552730974953518</v>
      </c>
      <c r="J10" s="108">
        <f>D10/$B$4*100</f>
        <v>105.09259259259258</v>
      </c>
      <c r="M10" s="54" t="s">
        <v>31</v>
      </c>
      <c r="N10" s="41">
        <f>F16</f>
        <v>89.427845284554536</v>
      </c>
      <c r="O10" t="s">
        <v>6</v>
      </c>
    </row>
    <row r="11" spans="1:20" ht="16.5" customHeight="1" thickBot="1" x14ac:dyDescent="0.45">
      <c r="A11" s="50">
        <v>-0.249</v>
      </c>
      <c r="B11" s="22">
        <f t="shared" si="0"/>
        <v>4.0160642570281126</v>
      </c>
      <c r="C11">
        <v>1.3260000000000001</v>
      </c>
      <c r="D11" s="48">
        <f t="shared" si="1"/>
        <v>0.67800000000000005</v>
      </c>
      <c r="E11" s="22">
        <f t="shared" si="2"/>
        <v>0.99072024677986903</v>
      </c>
      <c r="F11" s="49">
        <f t="shared" si="3"/>
        <v>99.072024677986903</v>
      </c>
      <c r="G11" s="49">
        <f t="shared" si="4"/>
        <v>0.92797532201309707</v>
      </c>
      <c r="H11" s="47">
        <f t="shared" si="5"/>
        <v>-2.6177142645482268</v>
      </c>
      <c r="I11" s="47">
        <f t="shared" si="6"/>
        <v>2.3687142645482266</v>
      </c>
      <c r="J11" s="108">
        <f>D11/$B$4*100</f>
        <v>104.62962962962963</v>
      </c>
      <c r="M11" s="55" t="s">
        <v>1</v>
      </c>
      <c r="N11" s="42">
        <f>STDEV(I9:I16)/STDEV(E9:E16)</f>
        <v>25.020397330513095</v>
      </c>
      <c r="O11" t="s">
        <v>8</v>
      </c>
    </row>
    <row r="12" spans="1:20" ht="16" x14ac:dyDescent="0.4">
      <c r="A12" s="47">
        <v>-0.36599999999999999</v>
      </c>
      <c r="B12" s="22">
        <f t="shared" si="0"/>
        <v>2.7322404371584699</v>
      </c>
      <c r="C12">
        <v>1.3220000000000001</v>
      </c>
      <c r="D12" s="48">
        <f t="shared" si="1"/>
        <v>0.67400000000000004</v>
      </c>
      <c r="E12" s="22">
        <f t="shared" si="2"/>
        <v>0.98487528957172821</v>
      </c>
      <c r="F12" s="49">
        <f t="shared" si="3"/>
        <v>98.487528957172827</v>
      </c>
      <c r="G12" s="49">
        <f t="shared" si="4"/>
        <v>1.5124710428271726</v>
      </c>
      <c r="H12" s="47">
        <f t="shared" si="5"/>
        <v>-2.6413363932246043</v>
      </c>
      <c r="I12" s="47">
        <f t="shared" si="6"/>
        <v>2.2753363932246042</v>
      </c>
      <c r="J12" s="108">
        <f>D12/$B$4*100</f>
        <v>104.01234567901234</v>
      </c>
      <c r="M12" s="53" t="s">
        <v>33</v>
      </c>
      <c r="N12" s="43">
        <f>STDEV(E9:E16)/STDEV(A9:A16)</f>
        <v>3.3809019359353119E-2</v>
      </c>
      <c r="O12" t="s">
        <v>9</v>
      </c>
    </row>
    <row r="13" spans="1:20" ht="16.5" thickBot="1" x14ac:dyDescent="0.45">
      <c r="A13" s="47">
        <v>-0.57299999999999995</v>
      </c>
      <c r="B13" s="22">
        <f t="shared" si="0"/>
        <v>1.7452006980802794</v>
      </c>
      <c r="C13">
        <v>1.3180000000000001</v>
      </c>
      <c r="D13" s="48">
        <f t="shared" si="1"/>
        <v>0.67</v>
      </c>
      <c r="E13" s="22">
        <f t="shared" si="2"/>
        <v>0.97903033236358739</v>
      </c>
      <c r="F13" s="49">
        <f t="shared" si="3"/>
        <v>97.903033236358738</v>
      </c>
      <c r="G13" s="49">
        <f t="shared" si="4"/>
        <v>2.0969667636412623</v>
      </c>
      <c r="H13" s="47">
        <f t="shared" si="5"/>
        <v>-2.6653887340399329</v>
      </c>
      <c r="I13" s="47">
        <f t="shared" si="6"/>
        <v>2.092388734039933</v>
      </c>
      <c r="J13" s="108">
        <f t="shared" ref="J13:J21" si="7">D13/$B$4*100</f>
        <v>103.39506172839505</v>
      </c>
      <c r="M13" s="54" t="s">
        <v>0</v>
      </c>
      <c r="N13" s="41">
        <f>STDEV(E16:E21)/STDEV(A16:A21)</f>
        <v>0.11289471836219148</v>
      </c>
      <c r="O13" t="s">
        <v>10</v>
      </c>
    </row>
    <row r="14" spans="1:20" ht="16" x14ac:dyDescent="0.4">
      <c r="A14" s="50">
        <v>-1.34</v>
      </c>
      <c r="B14" s="22">
        <f t="shared" si="0"/>
        <v>0.74626865671641784</v>
      </c>
      <c r="C14">
        <v>1.302</v>
      </c>
      <c r="D14" s="48">
        <f t="shared" si="1"/>
        <v>0.65400000000000003</v>
      </c>
      <c r="E14" s="22">
        <f t="shared" si="2"/>
        <v>0.9556505035310241</v>
      </c>
      <c r="F14" s="49">
        <f t="shared" si="3"/>
        <v>95.565050353102407</v>
      </c>
      <c r="G14" s="49">
        <f t="shared" si="4"/>
        <v>4.4349496468975929</v>
      </c>
      <c r="H14" s="47">
        <f t="shared" si="5"/>
        <v>-2.7661441580038035</v>
      </c>
      <c r="I14" s="47">
        <f t="shared" si="6"/>
        <v>1.4261441580038035</v>
      </c>
      <c r="J14" s="108">
        <f t="shared" si="7"/>
        <v>100.92592592592592</v>
      </c>
      <c r="M14" s="56" t="s">
        <v>16</v>
      </c>
      <c r="N14" s="44">
        <f>N12*B26/18/(E3/10000)</f>
        <v>0.47167226959553116</v>
      </c>
    </row>
    <row r="15" spans="1:20" ht="15" thickBot="1" x14ac:dyDescent="0.4">
      <c r="A15" s="50">
        <v>-2.41</v>
      </c>
      <c r="B15" s="22">
        <f t="shared" si="0"/>
        <v>0.41493775933609955</v>
      </c>
      <c r="C15">
        <v>1.282</v>
      </c>
      <c r="D15" s="48">
        <f t="shared" si="1"/>
        <v>0.63400000000000001</v>
      </c>
      <c r="E15" s="22">
        <f t="shared" si="2"/>
        <v>0.92642571749031999</v>
      </c>
      <c r="F15" s="49">
        <f t="shared" si="3"/>
        <v>92.642571749032001</v>
      </c>
      <c r="G15" s="49">
        <f t="shared" si="4"/>
        <v>7.3574282509679989</v>
      </c>
      <c r="H15" s="47">
        <f t="shared" si="5"/>
        <v>-2.9033316572895802</v>
      </c>
      <c r="I15" s="47">
        <f t="shared" si="6"/>
        <v>0.49333165728958006</v>
      </c>
      <c r="J15" s="108">
        <f t="shared" si="7"/>
        <v>97.839506172839506</v>
      </c>
      <c r="K15" s="18"/>
      <c r="L15" s="19"/>
      <c r="O15" s="3"/>
    </row>
    <row r="16" spans="1:20" ht="15" thickBot="1" x14ac:dyDescent="0.4">
      <c r="A16" s="64">
        <v>-2.96</v>
      </c>
      <c r="B16" s="61">
        <f t="shared" si="0"/>
        <v>0.33783783783783783</v>
      </c>
      <c r="C16" s="57">
        <v>1.26</v>
      </c>
      <c r="D16" s="60">
        <f t="shared" si="1"/>
        <v>0.61199999999999999</v>
      </c>
      <c r="E16" s="61">
        <f t="shared" si="2"/>
        <v>0.89427845284554541</v>
      </c>
      <c r="F16" s="58">
        <f t="shared" si="3"/>
        <v>89.427845284554536</v>
      </c>
      <c r="G16" s="58">
        <f t="shared" si="4"/>
        <v>10.572154715445464</v>
      </c>
      <c r="H16" s="59">
        <f t="shared" si="5"/>
        <v>-3.0708616893200791</v>
      </c>
      <c r="I16" s="59">
        <f t="shared" si="6"/>
        <v>0.11086168932007912</v>
      </c>
      <c r="J16" s="115">
        <f t="shared" si="7"/>
        <v>94.444444444444443</v>
      </c>
      <c r="K16" s="18"/>
      <c r="L16" s="19"/>
      <c r="O16" s="3"/>
      <c r="P16" s="3"/>
      <c r="Q16" s="3"/>
      <c r="R16" s="3"/>
      <c r="S16" s="3"/>
      <c r="T16" s="3"/>
    </row>
    <row r="17" spans="1:18" x14ac:dyDescent="0.35">
      <c r="A17" s="50">
        <v>-3.47</v>
      </c>
      <c r="B17" s="22">
        <f t="shared" si="0"/>
        <v>0.28818443804034583</v>
      </c>
      <c r="C17" s="3">
        <v>1.2230000000000001</v>
      </c>
      <c r="D17" s="48">
        <f t="shared" si="1"/>
        <v>0.57500000000000007</v>
      </c>
      <c r="E17" s="22">
        <f t="shared" si="2"/>
        <v>0.840212598670243</v>
      </c>
      <c r="F17" s="49">
        <f t="shared" si="3"/>
        <v>84.021259867024298</v>
      </c>
      <c r="G17" s="49">
        <f t="shared" si="4"/>
        <v>15.978740132975702</v>
      </c>
      <c r="H17" s="47">
        <f t="shared" si="5"/>
        <v>-3.4009038477568372</v>
      </c>
      <c r="I17" s="47">
        <f t="shared" si="6"/>
        <v>-6.9096152243163012E-2</v>
      </c>
      <c r="J17" s="108">
        <f t="shared" si="7"/>
        <v>88.73456790123457</v>
      </c>
      <c r="K17" s="18"/>
      <c r="L17" s="19"/>
    </row>
    <row r="18" spans="1:18" x14ac:dyDescent="0.35">
      <c r="A18" s="50">
        <v>-3.68</v>
      </c>
      <c r="B18" s="22">
        <f t="shared" si="0"/>
        <v>0.27173913043478259</v>
      </c>
      <c r="C18" s="35">
        <v>1.2050000000000001</v>
      </c>
      <c r="D18" s="48">
        <f t="shared" si="1"/>
        <v>0.55700000000000005</v>
      </c>
      <c r="E18" s="22">
        <f t="shared" si="2"/>
        <v>0.81391029123360925</v>
      </c>
      <c r="F18" s="49">
        <f t="shared" si="3"/>
        <v>81.391029123360923</v>
      </c>
      <c r="G18" s="49">
        <f t="shared" si="4"/>
        <v>18.608970876639077</v>
      </c>
      <c r="H18" s="47">
        <f t="shared" si="5"/>
        <v>-3.5885314369989612</v>
      </c>
      <c r="I18" s="47">
        <f t="shared" si="6"/>
        <v>-9.1468563001039005E-2</v>
      </c>
      <c r="J18" s="108">
        <f t="shared" si="7"/>
        <v>85.956790123456798</v>
      </c>
    </row>
    <row r="19" spans="1:18" x14ac:dyDescent="0.35">
      <c r="A19" s="50">
        <v>-4.04</v>
      </c>
      <c r="B19" s="22">
        <f t="shared" si="0"/>
        <v>0.24752475247524752</v>
      </c>
      <c r="C19" s="35">
        <v>1.179</v>
      </c>
      <c r="D19" s="48">
        <f t="shared" si="1"/>
        <v>0.53100000000000003</v>
      </c>
      <c r="E19" s="22">
        <f t="shared" si="2"/>
        <v>0.77591806938069396</v>
      </c>
      <c r="F19" s="49">
        <f t="shared" si="3"/>
        <v>77.591806938069396</v>
      </c>
      <c r="G19" s="49">
        <f t="shared" si="4"/>
        <v>22.408193061930604</v>
      </c>
      <c r="H19" s="47">
        <f t="shared" si="5"/>
        <v>-3.8992632698207976</v>
      </c>
      <c r="I19" s="47">
        <f t="shared" si="6"/>
        <v>-0.14073673017920241</v>
      </c>
      <c r="J19" s="108">
        <f t="shared" si="7"/>
        <v>81.944444444444443</v>
      </c>
    </row>
    <row r="20" spans="1:18" x14ac:dyDescent="0.35">
      <c r="A20" s="50">
        <v>-4.45</v>
      </c>
      <c r="B20" s="22">
        <f t="shared" si="0"/>
        <v>0.2247191011235955</v>
      </c>
      <c r="C20" s="35">
        <v>1.1419999999999999</v>
      </c>
      <c r="D20" s="48">
        <f t="shared" si="1"/>
        <v>0.49399999999999988</v>
      </c>
      <c r="E20" s="22">
        <f t="shared" si="2"/>
        <v>0.72185221520539111</v>
      </c>
      <c r="F20" s="49">
        <f t="shared" si="3"/>
        <v>72.185221520539116</v>
      </c>
      <c r="G20" s="49">
        <f t="shared" si="4"/>
        <v>27.814778479460884</v>
      </c>
      <c r="H20" s="47">
        <f t="shared" si="5"/>
        <v>-4.4472771560568916</v>
      </c>
      <c r="I20" s="47">
        <f t="shared" si="6"/>
        <v>-2.7228439431086215E-3</v>
      </c>
      <c r="J20" s="108">
        <f t="shared" si="7"/>
        <v>76.234567901234556</v>
      </c>
      <c r="P20" s="10"/>
      <c r="Q20" s="9"/>
      <c r="R20" s="9"/>
    </row>
    <row r="21" spans="1:18" x14ac:dyDescent="0.35">
      <c r="A21" s="50">
        <v>-5.0999999999999996</v>
      </c>
      <c r="B21" s="22">
        <f t="shared" si="0"/>
        <v>0.19607843137254904</v>
      </c>
      <c r="C21" s="35">
        <v>1.097</v>
      </c>
      <c r="D21" s="48">
        <f t="shared" si="1"/>
        <v>0.44899999999999995</v>
      </c>
      <c r="E21" s="22">
        <f t="shared" si="2"/>
        <v>0.65609644661380695</v>
      </c>
      <c r="F21" s="49">
        <f t="shared" si="3"/>
        <v>65.609644661380699</v>
      </c>
      <c r="G21" s="49">
        <f t="shared" si="4"/>
        <v>34.390355338619301</v>
      </c>
      <c r="H21" s="47">
        <f t="shared" si="5"/>
        <v>-5.3641795340022878</v>
      </c>
      <c r="I21" s="47">
        <f t="shared" si="6"/>
        <v>0.26417953400228811</v>
      </c>
      <c r="J21" s="108">
        <f t="shared" si="7"/>
        <v>69.290123456790113</v>
      </c>
      <c r="P21" s="10"/>
      <c r="Q21" s="9"/>
      <c r="R21" s="9"/>
    </row>
    <row r="22" spans="1:18" x14ac:dyDescent="0.35">
      <c r="A22" s="50"/>
      <c r="B22" s="6"/>
      <c r="C22" s="35"/>
      <c r="D22" s="48"/>
      <c r="E22" s="22"/>
      <c r="F22" s="49"/>
      <c r="G22" s="49"/>
      <c r="H22" s="47"/>
      <c r="I22" s="47"/>
      <c r="P22" s="10"/>
      <c r="Q22" s="9"/>
      <c r="R22" s="9"/>
    </row>
    <row r="23" spans="1:18" x14ac:dyDescent="0.35">
      <c r="A23" s="50"/>
      <c r="B23" s="6"/>
      <c r="C23" s="35"/>
      <c r="D23" s="48"/>
      <c r="E23" s="22"/>
      <c r="F23" s="49"/>
      <c r="G23" s="49"/>
      <c r="H23" s="47"/>
      <c r="I23" s="47"/>
      <c r="P23" s="10"/>
      <c r="Q23" s="9"/>
      <c r="R23" s="9"/>
    </row>
    <row r="24" spans="1:18" ht="15" x14ac:dyDescent="0.4">
      <c r="A24" s="13" t="s">
        <v>4</v>
      </c>
      <c r="B24" s="13"/>
      <c r="C24" s="23"/>
      <c r="D24" s="14"/>
      <c r="F24" s="34" t="s">
        <v>14</v>
      </c>
      <c r="Q24" s="9"/>
      <c r="R24" s="9"/>
    </row>
    <row r="25" spans="1:18" x14ac:dyDescent="0.35">
      <c r="A25" s="3" t="s">
        <v>26</v>
      </c>
      <c r="B25" s="27">
        <f>STDEV(D9:D16)/STDEV(A9:A16)</f>
        <v>2.3137222843831341E-2</v>
      </c>
      <c r="C25" s="5" t="s">
        <v>24</v>
      </c>
      <c r="D25" s="28">
        <f>COUNT(D9:D16)</f>
        <v>8</v>
      </c>
      <c r="F25" s="35" t="s">
        <v>26</v>
      </c>
      <c r="G25" s="30">
        <f>-STDEV(B16:B21)/STDEV(G16:G21)</f>
        <v>-5.8450972338329405E-3</v>
      </c>
      <c r="H25" s="5" t="s">
        <v>24</v>
      </c>
      <c r="I25" s="28">
        <f>COUNT(B16:B21)</f>
        <v>6</v>
      </c>
      <c r="Q25" s="9"/>
      <c r="R25" s="9"/>
    </row>
    <row r="26" spans="1:18" ht="15.5" x14ac:dyDescent="0.35">
      <c r="A26" s="3" t="s">
        <v>3</v>
      </c>
      <c r="B26" s="24">
        <f>AVERAGE(D9:D16)-B25*AVERAGE(A9:A16)</f>
        <v>0.68435060472792253</v>
      </c>
      <c r="C26" s="26" t="s">
        <v>7</v>
      </c>
      <c r="F26" s="35" t="s">
        <v>3</v>
      </c>
      <c r="G26" s="31">
        <f>AVERAGE(B16:B21)-G25*AVERAGE(G16:G21)</f>
        <v>0.38743677006765476</v>
      </c>
      <c r="H26" s="25"/>
      <c r="Q26" s="9"/>
      <c r="R26" s="9"/>
    </row>
    <row r="27" spans="1:18" x14ac:dyDescent="0.35">
      <c r="A27" s="50"/>
      <c r="B27" s="6"/>
      <c r="C27" s="35"/>
      <c r="D27" s="48"/>
      <c r="E27" s="22"/>
      <c r="F27" s="49"/>
      <c r="G27" s="49"/>
      <c r="H27" s="47"/>
      <c r="I27" s="47"/>
      <c r="Q27" s="9"/>
      <c r="R27" s="9"/>
    </row>
    <row r="28" spans="1:18" x14ac:dyDescent="0.35">
      <c r="A28" s="50"/>
      <c r="B28" s="6"/>
      <c r="C28" s="35"/>
      <c r="D28" s="48"/>
      <c r="E28" s="22"/>
      <c r="F28" s="49"/>
      <c r="G28" s="49"/>
      <c r="H28" s="47"/>
      <c r="I28" s="47"/>
      <c r="Q28" s="9"/>
      <c r="R28" s="9"/>
    </row>
    <row r="29" spans="1:18" x14ac:dyDescent="0.35">
      <c r="A29" s="50"/>
      <c r="B29" s="6"/>
      <c r="C29" s="35"/>
      <c r="D29" s="48"/>
      <c r="E29" s="22"/>
      <c r="F29" s="49"/>
      <c r="G29" s="49"/>
      <c r="H29" s="47"/>
      <c r="I29" s="47"/>
      <c r="Q29" s="9"/>
      <c r="R29" s="9"/>
    </row>
    <row r="30" spans="1:18" x14ac:dyDescent="0.35">
      <c r="A30" s="50"/>
      <c r="B30" s="22"/>
      <c r="C30" s="35"/>
      <c r="D30" s="48"/>
      <c r="E30" s="22"/>
      <c r="F30" s="49"/>
      <c r="G30" s="49"/>
      <c r="H30" s="47"/>
      <c r="I30" s="47"/>
    </row>
    <row r="31" spans="1:18" x14ac:dyDescent="0.35">
      <c r="A31" s="50"/>
      <c r="B31" s="22"/>
      <c r="C31" s="35"/>
      <c r="D31" s="48"/>
      <c r="E31" s="22"/>
      <c r="F31" s="49"/>
      <c r="G31" s="49"/>
      <c r="H31" s="47"/>
      <c r="I31" s="47"/>
    </row>
    <row r="32" spans="1:18" x14ac:dyDescent="0.35">
      <c r="A32" s="50"/>
      <c r="B32" s="22"/>
      <c r="C32" s="35"/>
      <c r="D32" s="48"/>
      <c r="E32" s="22"/>
      <c r="F32" s="49"/>
      <c r="G32" s="49"/>
      <c r="H32" s="47"/>
      <c r="I32" s="47"/>
    </row>
    <row r="33" spans="1:18" x14ac:dyDescent="0.35">
      <c r="A33" s="3"/>
      <c r="B33" s="3"/>
      <c r="C33" s="3"/>
      <c r="D33" s="3"/>
      <c r="E33" s="3"/>
      <c r="F33" s="3"/>
      <c r="G33" s="3"/>
      <c r="H33" s="3"/>
      <c r="I33" s="3"/>
    </row>
    <row r="34" spans="1:18" x14ac:dyDescent="0.35">
      <c r="Q34" s="15"/>
      <c r="R34" s="15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F6A-122B-4327-92DF-38B360C13D93}">
  <dimension ref="A1:O28"/>
  <sheetViews>
    <sheetView zoomScale="60" zoomScaleNormal="60" workbookViewId="0">
      <selection activeCell="E4" sqref="E4"/>
    </sheetView>
  </sheetViews>
  <sheetFormatPr defaultRowHeight="14.5" x14ac:dyDescent="0.35"/>
  <cols>
    <col min="7" max="7" width="9.453125" bestFit="1" customWidth="1"/>
  </cols>
  <sheetData>
    <row r="1" spans="1:15" x14ac:dyDescent="0.35">
      <c r="A1" t="s">
        <v>38</v>
      </c>
      <c r="B1" s="123">
        <v>44847</v>
      </c>
      <c r="M1" s="17"/>
    </row>
    <row r="2" spans="1:15" x14ac:dyDescent="0.35">
      <c r="A2" s="1" t="s">
        <v>21</v>
      </c>
      <c r="B2" s="2"/>
      <c r="C2" s="4"/>
      <c r="K2" s="108"/>
      <c r="M2" s="17"/>
    </row>
    <row r="3" spans="1:15" x14ac:dyDescent="0.35">
      <c r="A3" s="3" t="s">
        <v>25</v>
      </c>
      <c r="B3" s="29"/>
      <c r="C3" s="3"/>
      <c r="D3" t="s">
        <v>15</v>
      </c>
      <c r="E3">
        <v>12.585000000000001</v>
      </c>
      <c r="J3" s="116"/>
    </row>
    <row r="4" spans="1:15" x14ac:dyDescent="0.35">
      <c r="A4" s="3" t="s">
        <v>22</v>
      </c>
      <c r="B4" s="102">
        <v>0.23899999999999999</v>
      </c>
      <c r="C4" s="3"/>
      <c r="J4" s="9"/>
    </row>
    <row r="5" spans="1:15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5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5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B28/B4</f>
        <v>1.1066008699265506</v>
      </c>
      <c r="O7" t="s">
        <v>11</v>
      </c>
    </row>
    <row r="8" spans="1:15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-1/G28</f>
        <v>-2.2743081487260755</v>
      </c>
      <c r="O8" t="s">
        <v>12</v>
      </c>
    </row>
    <row r="9" spans="1:15" ht="15" x14ac:dyDescent="0.4">
      <c r="A9" s="132">
        <v>-5.2999999999999999E-2</v>
      </c>
      <c r="B9" s="95">
        <f t="shared" ref="B9:B20" si="0">-1/A9</f>
        <v>18.867924528301888</v>
      </c>
      <c r="C9" s="132">
        <v>0.50700000000000001</v>
      </c>
      <c r="D9" s="96">
        <f t="shared" ref="D9:D20" si="1">C9-$B$3-$B$4</f>
        <v>0.26800000000000002</v>
      </c>
      <c r="E9" s="95">
        <f t="shared" ref="E9:E23" si="2">(D9/$B$28)</f>
        <v>1.0133182998566765</v>
      </c>
      <c r="F9" s="97">
        <f t="shared" ref="F9:F23" si="3">100*E9</f>
        <v>101.33182998566765</v>
      </c>
      <c r="G9" s="97">
        <f t="shared" ref="G9:G23" si="4">100-F9</f>
        <v>-1.3318299856676532</v>
      </c>
      <c r="H9" s="94">
        <f t="shared" ref="H9:H23" si="5">-1/($G$28+$G$27*G9)</f>
        <v>-2.2274170253287093</v>
      </c>
      <c r="I9" s="94">
        <f t="shared" ref="I9:I20" si="6">A9-H9</f>
        <v>2.1744170253287094</v>
      </c>
      <c r="J9" s="106">
        <f>D9/$B$4*100</f>
        <v>112.13389121338912</v>
      </c>
      <c r="M9" s="53" t="s">
        <v>23</v>
      </c>
      <c r="N9" s="40">
        <f>H18</f>
        <v>-2.6272497544469058</v>
      </c>
      <c r="O9" t="s">
        <v>5</v>
      </c>
    </row>
    <row r="10" spans="1:15" ht="15.5" thickBot="1" x14ac:dyDescent="0.45">
      <c r="A10" s="132">
        <v>-9.6000000000000002E-2</v>
      </c>
      <c r="B10" s="95">
        <f t="shared" si="0"/>
        <v>10.416666666666666</v>
      </c>
      <c r="C10" s="132">
        <v>0.505</v>
      </c>
      <c r="D10" s="96">
        <f t="shared" si="1"/>
        <v>0.26600000000000001</v>
      </c>
      <c r="E10" s="95">
        <f t="shared" si="2"/>
        <v>1.0057562229920745</v>
      </c>
      <c r="F10" s="97">
        <f t="shared" si="3"/>
        <v>100.57562229920745</v>
      </c>
      <c r="G10" s="97">
        <f t="shared" si="4"/>
        <v>-0.57562229920745267</v>
      </c>
      <c r="H10" s="94">
        <f t="shared" si="5"/>
        <v>-2.2538015516915508</v>
      </c>
      <c r="I10" s="94">
        <f t="shared" si="6"/>
        <v>2.1578015516915507</v>
      </c>
      <c r="J10" s="106">
        <f t="shared" ref="J10:J23" si="7">D10/$B$4*100</f>
        <v>111.29707112970712</v>
      </c>
      <c r="M10" s="54" t="s">
        <v>31</v>
      </c>
      <c r="N10" s="41">
        <f>F18</f>
        <v>91.501130061684961</v>
      </c>
      <c r="O10" t="s">
        <v>6</v>
      </c>
    </row>
    <row r="11" spans="1:15" ht="18.5" thickBot="1" x14ac:dyDescent="0.45">
      <c r="A11" s="155">
        <v>-0.13800000000000001</v>
      </c>
      <c r="B11" s="52">
        <f t="shared" si="0"/>
        <v>7.2463768115942022</v>
      </c>
      <c r="C11" s="155">
        <v>0.503</v>
      </c>
      <c r="D11" s="62">
        <f t="shared" si="1"/>
        <v>0.26400000000000001</v>
      </c>
      <c r="E11" s="52">
        <f t="shared" si="2"/>
        <v>0.99819414612747226</v>
      </c>
      <c r="F11" s="63">
        <f t="shared" si="3"/>
        <v>99.819414612747224</v>
      </c>
      <c r="G11" s="63">
        <f t="shared" si="4"/>
        <v>0.18058538725277629</v>
      </c>
      <c r="H11" s="50">
        <f t="shared" si="5"/>
        <v>-2.2808186386655778</v>
      </c>
      <c r="I11" s="50">
        <f t="shared" si="6"/>
        <v>2.1428186386655779</v>
      </c>
      <c r="J11" s="108">
        <f t="shared" si="7"/>
        <v>110.46025104602511</v>
      </c>
      <c r="M11" s="55" t="s">
        <v>1</v>
      </c>
      <c r="N11" s="42">
        <f>STDEV(I11:I18)/STDEV(E11:E18)</f>
        <v>26.835588892586493</v>
      </c>
      <c r="O11" t="s">
        <v>8</v>
      </c>
    </row>
    <row r="12" spans="1:15" ht="16" x14ac:dyDescent="0.4">
      <c r="A12" s="155">
        <v>-0.193</v>
      </c>
      <c r="B12" s="52">
        <f t="shared" si="0"/>
        <v>5.1813471502590671</v>
      </c>
      <c r="C12" s="155">
        <v>0.502</v>
      </c>
      <c r="D12" s="62">
        <f t="shared" si="1"/>
        <v>0.26300000000000001</v>
      </c>
      <c r="E12" s="52">
        <f t="shared" si="2"/>
        <v>0.99441310769517122</v>
      </c>
      <c r="F12" s="63">
        <f t="shared" si="3"/>
        <v>99.441310769517116</v>
      </c>
      <c r="G12" s="63">
        <f t="shared" si="4"/>
        <v>0.55868923048288366</v>
      </c>
      <c r="H12" s="50">
        <f t="shared" si="5"/>
        <v>-2.294571544046065</v>
      </c>
      <c r="I12" s="50">
        <f t="shared" si="6"/>
        <v>2.1015715440460649</v>
      </c>
      <c r="J12" s="108">
        <f>D12/$B$4*100</f>
        <v>110.04184100418411</v>
      </c>
      <c r="M12" s="53" t="s">
        <v>33</v>
      </c>
      <c r="N12" s="43">
        <f>STDEV(E11:E18)/STDEV(A11:A18)</f>
        <v>3.2316754022116263E-2</v>
      </c>
      <c r="O12" t="s">
        <v>9</v>
      </c>
    </row>
    <row r="13" spans="1:15" ht="16.5" thickBot="1" x14ac:dyDescent="0.45">
      <c r="A13" s="155">
        <v>-0.23899999999999999</v>
      </c>
      <c r="B13" s="52">
        <f t="shared" si="0"/>
        <v>4.1841004184100417</v>
      </c>
      <c r="C13" s="155">
        <v>0.501</v>
      </c>
      <c r="D13" s="62">
        <f t="shared" si="1"/>
        <v>0.26200000000000001</v>
      </c>
      <c r="E13" s="52">
        <f t="shared" si="2"/>
        <v>0.99063206926287017</v>
      </c>
      <c r="F13" s="63">
        <f t="shared" si="3"/>
        <v>99.063206926287023</v>
      </c>
      <c r="G13" s="63">
        <f t="shared" si="4"/>
        <v>0.93679307371297682</v>
      </c>
      <c r="H13" s="50">
        <f t="shared" si="5"/>
        <v>-2.3084913104077995</v>
      </c>
      <c r="I13" s="50">
        <f t="shared" si="6"/>
        <v>2.0694913104077997</v>
      </c>
      <c r="J13" s="108">
        <f t="shared" si="7"/>
        <v>109.62343096234311</v>
      </c>
      <c r="M13" s="54" t="s">
        <v>0</v>
      </c>
      <c r="N13" s="41">
        <f>STDEV(E18:E25)/STDEV(A18:A25)</f>
        <v>0.14650448161492188</v>
      </c>
      <c r="O13" t="s">
        <v>10</v>
      </c>
    </row>
    <row r="14" spans="1:15" ht="16" x14ac:dyDescent="0.4">
      <c r="A14" s="125">
        <v>-0.36799999999999999</v>
      </c>
      <c r="B14" s="22">
        <f t="shared" si="0"/>
        <v>2.7173913043478262</v>
      </c>
      <c r="C14" s="125">
        <v>0.5</v>
      </c>
      <c r="D14" s="48">
        <f t="shared" si="1"/>
        <v>0.26100000000000001</v>
      </c>
      <c r="E14" s="22">
        <f t="shared" si="2"/>
        <v>0.98685103083056924</v>
      </c>
      <c r="F14" s="49">
        <f t="shared" si="3"/>
        <v>98.68510308305693</v>
      </c>
      <c r="G14" s="49">
        <f t="shared" si="4"/>
        <v>1.31489691694307</v>
      </c>
      <c r="H14" s="47">
        <f t="shared" si="5"/>
        <v>-2.3225809930166892</v>
      </c>
      <c r="I14" s="47">
        <f t="shared" si="6"/>
        <v>1.9545809930166893</v>
      </c>
      <c r="J14" s="108">
        <f t="shared" si="7"/>
        <v>109.20502092050211</v>
      </c>
      <c r="M14" s="56" t="s">
        <v>16</v>
      </c>
      <c r="N14" s="44">
        <f>N12*B28/18/(E3/10000)</f>
        <v>0.37730357123843261</v>
      </c>
    </row>
    <row r="15" spans="1:15" x14ac:dyDescent="0.35">
      <c r="A15" s="125">
        <v>-0.64</v>
      </c>
      <c r="B15" s="22">
        <f t="shared" si="0"/>
        <v>1.5625</v>
      </c>
      <c r="C15" s="125">
        <v>0.497</v>
      </c>
      <c r="D15" s="48">
        <f t="shared" si="1"/>
        <v>0.25800000000000001</v>
      </c>
      <c r="E15" s="22">
        <f t="shared" si="2"/>
        <v>0.97550791553366611</v>
      </c>
      <c r="F15" s="49">
        <f t="shared" si="3"/>
        <v>97.550791553366608</v>
      </c>
      <c r="G15" s="49">
        <f t="shared" si="4"/>
        <v>2.4492084466333921</v>
      </c>
      <c r="H15" s="47">
        <f t="shared" si="5"/>
        <v>-2.3659012307074621</v>
      </c>
      <c r="I15" s="47">
        <f t="shared" si="6"/>
        <v>1.7259012307074619</v>
      </c>
      <c r="J15" s="108">
        <f t="shared" si="7"/>
        <v>107.94979079497908</v>
      </c>
      <c r="K15" s="18"/>
    </row>
    <row r="16" spans="1:15" x14ac:dyDescent="0.35">
      <c r="A16" s="125">
        <v>-1.133</v>
      </c>
      <c r="B16" s="22">
        <f t="shared" si="0"/>
        <v>0.88261253309796994</v>
      </c>
      <c r="C16" s="125">
        <v>0.49399999999999999</v>
      </c>
      <c r="D16" s="48">
        <f t="shared" si="1"/>
        <v>0.255</v>
      </c>
      <c r="E16" s="22">
        <f t="shared" si="2"/>
        <v>0.96416480023676299</v>
      </c>
      <c r="F16" s="49">
        <f t="shared" si="3"/>
        <v>96.4164800236763</v>
      </c>
      <c r="G16" s="49">
        <f t="shared" si="4"/>
        <v>3.5835199763237</v>
      </c>
      <c r="H16" s="47">
        <f t="shared" si="5"/>
        <v>-2.4108681803764052</v>
      </c>
      <c r="I16" s="47">
        <f t="shared" si="6"/>
        <v>1.2778681803764051</v>
      </c>
      <c r="J16" s="108">
        <f t="shared" si="7"/>
        <v>106.69456066945607</v>
      </c>
      <c r="K16" s="18"/>
    </row>
    <row r="17" spans="1:11" ht="15" thickBot="1" x14ac:dyDescent="0.4">
      <c r="A17" s="125">
        <v>-1.865</v>
      </c>
      <c r="B17" s="22">
        <f t="shared" si="0"/>
        <v>0.53619302949061665</v>
      </c>
      <c r="C17" s="125">
        <v>0.48899999999999999</v>
      </c>
      <c r="D17" s="48">
        <f t="shared" si="1"/>
        <v>0.25</v>
      </c>
      <c r="E17" s="22">
        <f t="shared" si="2"/>
        <v>0.94525960807525777</v>
      </c>
      <c r="F17" s="49">
        <f t="shared" si="3"/>
        <v>94.525960807525777</v>
      </c>
      <c r="G17" s="49">
        <f t="shared" si="4"/>
        <v>5.4740391924742227</v>
      </c>
      <c r="H17" s="47">
        <f t="shared" si="5"/>
        <v>-2.4897358184852267</v>
      </c>
      <c r="I17" s="47">
        <f t="shared" si="6"/>
        <v>0.62473581848522675</v>
      </c>
      <c r="J17" s="108">
        <f t="shared" si="7"/>
        <v>104.60251046025104</v>
      </c>
      <c r="K17" s="18"/>
    </row>
    <row r="18" spans="1:11" ht="15" thickBot="1" x14ac:dyDescent="0.4">
      <c r="A18" s="134">
        <v>-2.54</v>
      </c>
      <c r="B18" s="61">
        <f t="shared" si="0"/>
        <v>0.39370078740157477</v>
      </c>
      <c r="C18" s="135">
        <v>0.48099999999999998</v>
      </c>
      <c r="D18" s="60">
        <f t="shared" si="1"/>
        <v>0.24199999999999999</v>
      </c>
      <c r="E18" s="61">
        <f t="shared" si="2"/>
        <v>0.91501130061684954</v>
      </c>
      <c r="F18" s="58">
        <f t="shared" si="3"/>
        <v>91.501130061684961</v>
      </c>
      <c r="G18" s="58">
        <f t="shared" si="4"/>
        <v>8.498869938315039</v>
      </c>
      <c r="H18" s="59">
        <f t="shared" si="5"/>
        <v>-2.6272497544469058</v>
      </c>
      <c r="I18" s="59">
        <f t="shared" si="6"/>
        <v>8.7249754446905747E-2</v>
      </c>
      <c r="J18" s="115">
        <f t="shared" si="7"/>
        <v>101.25523012552303</v>
      </c>
    </row>
    <row r="19" spans="1:11" x14ac:dyDescent="0.35">
      <c r="A19" s="125">
        <v>-2.72</v>
      </c>
      <c r="B19" s="22">
        <f t="shared" si="0"/>
        <v>0.36764705882352938</v>
      </c>
      <c r="C19" s="125">
        <v>0.47599999999999998</v>
      </c>
      <c r="D19" s="48">
        <f t="shared" si="1"/>
        <v>0.23699999999999999</v>
      </c>
      <c r="E19" s="22">
        <f t="shared" si="2"/>
        <v>0.89610610845534433</v>
      </c>
      <c r="F19" s="49">
        <f t="shared" si="3"/>
        <v>89.610610845534438</v>
      </c>
      <c r="G19" s="49">
        <f t="shared" si="4"/>
        <v>10.389389154465562</v>
      </c>
      <c r="H19" s="47">
        <f t="shared" si="5"/>
        <v>-2.7211856622551029</v>
      </c>
      <c r="I19" s="47">
        <f t="shared" si="6"/>
        <v>1.1856622551027485E-3</v>
      </c>
      <c r="J19" s="108">
        <f t="shared" si="7"/>
        <v>99.163179916317986</v>
      </c>
    </row>
    <row r="20" spans="1:11" x14ac:dyDescent="0.35">
      <c r="A20" s="125">
        <v>-2.8919999999999999</v>
      </c>
      <c r="B20" s="22">
        <f t="shared" si="0"/>
        <v>0.34578146611341631</v>
      </c>
      <c r="C20" s="125">
        <v>0.47199999999999998</v>
      </c>
      <c r="D20" s="48">
        <f t="shared" si="1"/>
        <v>0.23299999999999998</v>
      </c>
      <c r="E20" s="22">
        <f t="shared" si="2"/>
        <v>0.88098195472614027</v>
      </c>
      <c r="F20" s="49">
        <f t="shared" si="3"/>
        <v>88.098195472614023</v>
      </c>
      <c r="G20" s="49">
        <f t="shared" si="4"/>
        <v>11.901804527385977</v>
      </c>
      <c r="H20" s="47">
        <f t="shared" si="5"/>
        <v>-2.8013132254429398</v>
      </c>
      <c r="I20" s="47">
        <f t="shared" si="6"/>
        <v>-9.068677455706009E-2</v>
      </c>
      <c r="J20" s="108">
        <f t="shared" si="7"/>
        <v>97.489539748953973</v>
      </c>
    </row>
    <row r="21" spans="1:11" x14ac:dyDescent="0.35">
      <c r="A21" s="125">
        <v>-3.1819999999999999</v>
      </c>
      <c r="B21" s="22">
        <f t="shared" ref="B21:B23" si="8">-1/A21</f>
        <v>0.31426775612822128</v>
      </c>
      <c r="C21" s="133">
        <v>0.46</v>
      </c>
      <c r="D21" s="48">
        <f t="shared" ref="D21:D23" si="9">C21-$B$3-$B$4</f>
        <v>0.22100000000000003</v>
      </c>
      <c r="E21" s="22">
        <f t="shared" si="2"/>
        <v>0.83560949353852798</v>
      </c>
      <c r="F21" s="49">
        <f t="shared" si="3"/>
        <v>83.560949353852791</v>
      </c>
      <c r="G21" s="49">
        <f t="shared" si="4"/>
        <v>16.439050646147209</v>
      </c>
      <c r="H21" s="47">
        <f t="shared" si="5"/>
        <v>-3.0727524388163414</v>
      </c>
      <c r="I21" s="47">
        <f t="shared" ref="I21:I23" si="10">A21-H21</f>
        <v>-0.10924756118365853</v>
      </c>
      <c r="J21" s="108">
        <f t="shared" si="7"/>
        <v>92.468619246861934</v>
      </c>
    </row>
    <row r="22" spans="1:11" x14ac:dyDescent="0.35">
      <c r="A22" s="125">
        <v>-3.64</v>
      </c>
      <c r="B22" s="6">
        <f t="shared" si="8"/>
        <v>0.27472527472527469</v>
      </c>
      <c r="C22" s="133">
        <v>0.44</v>
      </c>
      <c r="D22" s="48">
        <f t="shared" si="9"/>
        <v>0.20100000000000001</v>
      </c>
      <c r="E22" s="22">
        <f t="shared" si="2"/>
        <v>0.75998872489250735</v>
      </c>
      <c r="F22" s="49">
        <f t="shared" si="3"/>
        <v>75.998872489250729</v>
      </c>
      <c r="G22" s="49">
        <f t="shared" si="4"/>
        <v>24.001127510749271</v>
      </c>
      <c r="H22" s="47">
        <f t="shared" si="5"/>
        <v>-3.6645616141662094</v>
      </c>
      <c r="I22" s="47">
        <f t="shared" si="10"/>
        <v>2.4561614166209278E-2</v>
      </c>
      <c r="J22" s="108">
        <f t="shared" si="7"/>
        <v>84.10041841004184</v>
      </c>
    </row>
    <row r="23" spans="1:11" x14ac:dyDescent="0.35">
      <c r="A23" s="125">
        <v>-3.82</v>
      </c>
      <c r="B23" s="6">
        <f t="shared" si="8"/>
        <v>0.26178010471204188</v>
      </c>
      <c r="C23" s="125">
        <v>0.433</v>
      </c>
      <c r="D23" s="48">
        <f t="shared" si="9"/>
        <v>0.19400000000000001</v>
      </c>
      <c r="E23" s="22">
        <f t="shared" si="2"/>
        <v>0.73352145586640005</v>
      </c>
      <c r="F23" s="49">
        <f t="shared" si="3"/>
        <v>73.352145586640006</v>
      </c>
      <c r="G23" s="49">
        <f t="shared" si="4"/>
        <v>26.647854413359994</v>
      </c>
      <c r="H23" s="47">
        <f t="shared" si="5"/>
        <v>-3.9294441247751077</v>
      </c>
      <c r="I23" s="47">
        <f t="shared" si="10"/>
        <v>0.1094441247751079</v>
      </c>
      <c r="J23" s="108">
        <f t="shared" si="7"/>
        <v>81.171548117154813</v>
      </c>
    </row>
    <row r="24" spans="1:11" x14ac:dyDescent="0.35">
      <c r="A24" s="50"/>
      <c r="B24" s="6"/>
      <c r="C24" s="35"/>
      <c r="D24" s="48"/>
      <c r="E24" s="22"/>
      <c r="F24" s="49"/>
      <c r="G24" s="49"/>
      <c r="H24" s="47"/>
      <c r="I24" s="47"/>
      <c r="J24" s="108"/>
    </row>
    <row r="25" spans="1:11" x14ac:dyDescent="0.35">
      <c r="A25" s="50"/>
      <c r="B25" s="6"/>
      <c r="C25" s="35"/>
      <c r="D25" s="48"/>
      <c r="E25" s="22"/>
      <c r="F25" s="49"/>
      <c r="G25" s="49"/>
      <c r="H25" s="47"/>
      <c r="I25" s="47"/>
      <c r="J25" s="108"/>
    </row>
    <row r="26" spans="1:11" ht="15" x14ac:dyDescent="0.4">
      <c r="A26" s="13" t="s">
        <v>4</v>
      </c>
      <c r="B26" s="13"/>
      <c r="C26" s="23"/>
      <c r="D26" s="14"/>
      <c r="F26" s="34" t="s">
        <v>14</v>
      </c>
    </row>
    <row r="27" spans="1:11" x14ac:dyDescent="0.35">
      <c r="A27" s="3" t="s">
        <v>26</v>
      </c>
      <c r="B27" s="27">
        <f>STDEV(D11:D18)/STDEV(A11:A18)</f>
        <v>8.5470577992642141E-3</v>
      </c>
      <c r="C27" s="5" t="s">
        <v>24</v>
      </c>
      <c r="D27" s="28">
        <f>COUNT(D11:D18)</f>
        <v>8</v>
      </c>
      <c r="F27" s="35" t="s">
        <v>26</v>
      </c>
      <c r="G27" s="30">
        <f>-STDEV(B18:B23)/STDEV(G18:G23)</f>
        <v>-6.9500992505987132E-3</v>
      </c>
      <c r="H27" s="5" t="s">
        <v>24</v>
      </c>
      <c r="I27" s="28">
        <f>COUNT(B18:B23)</f>
        <v>6</v>
      </c>
    </row>
    <row r="28" spans="1:11" ht="15.5" x14ac:dyDescent="0.35">
      <c r="A28" s="3" t="s">
        <v>3</v>
      </c>
      <c r="B28" s="24">
        <f>AVERAGE(D11:D18)-B27*AVERAGE(A11:A18)</f>
        <v>0.26447760791244557</v>
      </c>
      <c r="C28" s="26" t="s">
        <v>7</v>
      </c>
      <c r="F28" s="35" t="s">
        <v>3</v>
      </c>
      <c r="G28" s="31">
        <f>AVERAGE(B18:B23)-G27*AVERAGE(G18:G23)</f>
        <v>0.43969415514785765</v>
      </c>
      <c r="H28" s="25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91DA-0D90-4E1A-B1C6-984D691DDF57}">
  <dimension ref="A1:O25"/>
  <sheetViews>
    <sheetView zoomScale="60" zoomScaleNormal="60" workbookViewId="0">
      <selection activeCell="M15" sqref="M15:O31"/>
    </sheetView>
  </sheetViews>
  <sheetFormatPr defaultRowHeight="14.5" x14ac:dyDescent="0.35"/>
  <cols>
    <col min="7" max="7" width="9.453125" bestFit="1" customWidth="1"/>
  </cols>
  <sheetData>
    <row r="1" spans="1:15" x14ac:dyDescent="0.35">
      <c r="A1" t="s">
        <v>38</v>
      </c>
      <c r="B1" s="123">
        <v>44847</v>
      </c>
      <c r="M1" s="17"/>
    </row>
    <row r="2" spans="1:15" x14ac:dyDescent="0.35">
      <c r="A2" s="1" t="s">
        <v>21</v>
      </c>
      <c r="B2" s="2"/>
      <c r="C2" s="4"/>
      <c r="K2" s="108"/>
      <c r="M2" s="17"/>
    </row>
    <row r="3" spans="1:15" x14ac:dyDescent="0.35">
      <c r="A3" s="3" t="s">
        <v>25</v>
      </c>
      <c r="B3" s="29"/>
      <c r="C3" s="3"/>
      <c r="D3" t="s">
        <v>15</v>
      </c>
      <c r="E3">
        <v>10.787000000000001</v>
      </c>
      <c r="J3" s="116"/>
    </row>
    <row r="4" spans="1:15" x14ac:dyDescent="0.35">
      <c r="A4" s="3" t="s">
        <v>22</v>
      </c>
      <c r="B4" s="102">
        <v>0.217</v>
      </c>
      <c r="C4" s="3"/>
      <c r="J4" s="9"/>
    </row>
    <row r="5" spans="1:15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5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5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B25/B4</f>
        <v>1.2005777168722165</v>
      </c>
      <c r="O7" t="s">
        <v>11</v>
      </c>
    </row>
    <row r="8" spans="1:15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-1/G25</f>
        <v>-2.1283644319361867</v>
      </c>
      <c r="O8" t="s">
        <v>12</v>
      </c>
    </row>
    <row r="9" spans="1:15" ht="15" x14ac:dyDescent="0.4">
      <c r="A9" s="156">
        <v>-0.23400000000000001</v>
      </c>
      <c r="B9" s="52">
        <f t="shared" ref="B9:B20" si="0">-1/A9</f>
        <v>4.2735042735042734</v>
      </c>
      <c r="C9" s="156">
        <v>0.47499999999999998</v>
      </c>
      <c r="D9" s="62">
        <f t="shared" ref="D9:D20" si="1">C9-$B$3-$B$4</f>
        <v>0.25800000000000001</v>
      </c>
      <c r="E9" s="52">
        <f t="shared" ref="E9:E20" si="2">(D9/$B$25)</f>
        <v>0.99030664608982044</v>
      </c>
      <c r="F9" s="63">
        <f t="shared" ref="F9:F20" si="3">100*E9</f>
        <v>99.03066460898205</v>
      </c>
      <c r="G9" s="63">
        <f t="shared" ref="G9:G20" si="4">100-F9</f>
        <v>0.96933539101794963</v>
      </c>
      <c r="H9" s="50">
        <f t="shared" ref="H9:H20" si="5">-1/($G$25+$G$24*G9)</f>
        <v>-2.1560645053386782</v>
      </c>
      <c r="I9" s="50">
        <f>A9-H9</f>
        <v>1.9220645053386782</v>
      </c>
      <c r="J9" s="108">
        <f>D9/$B$4*100</f>
        <v>118.89400921658986</v>
      </c>
      <c r="M9" s="53" t="s">
        <v>23</v>
      </c>
      <c r="N9" s="40">
        <f>H14</f>
        <v>-2.41772424568952</v>
      </c>
      <c r="O9" t="s">
        <v>5</v>
      </c>
    </row>
    <row r="10" spans="1:15" ht="15.5" thickBot="1" x14ac:dyDescent="0.45">
      <c r="A10" s="156">
        <v>-0.375</v>
      </c>
      <c r="B10" s="52">
        <f t="shared" si="0"/>
        <v>2.6666666666666665</v>
      </c>
      <c r="C10" s="156">
        <v>0.47299999999999998</v>
      </c>
      <c r="D10" s="62">
        <f t="shared" si="1"/>
        <v>0.25600000000000001</v>
      </c>
      <c r="E10" s="52">
        <f t="shared" si="2"/>
        <v>0.98262985038369777</v>
      </c>
      <c r="F10" s="63">
        <f t="shared" si="3"/>
        <v>98.262985038369777</v>
      </c>
      <c r="G10" s="63">
        <f t="shared" si="4"/>
        <v>1.7370149616302228</v>
      </c>
      <c r="H10" s="50">
        <f t="shared" si="5"/>
        <v>-2.1785189429293603</v>
      </c>
      <c r="I10" s="50">
        <f t="shared" ref="I10:I20" si="6">A10-H10</f>
        <v>1.8035189429293603</v>
      </c>
      <c r="J10" s="108">
        <f t="shared" ref="J10:J20" si="7">D10/$B$4*100</f>
        <v>117.97235023041475</v>
      </c>
      <c r="M10" s="54" t="s">
        <v>31</v>
      </c>
      <c r="N10" s="41">
        <f>F14</f>
        <v>90.970029117553281</v>
      </c>
      <c r="O10" t="s">
        <v>6</v>
      </c>
    </row>
    <row r="11" spans="1:15" ht="18.5" thickBot="1" x14ac:dyDescent="0.45">
      <c r="A11" s="156">
        <v>-0.76700000000000002</v>
      </c>
      <c r="B11" s="52">
        <f t="shared" si="0"/>
        <v>1.3037809647979139</v>
      </c>
      <c r="C11" s="156">
        <v>0.47099999999999997</v>
      </c>
      <c r="D11" s="62">
        <f t="shared" si="1"/>
        <v>0.254</v>
      </c>
      <c r="E11" s="52">
        <f t="shared" si="2"/>
        <v>0.9749530546775752</v>
      </c>
      <c r="F11" s="63">
        <f t="shared" si="3"/>
        <v>97.495305467757518</v>
      </c>
      <c r="G11" s="63">
        <f t="shared" si="4"/>
        <v>2.5046945322424818</v>
      </c>
      <c r="H11" s="50">
        <f t="shared" si="5"/>
        <v>-2.2014460083681526</v>
      </c>
      <c r="I11" s="50">
        <f t="shared" si="6"/>
        <v>1.4344460083681527</v>
      </c>
      <c r="J11" s="108">
        <f t="shared" si="7"/>
        <v>117.05069124423963</v>
      </c>
      <c r="M11" s="55" t="s">
        <v>1</v>
      </c>
      <c r="N11" s="42">
        <f>STDEV(I9:I14)/STDEV(E9:E14)</f>
        <v>24.618494592325188</v>
      </c>
      <c r="O11" t="s">
        <v>8</v>
      </c>
    </row>
    <row r="12" spans="1:15" ht="16" x14ac:dyDescent="0.4">
      <c r="A12" s="156">
        <v>-1.4330000000000001</v>
      </c>
      <c r="B12" s="52">
        <f t="shared" si="0"/>
        <v>0.69783670621074667</v>
      </c>
      <c r="C12" s="156">
        <v>0.46500000000000002</v>
      </c>
      <c r="D12" s="62">
        <f t="shared" si="1"/>
        <v>0.24800000000000003</v>
      </c>
      <c r="E12" s="52">
        <f t="shared" si="2"/>
        <v>0.95192266755920729</v>
      </c>
      <c r="F12" s="63">
        <f t="shared" si="3"/>
        <v>95.192266755920727</v>
      </c>
      <c r="G12" s="63">
        <f t="shared" si="4"/>
        <v>4.807733244079273</v>
      </c>
      <c r="H12" s="50">
        <f t="shared" si="5"/>
        <v>-2.2732170568430474</v>
      </c>
      <c r="I12" s="50">
        <f t="shared" si="6"/>
        <v>0.84021705684304737</v>
      </c>
      <c r="J12" s="108">
        <f>D12/$B$4*100</f>
        <v>114.28571428571431</v>
      </c>
      <c r="M12" s="53" t="s">
        <v>33</v>
      </c>
      <c r="N12" s="43">
        <f>STDEV(E9:E14)/STDEV(A9:A14)</f>
        <v>3.5969412757502733E-2</v>
      </c>
      <c r="O12" t="s">
        <v>9</v>
      </c>
    </row>
    <row r="13" spans="1:15" ht="16.5" thickBot="1" x14ac:dyDescent="0.45">
      <c r="A13" s="156">
        <v>-2.0230000000000001</v>
      </c>
      <c r="B13" s="52">
        <f t="shared" si="0"/>
        <v>0.49431537320810676</v>
      </c>
      <c r="C13" s="156">
        <v>0.46</v>
      </c>
      <c r="D13" s="62">
        <f t="shared" si="1"/>
        <v>0.24300000000000002</v>
      </c>
      <c r="E13" s="52">
        <f t="shared" si="2"/>
        <v>0.93273067829390066</v>
      </c>
      <c r="F13" s="63">
        <f t="shared" si="3"/>
        <v>93.273067829390072</v>
      </c>
      <c r="G13" s="63">
        <f t="shared" si="4"/>
        <v>6.7269321706099277</v>
      </c>
      <c r="H13" s="50">
        <f t="shared" si="5"/>
        <v>-2.3367008882600455</v>
      </c>
      <c r="I13" s="50">
        <f t="shared" si="6"/>
        <v>0.31370088826004539</v>
      </c>
      <c r="J13" s="108">
        <f t="shared" si="7"/>
        <v>111.98156682027651</v>
      </c>
      <c r="M13" s="54" t="s">
        <v>0</v>
      </c>
      <c r="N13" s="41">
        <f>STDEV(E14:E21)/STDEV(A14:A21)</f>
        <v>0.12501630866087024</v>
      </c>
      <c r="O13" t="s">
        <v>10</v>
      </c>
    </row>
    <row r="14" spans="1:15" ht="16.5" thickBot="1" x14ac:dyDescent="0.45">
      <c r="A14" s="137">
        <v>-2.3340000000000001</v>
      </c>
      <c r="B14" s="61">
        <f t="shared" si="0"/>
        <v>0.42844901456726647</v>
      </c>
      <c r="C14" s="138">
        <v>0.45400000000000001</v>
      </c>
      <c r="D14" s="60">
        <f t="shared" si="1"/>
        <v>0.23700000000000002</v>
      </c>
      <c r="E14" s="61">
        <f t="shared" si="2"/>
        <v>0.90970029117553275</v>
      </c>
      <c r="F14" s="58">
        <f t="shared" si="3"/>
        <v>90.970029117553281</v>
      </c>
      <c r="G14" s="58">
        <f t="shared" si="4"/>
        <v>9.0299708824467189</v>
      </c>
      <c r="H14" s="59">
        <f t="shared" si="5"/>
        <v>-2.41772424568952</v>
      </c>
      <c r="I14" s="59">
        <f t="shared" si="6"/>
        <v>8.3724245689519972E-2</v>
      </c>
      <c r="J14" s="115">
        <f t="shared" si="7"/>
        <v>109.21658986175116</v>
      </c>
      <c r="M14" s="56" t="s">
        <v>16</v>
      </c>
      <c r="N14" s="44">
        <f>N12*B25/18/(E3/10000)</f>
        <v>0.48262540154832612</v>
      </c>
    </row>
    <row r="15" spans="1:15" x14ac:dyDescent="0.35">
      <c r="A15" s="126">
        <v>-2.52</v>
      </c>
      <c r="B15" s="22">
        <f t="shared" si="0"/>
        <v>0.3968253968253968</v>
      </c>
      <c r="C15" s="126">
        <v>0.44700000000000001</v>
      </c>
      <c r="D15" s="48">
        <f t="shared" si="1"/>
        <v>0.23</v>
      </c>
      <c r="E15" s="22">
        <f t="shared" si="2"/>
        <v>0.88283150620410356</v>
      </c>
      <c r="F15" s="49">
        <f t="shared" si="3"/>
        <v>88.283150620410353</v>
      </c>
      <c r="G15" s="49">
        <f t="shared" si="4"/>
        <v>11.716849379589647</v>
      </c>
      <c r="H15" s="47">
        <f t="shared" si="5"/>
        <v>-2.5196524911858162</v>
      </c>
      <c r="I15" s="47">
        <f t="shared" si="6"/>
        <v>-3.4750881418377233E-4</v>
      </c>
      <c r="J15" s="108">
        <f t="shared" si="7"/>
        <v>105.99078341013825</v>
      </c>
      <c r="K15" s="18"/>
      <c r="L15" s="19"/>
    </row>
    <row r="16" spans="1:15" x14ac:dyDescent="0.35">
      <c r="A16" s="126">
        <v>-2.66</v>
      </c>
      <c r="B16" s="22">
        <f t="shared" si="0"/>
        <v>0.37593984962406013</v>
      </c>
      <c r="C16" s="126">
        <v>0.44</v>
      </c>
      <c r="D16" s="48">
        <f t="shared" si="1"/>
        <v>0.223</v>
      </c>
      <c r="E16" s="22">
        <f t="shared" si="2"/>
        <v>0.85596272123267425</v>
      </c>
      <c r="F16" s="49">
        <f t="shared" si="3"/>
        <v>85.596272123267426</v>
      </c>
      <c r="G16" s="49">
        <f t="shared" si="4"/>
        <v>14.403727876732574</v>
      </c>
      <c r="H16" s="47">
        <f t="shared" si="5"/>
        <v>-2.6305533467298767</v>
      </c>
      <c r="I16" s="47">
        <f t="shared" si="6"/>
        <v>-2.9446653270123413E-2</v>
      </c>
      <c r="J16" s="108">
        <f t="shared" si="7"/>
        <v>102.76497695852535</v>
      </c>
      <c r="K16" s="18"/>
      <c r="L16" s="19"/>
    </row>
    <row r="17" spans="1:12" x14ac:dyDescent="0.35">
      <c r="A17" s="126">
        <v>-2.93</v>
      </c>
      <c r="B17" s="22">
        <f t="shared" si="0"/>
        <v>0.34129692832764502</v>
      </c>
      <c r="C17" s="126">
        <v>0.42699999999999999</v>
      </c>
      <c r="D17" s="48">
        <f t="shared" si="1"/>
        <v>0.21</v>
      </c>
      <c r="E17" s="22">
        <f t="shared" si="2"/>
        <v>0.80606354914287703</v>
      </c>
      <c r="F17" s="49">
        <f t="shared" si="3"/>
        <v>80.606354914287706</v>
      </c>
      <c r="G17" s="49">
        <f t="shared" si="4"/>
        <v>19.393645085712294</v>
      </c>
      <c r="H17" s="47">
        <f t="shared" si="5"/>
        <v>-2.8647180579459328</v>
      </c>
      <c r="I17" s="47">
        <f t="shared" si="6"/>
        <v>-6.5281942054067343E-2</v>
      </c>
      <c r="J17" s="108">
        <f t="shared" si="7"/>
        <v>96.774193548387089</v>
      </c>
      <c r="K17" s="18"/>
      <c r="L17" s="19"/>
    </row>
    <row r="18" spans="1:12" x14ac:dyDescent="0.35">
      <c r="A18" s="126">
        <v>-3.2</v>
      </c>
      <c r="B18" s="22">
        <f t="shared" si="0"/>
        <v>0.3125</v>
      </c>
      <c r="C18" s="126">
        <v>0.41599999999999998</v>
      </c>
      <c r="D18" s="48">
        <f t="shared" si="1"/>
        <v>0.19899999999999998</v>
      </c>
      <c r="E18" s="22">
        <f t="shared" si="2"/>
        <v>0.76384117275920249</v>
      </c>
      <c r="F18" s="49">
        <f t="shared" si="3"/>
        <v>76.384117275920246</v>
      </c>
      <c r="G18" s="49">
        <f t="shared" si="4"/>
        <v>23.615882724079754</v>
      </c>
      <c r="H18" s="47">
        <f t="shared" si="5"/>
        <v>-3.0980720181875001</v>
      </c>
      <c r="I18" s="47">
        <f t="shared" si="6"/>
        <v>-0.10192798181250007</v>
      </c>
      <c r="J18" s="108">
        <f t="shared" si="7"/>
        <v>91.705069124423957</v>
      </c>
    </row>
    <row r="19" spans="1:12" x14ac:dyDescent="0.35">
      <c r="A19" s="126">
        <v>-4.41</v>
      </c>
      <c r="B19" s="22">
        <f t="shared" si="0"/>
        <v>0.22675736961451246</v>
      </c>
      <c r="C19" s="126">
        <v>0.376</v>
      </c>
      <c r="D19" s="48">
        <f t="shared" si="1"/>
        <v>0.159</v>
      </c>
      <c r="E19" s="22">
        <f t="shared" si="2"/>
        <v>0.61030525863674978</v>
      </c>
      <c r="F19" s="49">
        <f t="shared" si="3"/>
        <v>61.030525863674981</v>
      </c>
      <c r="G19" s="49">
        <f t="shared" si="4"/>
        <v>38.969474136325019</v>
      </c>
      <c r="H19" s="47">
        <f t="shared" si="5"/>
        <v>-4.4019873263004268</v>
      </c>
      <c r="I19" s="47">
        <f t="shared" si="6"/>
        <v>-8.0126736995733694E-3</v>
      </c>
      <c r="J19" s="108">
        <f t="shared" si="7"/>
        <v>73.271889400921665</v>
      </c>
    </row>
    <row r="20" spans="1:12" x14ac:dyDescent="0.35">
      <c r="A20" s="126">
        <v>-5.48</v>
      </c>
      <c r="B20" s="22">
        <f t="shared" si="0"/>
        <v>0.18248175182481752</v>
      </c>
      <c r="C20" s="126">
        <v>0.35399999999999998</v>
      </c>
      <c r="D20" s="48">
        <f t="shared" si="1"/>
        <v>0.13699999999999998</v>
      </c>
      <c r="E20" s="22">
        <f t="shared" si="2"/>
        <v>0.5258605058694007</v>
      </c>
      <c r="F20" s="49">
        <f t="shared" si="3"/>
        <v>52.586050586940068</v>
      </c>
      <c r="G20" s="49">
        <f t="shared" si="4"/>
        <v>47.413949413059932</v>
      </c>
      <c r="H20" s="47">
        <f t="shared" si="5"/>
        <v>-5.7279042497833439</v>
      </c>
      <c r="I20" s="47">
        <f t="shared" si="6"/>
        <v>0.24790424978334347</v>
      </c>
      <c r="J20" s="108">
        <f t="shared" si="7"/>
        <v>63.133640552995388</v>
      </c>
    </row>
    <row r="21" spans="1:12" x14ac:dyDescent="0.35">
      <c r="A21" s="50"/>
      <c r="B21" s="6"/>
      <c r="C21" s="35"/>
      <c r="D21" s="48"/>
      <c r="E21" s="22"/>
      <c r="F21" s="49"/>
      <c r="G21" s="49"/>
      <c r="H21" s="47"/>
      <c r="I21" s="47"/>
    </row>
    <row r="22" spans="1:12" x14ac:dyDescent="0.35">
      <c r="A22" s="50"/>
      <c r="B22" s="6"/>
      <c r="C22" s="35"/>
      <c r="D22" s="48"/>
      <c r="E22" s="22"/>
      <c r="F22" s="49"/>
      <c r="G22" s="49"/>
      <c r="H22" s="47"/>
      <c r="I22" s="47"/>
    </row>
    <row r="23" spans="1:12" ht="15" x14ac:dyDescent="0.4">
      <c r="A23" s="13" t="s">
        <v>4</v>
      </c>
      <c r="B23" s="13"/>
      <c r="C23" s="23"/>
      <c r="D23" s="14"/>
      <c r="F23" s="34" t="s">
        <v>14</v>
      </c>
    </row>
    <row r="24" spans="1:12" x14ac:dyDescent="0.35">
      <c r="A24" s="3" t="s">
        <v>26</v>
      </c>
      <c r="B24" s="27">
        <f>STDEV(D9:D14)/STDEV(A9:A14)</f>
        <v>9.3709443717032263E-3</v>
      </c>
      <c r="C24" s="5" t="s">
        <v>24</v>
      </c>
      <c r="D24" s="28">
        <f>COUNT(D9:D14)</f>
        <v>6</v>
      </c>
      <c r="F24" s="35" t="s">
        <v>26</v>
      </c>
      <c r="G24" s="30">
        <f>-STDEV(B14:B20)/STDEV(G14:G20)</f>
        <v>-6.2272902435682878E-3</v>
      </c>
      <c r="H24" s="5" t="s">
        <v>24</v>
      </c>
      <c r="I24" s="28">
        <f>COUNT(B14:B20)</f>
        <v>7</v>
      </c>
    </row>
    <row r="25" spans="1:12" ht="15.5" x14ac:dyDescent="0.35">
      <c r="A25" s="3" t="s">
        <v>3</v>
      </c>
      <c r="B25" s="24">
        <f>AVERAGE(D9:D14)-B24*AVERAGE(A9:A14)</f>
        <v>0.26052536456127096</v>
      </c>
      <c r="C25" s="26" t="s">
        <v>7</v>
      </c>
      <c r="F25" s="35" t="s">
        <v>3</v>
      </c>
      <c r="G25" s="31">
        <f>AVERAGE(B14:B20)-G24*AVERAGE(G14:G20)</f>
        <v>0.46984434854997725</v>
      </c>
      <c r="H25" s="25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172F-701C-435B-BDA0-45FA3E2A2CA9}">
  <dimension ref="A1:O25"/>
  <sheetViews>
    <sheetView zoomScale="60" zoomScaleNormal="60" workbookViewId="0">
      <selection activeCell="R26" sqref="R26"/>
    </sheetView>
  </sheetViews>
  <sheetFormatPr defaultRowHeight="14.5" x14ac:dyDescent="0.35"/>
  <cols>
    <col min="7" max="7" width="9.453125" bestFit="1" customWidth="1"/>
  </cols>
  <sheetData>
    <row r="1" spans="1:15" x14ac:dyDescent="0.35">
      <c r="A1" t="s">
        <v>38</v>
      </c>
      <c r="B1" s="123">
        <v>44847</v>
      </c>
      <c r="M1" s="17"/>
    </row>
    <row r="2" spans="1:15" x14ac:dyDescent="0.35">
      <c r="A2" s="1" t="s">
        <v>21</v>
      </c>
      <c r="B2" s="2"/>
      <c r="C2" s="4"/>
      <c r="K2" s="108"/>
      <c r="M2" s="17"/>
    </row>
    <row r="3" spans="1:15" x14ac:dyDescent="0.35">
      <c r="A3" s="3" t="s">
        <v>25</v>
      </c>
      <c r="B3" s="29"/>
      <c r="C3" s="3"/>
      <c r="D3" t="s">
        <v>15</v>
      </c>
      <c r="E3">
        <v>13.523999999999999</v>
      </c>
      <c r="J3" s="116"/>
    </row>
    <row r="4" spans="1:15" x14ac:dyDescent="0.35">
      <c r="A4" s="3" t="s">
        <v>22</v>
      </c>
      <c r="B4" s="102">
        <v>0.28000000000000003</v>
      </c>
      <c r="C4" s="3"/>
      <c r="J4" s="9"/>
    </row>
    <row r="5" spans="1:15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5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5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B25/B4</f>
        <v>1.1078145123972569</v>
      </c>
      <c r="O7" t="s">
        <v>11</v>
      </c>
    </row>
    <row r="8" spans="1:15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-1/G25</f>
        <v>-2.2210384495214237</v>
      </c>
      <c r="O8" t="s">
        <v>12</v>
      </c>
    </row>
    <row r="9" spans="1:15" ht="15" x14ac:dyDescent="0.4">
      <c r="A9" s="130">
        <v>-0.1</v>
      </c>
      <c r="B9" s="95">
        <f t="shared" ref="B9:B21" si="0">-1/A9</f>
        <v>10</v>
      </c>
      <c r="C9" s="130">
        <v>0.58899999999999997</v>
      </c>
      <c r="D9" s="96">
        <f t="shared" ref="D9:D21" si="1">C9-$B$3-$B$4</f>
        <v>0.30899999999999994</v>
      </c>
      <c r="E9" s="95">
        <f t="shared" ref="E9:E21" si="2">(D9/$B$25)</f>
        <v>0.99616986076789449</v>
      </c>
      <c r="F9" s="97">
        <f t="shared" ref="F9:F21" si="3">100*E9</f>
        <v>99.616986076789445</v>
      </c>
      <c r="G9" s="97">
        <f t="shared" ref="G9:G21" si="4">100-F9</f>
        <v>0.38301392321055516</v>
      </c>
      <c r="H9" s="94">
        <f t="shared" ref="H9:H21" si="5">-1/($G$25+$G$24*G9)</f>
        <v>-2.2336366299192458</v>
      </c>
      <c r="I9" s="94">
        <f>A9-H9</f>
        <v>2.1336366299192457</v>
      </c>
      <c r="J9" s="106">
        <f>D9/$B$4*100</f>
        <v>110.35714285714282</v>
      </c>
      <c r="M9" s="53" t="s">
        <v>23</v>
      </c>
      <c r="N9" s="40">
        <f>H17</f>
        <v>-2.6364256349053687</v>
      </c>
      <c r="O9" t="s">
        <v>5</v>
      </c>
    </row>
    <row r="10" spans="1:15" ht="15.5" thickBot="1" x14ac:dyDescent="0.45">
      <c r="A10" s="157">
        <v>-0.19600000000000001</v>
      </c>
      <c r="B10" s="52">
        <f t="shared" si="0"/>
        <v>5.1020408163265305</v>
      </c>
      <c r="C10" s="157">
        <v>0.58699999999999997</v>
      </c>
      <c r="D10" s="62">
        <f t="shared" si="1"/>
        <v>0.30699999999999994</v>
      </c>
      <c r="E10" s="52">
        <f t="shared" si="2"/>
        <v>0.9897221594037009</v>
      </c>
      <c r="F10" s="63">
        <f t="shared" si="3"/>
        <v>98.972215940370091</v>
      </c>
      <c r="G10" s="63">
        <f t="shared" si="4"/>
        <v>1.0277840596299086</v>
      </c>
      <c r="H10" s="50">
        <f t="shared" si="5"/>
        <v>-2.2551704695590176</v>
      </c>
      <c r="I10" s="50">
        <f t="shared" ref="I10:I21" si="6">A10-H10</f>
        <v>2.0591704695590174</v>
      </c>
      <c r="J10" s="108">
        <f t="shared" ref="J10:J21" si="7">D10/$B$4*100</f>
        <v>109.64285714285711</v>
      </c>
      <c r="M10" s="54" t="s">
        <v>31</v>
      </c>
      <c r="N10" s="41">
        <f>F17</f>
        <v>89.300663894079875</v>
      </c>
      <c r="O10" t="s">
        <v>6</v>
      </c>
    </row>
    <row r="11" spans="1:15" ht="18.5" thickBot="1" x14ac:dyDescent="0.45">
      <c r="A11" s="157">
        <v>-0.373</v>
      </c>
      <c r="B11" s="52">
        <f t="shared" si="0"/>
        <v>2.6809651474530831</v>
      </c>
      <c r="C11" s="157">
        <v>0.58499999999999996</v>
      </c>
      <c r="D11" s="62">
        <f t="shared" si="1"/>
        <v>0.30499999999999994</v>
      </c>
      <c r="E11" s="52">
        <f t="shared" si="2"/>
        <v>0.98327445803950742</v>
      </c>
      <c r="F11" s="63">
        <f t="shared" si="3"/>
        <v>98.327445803950738</v>
      </c>
      <c r="G11" s="63">
        <f t="shared" si="4"/>
        <v>1.672554196049262</v>
      </c>
      <c r="H11" s="50">
        <f t="shared" si="5"/>
        <v>-2.2771235539569163</v>
      </c>
      <c r="I11" s="50">
        <f t="shared" si="6"/>
        <v>1.9041235539569163</v>
      </c>
      <c r="J11" s="108">
        <f t="shared" si="7"/>
        <v>108.9285714285714</v>
      </c>
      <c r="M11" s="55" t="s">
        <v>1</v>
      </c>
      <c r="N11" s="42">
        <f>STDEV(I10:I17)/STDEV(E10:E17)</f>
        <v>21.846758569356616</v>
      </c>
      <c r="O11" t="s">
        <v>8</v>
      </c>
    </row>
    <row r="12" spans="1:15" ht="16" x14ac:dyDescent="0.4">
      <c r="A12" s="157">
        <v>-0.53400000000000003</v>
      </c>
      <c r="B12" s="52">
        <f t="shared" si="0"/>
        <v>1.8726591760299625</v>
      </c>
      <c r="C12" s="157">
        <v>0.58299999999999996</v>
      </c>
      <c r="D12" s="62">
        <f t="shared" si="1"/>
        <v>0.30299999999999994</v>
      </c>
      <c r="E12" s="52">
        <f t="shared" si="2"/>
        <v>0.97682675667531393</v>
      </c>
      <c r="F12" s="63">
        <f t="shared" si="3"/>
        <v>97.682675667531399</v>
      </c>
      <c r="G12" s="63">
        <f t="shared" si="4"/>
        <v>2.3173243324686013</v>
      </c>
      <c r="H12" s="50">
        <f t="shared" si="5"/>
        <v>-2.2995082469548405</v>
      </c>
      <c r="I12" s="50">
        <f t="shared" si="6"/>
        <v>1.7655082469548404</v>
      </c>
      <c r="J12" s="108">
        <f>D12/$B$4*100</f>
        <v>108.21428571428568</v>
      </c>
      <c r="M12" s="53" t="s">
        <v>33</v>
      </c>
      <c r="N12" s="43">
        <f>STDEV(E10:E17)/STDEV(A10:A17)</f>
        <v>3.889990800560246E-2</v>
      </c>
      <c r="O12" t="s">
        <v>9</v>
      </c>
    </row>
    <row r="13" spans="1:15" ht="16.5" thickBot="1" x14ac:dyDescent="0.45">
      <c r="A13" s="157">
        <v>-0.85</v>
      </c>
      <c r="B13" s="52">
        <f t="shared" si="0"/>
        <v>1.1764705882352942</v>
      </c>
      <c r="C13" s="157">
        <v>0.57999999999999996</v>
      </c>
      <c r="D13" s="62">
        <f t="shared" si="1"/>
        <v>0.29999999999999993</v>
      </c>
      <c r="E13" s="52">
        <f t="shared" si="2"/>
        <v>0.96715520462902371</v>
      </c>
      <c r="F13" s="63">
        <f t="shared" si="3"/>
        <v>96.715520462902376</v>
      </c>
      <c r="G13" s="63">
        <f t="shared" si="4"/>
        <v>3.2844795370976243</v>
      </c>
      <c r="H13" s="50">
        <f t="shared" si="5"/>
        <v>-2.3339228127923586</v>
      </c>
      <c r="I13" s="50">
        <f t="shared" si="6"/>
        <v>1.4839228127923585</v>
      </c>
      <c r="J13" s="108">
        <f t="shared" si="7"/>
        <v>107.14285714285711</v>
      </c>
      <c r="M13" s="54" t="s">
        <v>0</v>
      </c>
      <c r="N13" s="41">
        <f>STDEV(E17:E21)/STDEV(A17:A21)</f>
        <v>0.14215933339624912</v>
      </c>
      <c r="O13" t="s">
        <v>10</v>
      </c>
    </row>
    <row r="14" spans="1:15" ht="16" x14ac:dyDescent="0.4">
      <c r="A14" s="124">
        <v>-1.28</v>
      </c>
      <c r="B14" s="22">
        <f t="shared" si="0"/>
        <v>0.78125</v>
      </c>
      <c r="C14" s="124">
        <v>0.57599999999999996</v>
      </c>
      <c r="D14" s="48">
        <f t="shared" si="1"/>
        <v>0.29599999999999993</v>
      </c>
      <c r="E14" s="22">
        <f t="shared" si="2"/>
        <v>0.95425980190063675</v>
      </c>
      <c r="F14" s="49">
        <f t="shared" si="3"/>
        <v>95.425980190063669</v>
      </c>
      <c r="G14" s="49">
        <f t="shared" si="4"/>
        <v>4.5740198099363312</v>
      </c>
      <c r="H14" s="47">
        <f t="shared" si="5"/>
        <v>-2.3814439052840761</v>
      </c>
      <c r="I14" s="47">
        <f t="shared" si="6"/>
        <v>1.1014439052840761</v>
      </c>
      <c r="J14" s="108">
        <f t="shared" si="7"/>
        <v>105.71428571428567</v>
      </c>
      <c r="M14" s="56" t="s">
        <v>16</v>
      </c>
      <c r="N14" s="44">
        <f>N12*B25/18/(E3/10000)</f>
        <v>0.49567382815188227</v>
      </c>
    </row>
    <row r="15" spans="1:15" x14ac:dyDescent="0.35">
      <c r="A15" s="124">
        <v>-1.7809999999999999</v>
      </c>
      <c r="B15" s="22">
        <f t="shared" si="0"/>
        <v>0.56148231330713083</v>
      </c>
      <c r="C15" s="124">
        <v>0.57199999999999995</v>
      </c>
      <c r="D15" s="48">
        <f t="shared" si="1"/>
        <v>0.29199999999999993</v>
      </c>
      <c r="E15" s="22">
        <f t="shared" si="2"/>
        <v>0.94136439917224968</v>
      </c>
      <c r="F15" s="49">
        <f t="shared" si="3"/>
        <v>94.136439917224962</v>
      </c>
      <c r="G15" s="49">
        <f t="shared" si="4"/>
        <v>5.863560082775038</v>
      </c>
      <c r="H15" s="47">
        <f t="shared" si="5"/>
        <v>-2.4309403761282109</v>
      </c>
      <c r="I15" s="47">
        <f t="shared" si="6"/>
        <v>0.64994037612821098</v>
      </c>
      <c r="J15" s="108">
        <f t="shared" si="7"/>
        <v>104.28571428571425</v>
      </c>
      <c r="K15" s="18"/>
      <c r="L15" s="19"/>
    </row>
    <row r="16" spans="1:15" ht="15" thickBot="1" x14ac:dyDescent="0.4">
      <c r="A16" s="124">
        <v>-2.29</v>
      </c>
      <c r="B16" s="22">
        <f t="shared" si="0"/>
        <v>0.4366812227074236</v>
      </c>
      <c r="C16" s="124">
        <v>0.56200000000000006</v>
      </c>
      <c r="D16" s="48">
        <f t="shared" si="1"/>
        <v>0.28200000000000003</v>
      </c>
      <c r="E16" s="22">
        <f t="shared" si="2"/>
        <v>0.90912589235128261</v>
      </c>
      <c r="F16" s="49">
        <f t="shared" si="3"/>
        <v>90.912589235128266</v>
      </c>
      <c r="G16" s="49">
        <f t="shared" si="4"/>
        <v>9.0874107648717342</v>
      </c>
      <c r="H16" s="47">
        <f t="shared" si="5"/>
        <v>-2.564176439438667</v>
      </c>
      <c r="I16" s="47">
        <f t="shared" si="6"/>
        <v>0.27417643943866699</v>
      </c>
      <c r="J16" s="108">
        <f t="shared" si="7"/>
        <v>100.71428571428571</v>
      </c>
      <c r="K16" s="18"/>
      <c r="L16" s="19"/>
    </row>
    <row r="17" spans="1:12" ht="15" thickBot="1" x14ac:dyDescent="0.4">
      <c r="A17" s="128">
        <v>-2.6</v>
      </c>
      <c r="B17" s="61">
        <f t="shared" si="0"/>
        <v>0.38461538461538458</v>
      </c>
      <c r="C17" s="129">
        <v>0.55700000000000005</v>
      </c>
      <c r="D17" s="60">
        <f t="shared" si="1"/>
        <v>0.27700000000000002</v>
      </c>
      <c r="E17" s="61">
        <f t="shared" si="2"/>
        <v>0.89300663894079879</v>
      </c>
      <c r="F17" s="58">
        <f t="shared" si="3"/>
        <v>89.300663894079875</v>
      </c>
      <c r="G17" s="58">
        <f t="shared" si="4"/>
        <v>10.699336105920125</v>
      </c>
      <c r="H17" s="59">
        <f t="shared" si="5"/>
        <v>-2.6364256349053687</v>
      </c>
      <c r="I17" s="59">
        <f t="shared" si="6"/>
        <v>3.6425634905368653E-2</v>
      </c>
      <c r="J17" s="115">
        <f t="shared" si="7"/>
        <v>98.928571428571431</v>
      </c>
      <c r="K17" s="18"/>
      <c r="L17" s="19"/>
    </row>
    <row r="18" spans="1:12" x14ac:dyDescent="0.35">
      <c r="A18" s="124">
        <v>-2.6930000000000001</v>
      </c>
      <c r="B18" s="22">
        <f t="shared" si="0"/>
        <v>0.37133308577794283</v>
      </c>
      <c r="C18" s="124">
        <v>0.55300000000000005</v>
      </c>
      <c r="D18" s="48">
        <f t="shared" si="1"/>
        <v>0.27300000000000002</v>
      </c>
      <c r="E18" s="22">
        <f t="shared" si="2"/>
        <v>0.88011123621241183</v>
      </c>
      <c r="F18" s="49">
        <f t="shared" si="3"/>
        <v>88.011123621241182</v>
      </c>
      <c r="G18" s="49">
        <f t="shared" si="4"/>
        <v>11.988876378758818</v>
      </c>
      <c r="H18" s="47">
        <f t="shared" si="5"/>
        <v>-2.6972240302678867</v>
      </c>
      <c r="I18" s="47">
        <f t="shared" si="6"/>
        <v>4.224030267886647E-3</v>
      </c>
      <c r="J18" s="108">
        <f t="shared" si="7"/>
        <v>97.5</v>
      </c>
    </row>
    <row r="19" spans="1:12" x14ac:dyDescent="0.35">
      <c r="A19" s="124">
        <v>-2.93</v>
      </c>
      <c r="B19" s="22">
        <f t="shared" si="0"/>
        <v>0.34129692832764502</v>
      </c>
      <c r="C19" s="124">
        <v>0.54300000000000004</v>
      </c>
      <c r="D19" s="48">
        <f t="shared" si="1"/>
        <v>0.26300000000000001</v>
      </c>
      <c r="E19" s="22">
        <f t="shared" si="2"/>
        <v>0.84787272939144431</v>
      </c>
      <c r="F19" s="49">
        <f t="shared" si="3"/>
        <v>84.78727293914443</v>
      </c>
      <c r="G19" s="49">
        <f t="shared" si="4"/>
        <v>15.21272706085557</v>
      </c>
      <c r="H19" s="47">
        <f t="shared" si="5"/>
        <v>-2.8622386576740135</v>
      </c>
      <c r="I19" s="47">
        <f t="shared" si="6"/>
        <v>-6.7761342325986629E-2</v>
      </c>
      <c r="J19" s="108">
        <f t="shared" si="7"/>
        <v>93.928571428571431</v>
      </c>
    </row>
    <row r="20" spans="1:12" x14ac:dyDescent="0.35">
      <c r="A20" s="124">
        <v>-3.8130000000000002</v>
      </c>
      <c r="B20" s="22">
        <f t="shared" si="0"/>
        <v>0.26226068712300027</v>
      </c>
      <c r="C20" s="124">
        <v>0.502</v>
      </c>
      <c r="D20" s="48">
        <f t="shared" si="1"/>
        <v>0.22199999999999998</v>
      </c>
      <c r="E20" s="22">
        <f t="shared" si="2"/>
        <v>0.71569485142547762</v>
      </c>
      <c r="F20" s="49">
        <f t="shared" si="3"/>
        <v>71.569485142547762</v>
      </c>
      <c r="G20" s="49">
        <f t="shared" si="4"/>
        <v>28.430514857452238</v>
      </c>
      <c r="H20" s="47">
        <f t="shared" si="5"/>
        <v>-3.8205751508505004</v>
      </c>
      <c r="I20" s="47">
        <f t="shared" si="6"/>
        <v>7.5751508505002008E-3</v>
      </c>
      <c r="J20" s="108">
        <f t="shared" si="7"/>
        <v>79.285714285714278</v>
      </c>
    </row>
    <row r="21" spans="1:12" x14ac:dyDescent="0.35">
      <c r="A21" s="124">
        <v>-4.0599999999999996</v>
      </c>
      <c r="B21" s="22">
        <f t="shared" si="0"/>
        <v>0.24630541871921185</v>
      </c>
      <c r="C21" s="124">
        <v>0.49399999999999999</v>
      </c>
      <c r="D21" s="48">
        <f t="shared" si="1"/>
        <v>0.21399999999999997</v>
      </c>
      <c r="E21" s="22">
        <f t="shared" si="2"/>
        <v>0.68990404596870358</v>
      </c>
      <c r="F21" s="49">
        <f t="shared" si="3"/>
        <v>68.990404596870363</v>
      </c>
      <c r="G21" s="49">
        <f t="shared" si="4"/>
        <v>31.009595403129637</v>
      </c>
      <c r="H21" s="47">
        <f t="shared" si="5"/>
        <v>-4.0876230415855979</v>
      </c>
      <c r="I21" s="47">
        <f t="shared" si="6"/>
        <v>2.7623041585598251E-2</v>
      </c>
      <c r="J21" s="108">
        <f t="shared" si="7"/>
        <v>76.428571428571416</v>
      </c>
    </row>
    <row r="22" spans="1:12" x14ac:dyDescent="0.35">
      <c r="A22" s="50"/>
      <c r="B22" s="6"/>
      <c r="C22" s="35"/>
      <c r="D22" s="48"/>
      <c r="E22" s="22"/>
      <c r="F22" s="49"/>
      <c r="G22" s="49"/>
      <c r="H22" s="47"/>
      <c r="I22" s="47"/>
    </row>
    <row r="23" spans="1:12" ht="15" x14ac:dyDescent="0.4">
      <c r="A23" s="13" t="s">
        <v>4</v>
      </c>
      <c r="B23" s="13"/>
      <c r="C23" s="23"/>
      <c r="D23" s="14"/>
      <c r="F23" s="34" t="s">
        <v>14</v>
      </c>
    </row>
    <row r="24" spans="1:12" x14ac:dyDescent="0.35">
      <c r="A24" s="3" t="s">
        <v>26</v>
      </c>
      <c r="B24" s="27">
        <f>STDEV(D10:D17)/STDEV(A10:A17)</f>
        <v>1.2066287133466903E-2</v>
      </c>
      <c r="C24" s="5" t="s">
        <v>24</v>
      </c>
      <c r="D24" s="28">
        <f>COUNT(D10:D17)</f>
        <v>8</v>
      </c>
      <c r="F24" s="35" t="s">
        <v>26</v>
      </c>
      <c r="G24" s="30">
        <f>-STDEV(B17:B21)/STDEV(G17:G21)</f>
        <v>-6.6301699580760317E-3</v>
      </c>
      <c r="H24" s="5" t="s">
        <v>24</v>
      </c>
      <c r="I24" s="28">
        <f>COUNT(B17:B21)</f>
        <v>5</v>
      </c>
    </row>
    <row r="25" spans="1:12" ht="15.5" x14ac:dyDescent="0.35">
      <c r="A25" s="3" t="s">
        <v>3</v>
      </c>
      <c r="B25" s="24">
        <f>AVERAGE(D10:D17)-B24*AVERAGE(A10:A17)</f>
        <v>0.31018806347123196</v>
      </c>
      <c r="C25" s="26" t="s">
        <v>7</v>
      </c>
      <c r="F25" s="35" t="s">
        <v>3</v>
      </c>
      <c r="G25" s="31">
        <f>AVERAGE(B17:B21)-G24*AVERAGE(G17:G21)</f>
        <v>0.45023984173505605</v>
      </c>
      <c r="H25" s="25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35"/>
  <sheetViews>
    <sheetView zoomScale="60" zoomScaleNormal="60" workbookViewId="0">
      <selection activeCell="M15" sqref="M15:O33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1.26953125" customWidth="1"/>
    <col min="11" max="11" width="8.81640625" customWidth="1"/>
    <col min="12" max="12" width="10.08984375" customWidth="1"/>
    <col min="13" max="13" width="19.1796875" customWidth="1"/>
    <col min="14" max="14" width="9.5429687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44812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17.495000000000001</v>
      </c>
      <c r="J3" s="116"/>
    </row>
    <row r="4" spans="1:20" x14ac:dyDescent="0.35">
      <c r="A4" s="3" t="s">
        <v>22</v>
      </c>
      <c r="B4" s="102">
        <v>0.38800000000000001</v>
      </c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B35/B4</f>
        <v>1.1187467435653955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-1/G35</f>
        <v>-2.354931749213796</v>
      </c>
      <c r="O8" t="s">
        <v>12</v>
      </c>
    </row>
    <row r="9" spans="1:20" ht="15" x14ac:dyDescent="0.4">
      <c r="A9" s="94">
        <v>-3.5000000000000003E-2</v>
      </c>
      <c r="B9" s="95">
        <f t="shared" ref="B9:B30" si="0">-1/A9</f>
        <v>28.571428571428569</v>
      </c>
      <c r="C9" s="91">
        <v>0.85</v>
      </c>
      <c r="D9" s="96">
        <f t="shared" ref="D9:D30" si="1">C9-$B$3-$B$4</f>
        <v>0.46199999999999997</v>
      </c>
      <c r="E9" s="95">
        <f t="shared" ref="E9:E30" si="2">(D9/$B$35)</f>
        <v>1.0643352987019739</v>
      </c>
      <c r="F9" s="97">
        <f t="shared" ref="F9:F30" si="3">100*E9</f>
        <v>106.43352987019739</v>
      </c>
      <c r="G9" s="97">
        <f t="shared" ref="G9:G30" si="4">100-F9</f>
        <v>-6.4335298701973898</v>
      </c>
      <c r="H9" s="94">
        <f t="shared" ref="H9:H30" si="5">-1/($G$35+$G$34*G9)</f>
        <v>-2.1251018742192072</v>
      </c>
      <c r="I9" s="94">
        <f t="shared" ref="I9:I30" si="6">A9-H9</f>
        <v>2.090101874219207</v>
      </c>
      <c r="J9" s="106">
        <f>D9/$B$4*100</f>
        <v>119.07216494845359</v>
      </c>
      <c r="K9" s="10"/>
      <c r="L9" s="10"/>
      <c r="M9" s="53" t="s">
        <v>23</v>
      </c>
      <c r="N9" s="40">
        <f>H25</f>
        <v>-2.7748199227097001</v>
      </c>
      <c r="O9" t="s">
        <v>5</v>
      </c>
    </row>
    <row r="10" spans="1:20" ht="15.5" thickBot="1" x14ac:dyDescent="0.45">
      <c r="A10" s="94">
        <v>-5.8000000000000003E-2</v>
      </c>
      <c r="B10" s="95">
        <f t="shared" si="0"/>
        <v>17.241379310344826</v>
      </c>
      <c r="C10" s="91">
        <v>0.84599999999999997</v>
      </c>
      <c r="D10" s="96">
        <f t="shared" si="1"/>
        <v>0.45799999999999996</v>
      </c>
      <c r="E10" s="95">
        <f t="shared" si="2"/>
        <v>1.0551202744707879</v>
      </c>
      <c r="F10" s="97">
        <f t="shared" si="3"/>
        <v>105.51202744707879</v>
      </c>
      <c r="G10" s="97">
        <f t="shared" si="4"/>
        <v>-5.5120274470787933</v>
      </c>
      <c r="H10" s="94">
        <f t="shared" si="5"/>
        <v>-2.1552297765256698</v>
      </c>
      <c r="I10" s="94">
        <f t="shared" si="6"/>
        <v>2.09722977652567</v>
      </c>
      <c r="J10" s="106">
        <f>D10/$B$4*100</f>
        <v>118.04123711340205</v>
      </c>
      <c r="K10" s="10"/>
      <c r="L10" s="10"/>
      <c r="M10" s="54" t="s">
        <v>31</v>
      </c>
      <c r="N10" s="41">
        <f>F25</f>
        <v>90.998364282960992</v>
      </c>
      <c r="O10" t="s">
        <v>6</v>
      </c>
    </row>
    <row r="11" spans="1:20" ht="16.5" customHeight="1" thickBot="1" x14ac:dyDescent="0.45">
      <c r="A11" s="94">
        <v>-6.9000000000000006E-2</v>
      </c>
      <c r="B11" s="95">
        <f t="shared" si="0"/>
        <v>14.492753623188404</v>
      </c>
      <c r="C11" s="91">
        <v>0.84</v>
      </c>
      <c r="D11" s="96">
        <f t="shared" si="1"/>
        <v>0.45199999999999996</v>
      </c>
      <c r="E11" s="95">
        <f t="shared" si="2"/>
        <v>1.0412977381240092</v>
      </c>
      <c r="F11" s="97">
        <f t="shared" si="3"/>
        <v>104.12977381240091</v>
      </c>
      <c r="G11" s="97">
        <f t="shared" si="4"/>
        <v>-4.1297738124009129</v>
      </c>
      <c r="H11" s="94">
        <f t="shared" si="5"/>
        <v>-2.2020581620137833</v>
      </c>
      <c r="I11" s="94">
        <f t="shared" si="6"/>
        <v>2.1330581620137834</v>
      </c>
      <c r="J11" s="106">
        <f>D11/$B$4*100</f>
        <v>116.49484536082473</v>
      </c>
      <c r="K11" s="10"/>
      <c r="L11" s="10"/>
      <c r="M11" s="55" t="s">
        <v>1</v>
      </c>
      <c r="N11" s="42">
        <f>STDEV(I18:I25)/STDEV(E18:E25)</f>
        <v>28.310458897860048</v>
      </c>
      <c r="O11" t="s">
        <v>8</v>
      </c>
    </row>
    <row r="12" spans="1:20" ht="16" x14ac:dyDescent="0.4">
      <c r="A12" s="94">
        <v>-8.5999999999999993E-2</v>
      </c>
      <c r="B12" s="95">
        <f t="shared" si="0"/>
        <v>11.627906976744187</v>
      </c>
      <c r="C12" s="91">
        <v>0.83599999999999997</v>
      </c>
      <c r="D12" s="96">
        <f t="shared" si="1"/>
        <v>0.44799999999999995</v>
      </c>
      <c r="E12" s="95">
        <f t="shared" si="2"/>
        <v>1.0320827138928232</v>
      </c>
      <c r="F12" s="97">
        <f t="shared" si="3"/>
        <v>103.20827138928233</v>
      </c>
      <c r="G12" s="97">
        <f t="shared" si="4"/>
        <v>-3.2082713892823307</v>
      </c>
      <c r="H12" s="94">
        <f t="shared" si="5"/>
        <v>-2.2344242328176254</v>
      </c>
      <c r="I12" s="94">
        <f t="shared" si="6"/>
        <v>2.1484242328176255</v>
      </c>
      <c r="J12" s="106">
        <f>D12/$B$4*100</f>
        <v>115.46391752577318</v>
      </c>
      <c r="K12" s="10"/>
      <c r="L12" s="10"/>
      <c r="M12" s="53" t="s">
        <v>33</v>
      </c>
      <c r="N12" s="43">
        <f>STDEV(E18:E25)/STDEV(A18:A25)</f>
        <v>3.0359882383835898E-2</v>
      </c>
      <c r="O12" t="s">
        <v>9</v>
      </c>
    </row>
    <row r="13" spans="1:20" ht="16.5" thickBot="1" x14ac:dyDescent="0.45">
      <c r="A13" s="94">
        <v>-0.109</v>
      </c>
      <c r="B13" s="95">
        <f t="shared" si="0"/>
        <v>9.1743119266055047</v>
      </c>
      <c r="C13" s="91">
        <v>0.83399999999999996</v>
      </c>
      <c r="D13" s="96">
        <f t="shared" si="1"/>
        <v>0.44599999999999995</v>
      </c>
      <c r="E13" s="95">
        <f t="shared" si="2"/>
        <v>1.0274752017772302</v>
      </c>
      <c r="F13" s="97">
        <f t="shared" si="3"/>
        <v>102.74752017772302</v>
      </c>
      <c r="G13" s="97">
        <f t="shared" si="4"/>
        <v>-2.7475201777230183</v>
      </c>
      <c r="H13" s="94">
        <f t="shared" si="5"/>
        <v>-2.2509666995040214</v>
      </c>
      <c r="I13" s="94">
        <f t="shared" si="6"/>
        <v>2.1419666995040214</v>
      </c>
      <c r="J13" s="106">
        <f t="shared" ref="J13:J30" si="7">D13/$B$4*100</f>
        <v>114.94845360824742</v>
      </c>
      <c r="K13" s="10"/>
      <c r="L13" s="10"/>
      <c r="M13" s="54" t="s">
        <v>0</v>
      </c>
      <c r="N13" s="41">
        <f>STDEV(E25:E30)/STDEV(A25:A30)</f>
        <v>0.14238815180539904</v>
      </c>
      <c r="O13" t="s">
        <v>10</v>
      </c>
    </row>
    <row r="14" spans="1:20" ht="16" x14ac:dyDescent="0.4">
      <c r="A14" s="94">
        <v>-0.14899999999999999</v>
      </c>
      <c r="B14" s="95">
        <f t="shared" si="0"/>
        <v>6.7114093959731544</v>
      </c>
      <c r="C14" s="98">
        <v>0.83099999999999996</v>
      </c>
      <c r="D14" s="96">
        <f t="shared" si="1"/>
        <v>0.44299999999999995</v>
      </c>
      <c r="E14" s="95">
        <f t="shared" si="2"/>
        <v>1.0205639336038408</v>
      </c>
      <c r="F14" s="97">
        <f t="shared" si="3"/>
        <v>102.05639336038408</v>
      </c>
      <c r="G14" s="97">
        <f t="shared" si="4"/>
        <v>-2.0563933603840781</v>
      </c>
      <c r="H14" s="94">
        <f t="shared" si="5"/>
        <v>-2.2762448250511604</v>
      </c>
      <c r="I14" s="94">
        <f t="shared" si="6"/>
        <v>2.1272448250511604</v>
      </c>
      <c r="J14" s="106">
        <f t="shared" si="7"/>
        <v>114.17525773195875</v>
      </c>
      <c r="K14" s="10"/>
      <c r="L14" s="10"/>
      <c r="M14" s="56" t="s">
        <v>16</v>
      </c>
      <c r="N14" s="44">
        <f>N12*B35/18/(E3/10000)</f>
        <v>0.41848234689767211</v>
      </c>
    </row>
    <row r="15" spans="1:20" x14ac:dyDescent="0.35">
      <c r="A15" s="94">
        <v>-0.17199999999999999</v>
      </c>
      <c r="B15" s="95">
        <f t="shared" si="0"/>
        <v>5.8139534883720936</v>
      </c>
      <c r="C15" s="99">
        <v>0.82799999999999996</v>
      </c>
      <c r="D15" s="96">
        <f t="shared" si="1"/>
        <v>0.43999999999999995</v>
      </c>
      <c r="E15" s="95">
        <f t="shared" si="2"/>
        <v>1.0136526654304514</v>
      </c>
      <c r="F15" s="97">
        <f t="shared" si="3"/>
        <v>101.36526654304514</v>
      </c>
      <c r="G15" s="97">
        <f t="shared" si="4"/>
        <v>-1.3652665430451378</v>
      </c>
      <c r="H15" s="94">
        <f t="shared" si="5"/>
        <v>-2.3020971402119352</v>
      </c>
      <c r="I15" s="94">
        <f t="shared" si="6"/>
        <v>2.1300971402119351</v>
      </c>
      <c r="J15" s="106">
        <f t="shared" si="7"/>
        <v>113.40206185567008</v>
      </c>
      <c r="K15" s="10"/>
      <c r="L15" s="10"/>
    </row>
    <row r="16" spans="1:20" x14ac:dyDescent="0.35">
      <c r="A16" s="94">
        <v>-0.20899999999999999</v>
      </c>
      <c r="B16" s="95">
        <f t="shared" si="0"/>
        <v>4.7846889952153111</v>
      </c>
      <c r="C16" s="99">
        <v>0.82499999999999996</v>
      </c>
      <c r="D16" s="96">
        <f t="shared" si="1"/>
        <v>0.43699999999999994</v>
      </c>
      <c r="E16" s="95">
        <f t="shared" si="2"/>
        <v>1.0067413972570618</v>
      </c>
      <c r="F16" s="97">
        <f t="shared" si="3"/>
        <v>100.67413972570618</v>
      </c>
      <c r="G16" s="97">
        <f t="shared" si="4"/>
        <v>-0.67413972570618341</v>
      </c>
      <c r="H16" s="94">
        <f t="shared" si="5"/>
        <v>-2.3285434337086981</v>
      </c>
      <c r="I16" s="94">
        <f t="shared" si="6"/>
        <v>2.119543433708698</v>
      </c>
      <c r="J16" s="106">
        <f t="shared" si="7"/>
        <v>112.62886597938142</v>
      </c>
      <c r="K16" s="10"/>
      <c r="L16" s="10"/>
      <c r="P16" s="3"/>
      <c r="Q16" s="3"/>
      <c r="R16" s="3"/>
      <c r="S16" s="3"/>
      <c r="T16" s="3"/>
    </row>
    <row r="17" spans="1:18" x14ac:dyDescent="0.35">
      <c r="A17" s="94">
        <v>-0.25900000000000001</v>
      </c>
      <c r="B17" s="95">
        <f t="shared" si="0"/>
        <v>3.8610038610038608</v>
      </c>
      <c r="C17" s="99">
        <v>0.82299999999999995</v>
      </c>
      <c r="D17" s="96">
        <f t="shared" si="1"/>
        <v>0.43499999999999994</v>
      </c>
      <c r="E17" s="95">
        <f t="shared" si="2"/>
        <v>1.0021338851414689</v>
      </c>
      <c r="F17" s="97">
        <f t="shared" si="3"/>
        <v>100.2133885141469</v>
      </c>
      <c r="G17" s="97">
        <f t="shared" si="4"/>
        <v>-0.21338851414689941</v>
      </c>
      <c r="H17" s="94">
        <f t="shared" si="5"/>
        <v>-2.3465144710181063</v>
      </c>
      <c r="I17" s="94">
        <f t="shared" si="6"/>
        <v>2.0875144710181064</v>
      </c>
      <c r="J17" s="106">
        <f t="shared" si="7"/>
        <v>112.11340206185565</v>
      </c>
      <c r="K17" s="10"/>
      <c r="L17" s="10"/>
    </row>
    <row r="18" spans="1:18" x14ac:dyDescent="0.35">
      <c r="A18" s="50">
        <v>-0.28599999999999998</v>
      </c>
      <c r="B18" s="22">
        <f t="shared" si="0"/>
        <v>3.4965034965034967</v>
      </c>
      <c r="C18" s="35">
        <v>0.81899999999999995</v>
      </c>
      <c r="D18" s="48">
        <f t="shared" si="1"/>
        <v>0.43099999999999994</v>
      </c>
      <c r="E18" s="22">
        <f t="shared" si="2"/>
        <v>0.99291886091028303</v>
      </c>
      <c r="F18" s="49">
        <f t="shared" si="3"/>
        <v>99.291886091028303</v>
      </c>
      <c r="G18" s="49">
        <f t="shared" si="4"/>
        <v>0.70811390897169701</v>
      </c>
      <c r="H18" s="47">
        <f t="shared" si="5"/>
        <v>-2.3833017641412968</v>
      </c>
      <c r="I18" s="47">
        <f t="shared" si="6"/>
        <v>2.0973017641412968</v>
      </c>
      <c r="J18" s="108">
        <f t="shared" si="7"/>
        <v>111.08247422680411</v>
      </c>
      <c r="K18" s="10"/>
      <c r="L18" s="10"/>
    </row>
    <row r="19" spans="1:18" x14ac:dyDescent="0.35">
      <c r="A19" s="50">
        <v>-0.33800000000000002</v>
      </c>
      <c r="B19" s="22">
        <f t="shared" si="0"/>
        <v>2.9585798816568047</v>
      </c>
      <c r="C19" s="35">
        <v>0.81699999999999995</v>
      </c>
      <c r="D19" s="48">
        <f t="shared" si="1"/>
        <v>0.42899999999999994</v>
      </c>
      <c r="E19" s="22">
        <f t="shared" si="2"/>
        <v>0.98831134879469007</v>
      </c>
      <c r="F19" s="49">
        <f t="shared" si="3"/>
        <v>98.831134879469005</v>
      </c>
      <c r="G19" s="49">
        <f t="shared" si="4"/>
        <v>1.1688651205309952</v>
      </c>
      <c r="H19" s="47">
        <f t="shared" si="5"/>
        <v>-2.4021313754908178</v>
      </c>
      <c r="I19" s="47">
        <f t="shared" si="6"/>
        <v>2.0641313754908177</v>
      </c>
      <c r="J19" s="108">
        <f t="shared" si="7"/>
        <v>110.56701030927833</v>
      </c>
      <c r="K19" s="10"/>
      <c r="L19" s="10"/>
    </row>
    <row r="20" spans="1:18" x14ac:dyDescent="0.35">
      <c r="A20" s="50">
        <v>-0.59099999999999997</v>
      </c>
      <c r="B20" s="22">
        <f t="shared" si="0"/>
        <v>1.6920473773265652</v>
      </c>
      <c r="C20" s="35">
        <v>0.81299999999999994</v>
      </c>
      <c r="D20" s="48">
        <f t="shared" si="1"/>
        <v>0.42499999999999993</v>
      </c>
      <c r="E20" s="22">
        <f t="shared" si="2"/>
        <v>0.97909632456350415</v>
      </c>
      <c r="F20" s="49">
        <f t="shared" si="3"/>
        <v>97.909632456350408</v>
      </c>
      <c r="G20" s="49">
        <f t="shared" si="4"/>
        <v>2.0903675436495917</v>
      </c>
      <c r="H20" s="47">
        <f t="shared" si="5"/>
        <v>-2.4406975247755853</v>
      </c>
      <c r="I20" s="47">
        <f t="shared" si="6"/>
        <v>1.8496975247755854</v>
      </c>
      <c r="J20" s="108">
        <f t="shared" si="7"/>
        <v>109.53608247422679</v>
      </c>
      <c r="K20" s="10"/>
      <c r="L20" s="10"/>
      <c r="Q20" s="9"/>
      <c r="R20" s="9"/>
    </row>
    <row r="21" spans="1:18" x14ac:dyDescent="0.35">
      <c r="A21" s="50">
        <v>-0.99199999999999999</v>
      </c>
      <c r="B21" s="22">
        <f t="shared" si="0"/>
        <v>1.0080645161290323</v>
      </c>
      <c r="C21" s="35">
        <v>0.80800000000000005</v>
      </c>
      <c r="D21" s="48">
        <f t="shared" si="1"/>
        <v>0.42000000000000004</v>
      </c>
      <c r="E21" s="22">
        <f t="shared" si="2"/>
        <v>0.96757754427452192</v>
      </c>
      <c r="F21" s="49">
        <f t="shared" si="3"/>
        <v>96.757754427452198</v>
      </c>
      <c r="G21" s="49">
        <f t="shared" si="4"/>
        <v>3.2422455725478017</v>
      </c>
      <c r="H21" s="47">
        <f t="shared" si="5"/>
        <v>-2.4906823148220538</v>
      </c>
      <c r="I21" s="47">
        <f t="shared" si="6"/>
        <v>1.4986823148220538</v>
      </c>
      <c r="J21" s="108">
        <f t="shared" si="7"/>
        <v>108.24742268041238</v>
      </c>
      <c r="K21" s="10"/>
      <c r="L21" s="10"/>
      <c r="Q21" s="9"/>
      <c r="R21" s="9"/>
    </row>
    <row r="22" spans="1:18" x14ac:dyDescent="0.35">
      <c r="A22" s="50">
        <v>-1.68</v>
      </c>
      <c r="B22" s="6">
        <f t="shared" si="0"/>
        <v>0.59523809523809523</v>
      </c>
      <c r="C22" s="35">
        <v>0.80200000000000005</v>
      </c>
      <c r="D22" s="48">
        <f t="shared" si="1"/>
        <v>0.41400000000000003</v>
      </c>
      <c r="E22" s="22">
        <f t="shared" si="2"/>
        <v>0.95375500792774304</v>
      </c>
      <c r="F22" s="49">
        <f t="shared" si="3"/>
        <v>95.375500792774304</v>
      </c>
      <c r="G22" s="49">
        <f t="shared" si="4"/>
        <v>4.6244992072256963</v>
      </c>
      <c r="H22" s="47">
        <f t="shared" si="5"/>
        <v>-2.5534346519785895</v>
      </c>
      <c r="I22" s="47">
        <f t="shared" si="6"/>
        <v>0.8734346519785896</v>
      </c>
      <c r="J22" s="108">
        <f t="shared" si="7"/>
        <v>106.70103092783505</v>
      </c>
      <c r="K22" s="10"/>
      <c r="L22" s="10"/>
      <c r="Q22" s="9"/>
      <c r="R22" s="9"/>
    </row>
    <row r="23" spans="1:18" x14ac:dyDescent="0.35">
      <c r="A23" s="50">
        <v>-2.2200000000000002</v>
      </c>
      <c r="B23" s="22">
        <f t="shared" si="0"/>
        <v>0.4504504504504504</v>
      </c>
      <c r="C23" s="35">
        <v>0.79500000000000004</v>
      </c>
      <c r="D23" s="48">
        <f t="shared" si="1"/>
        <v>0.40700000000000003</v>
      </c>
      <c r="E23" s="22">
        <f t="shared" si="2"/>
        <v>0.93762871552316762</v>
      </c>
      <c r="F23" s="49">
        <f t="shared" si="3"/>
        <v>93.762871552316767</v>
      </c>
      <c r="G23" s="49">
        <f t="shared" si="4"/>
        <v>6.2371284476832329</v>
      </c>
      <c r="H23" s="47">
        <f t="shared" si="5"/>
        <v>-2.6307632477917475</v>
      </c>
      <c r="I23" s="47">
        <f t="shared" si="6"/>
        <v>0.41076324779174733</v>
      </c>
      <c r="J23" s="108">
        <f t="shared" si="7"/>
        <v>104.89690721649485</v>
      </c>
      <c r="K23" s="10"/>
      <c r="L23" s="10"/>
      <c r="Q23" s="9"/>
      <c r="R23" s="9"/>
    </row>
    <row r="24" spans="1:18" ht="15" thickBot="1" x14ac:dyDescent="0.4">
      <c r="A24" s="50">
        <v>-2.57</v>
      </c>
      <c r="B24" s="22">
        <f t="shared" si="0"/>
        <v>0.38910505836575876</v>
      </c>
      <c r="C24" s="35">
        <v>0.78900000000000003</v>
      </c>
      <c r="D24" s="48">
        <f t="shared" si="1"/>
        <v>0.40100000000000002</v>
      </c>
      <c r="E24" s="22">
        <f t="shared" si="2"/>
        <v>0.92380617917638874</v>
      </c>
      <c r="F24" s="49">
        <f t="shared" si="3"/>
        <v>92.380617917638872</v>
      </c>
      <c r="G24" s="49">
        <f t="shared" si="4"/>
        <v>7.6193820823611276</v>
      </c>
      <c r="H24" s="47">
        <f t="shared" si="5"/>
        <v>-2.7008720582604018</v>
      </c>
      <c r="I24" s="47">
        <f t="shared" si="6"/>
        <v>0.13087205826040194</v>
      </c>
      <c r="J24" s="108">
        <f t="shared" si="7"/>
        <v>103.35051546391753</v>
      </c>
      <c r="K24" s="10"/>
      <c r="L24" s="10"/>
      <c r="Q24" s="9"/>
      <c r="R24" s="9"/>
    </row>
    <row r="25" spans="1:18" ht="15" thickBot="1" x14ac:dyDescent="0.4">
      <c r="A25" s="64">
        <v>-2.75</v>
      </c>
      <c r="B25" s="61">
        <f t="shared" si="0"/>
        <v>0.36363636363636365</v>
      </c>
      <c r="C25" s="66">
        <v>0.78300000000000003</v>
      </c>
      <c r="D25" s="60">
        <f t="shared" si="1"/>
        <v>0.39500000000000002</v>
      </c>
      <c r="E25" s="61">
        <f t="shared" si="2"/>
        <v>0.90998364282960986</v>
      </c>
      <c r="F25" s="58">
        <f t="shared" si="3"/>
        <v>90.998364282960992</v>
      </c>
      <c r="G25" s="58">
        <f t="shared" si="4"/>
        <v>9.001635717039008</v>
      </c>
      <c r="H25" s="59">
        <f t="shared" si="5"/>
        <v>-2.7748199227097001</v>
      </c>
      <c r="I25" s="59">
        <f t="shared" si="6"/>
        <v>2.4819922709700126E-2</v>
      </c>
      <c r="J25" s="115">
        <f t="shared" si="7"/>
        <v>101.8041237113402</v>
      </c>
      <c r="K25" s="10"/>
      <c r="L25" s="10"/>
      <c r="Q25" s="9"/>
      <c r="R25" s="9"/>
    </row>
    <row r="26" spans="1:18" x14ac:dyDescent="0.35">
      <c r="A26" s="50">
        <v>-2.88</v>
      </c>
      <c r="B26" s="22">
        <f t="shared" si="0"/>
        <v>0.34722222222222221</v>
      </c>
      <c r="C26" s="35">
        <v>0.77600000000000002</v>
      </c>
      <c r="D26" s="48">
        <f t="shared" si="1"/>
        <v>0.38800000000000001</v>
      </c>
      <c r="E26" s="22">
        <f t="shared" si="2"/>
        <v>0.89385735042503445</v>
      </c>
      <c r="F26" s="49">
        <f t="shared" si="3"/>
        <v>89.385735042503441</v>
      </c>
      <c r="G26" s="49">
        <f t="shared" si="4"/>
        <v>10.614264957496559</v>
      </c>
      <c r="H26" s="47">
        <f t="shared" si="5"/>
        <v>-2.8663791350790269</v>
      </c>
      <c r="I26" s="47">
        <f t="shared" si="6"/>
        <v>-1.362086492097303E-2</v>
      </c>
      <c r="J26" s="108">
        <f t="shared" si="7"/>
        <v>100</v>
      </c>
      <c r="Q26" s="9"/>
      <c r="R26" s="9"/>
    </row>
    <row r="27" spans="1:18" x14ac:dyDescent="0.35">
      <c r="A27" s="50">
        <v>-3.03</v>
      </c>
      <c r="B27" s="6">
        <f t="shared" si="0"/>
        <v>0.33003300330033003</v>
      </c>
      <c r="C27" s="35">
        <v>0.76600000000000001</v>
      </c>
      <c r="D27" s="48">
        <f t="shared" si="1"/>
        <v>0.378</v>
      </c>
      <c r="E27" s="22">
        <f t="shared" si="2"/>
        <v>0.87081978984706965</v>
      </c>
      <c r="F27" s="49">
        <f t="shared" si="3"/>
        <v>87.081978984706964</v>
      </c>
      <c r="G27" s="49">
        <f t="shared" si="4"/>
        <v>12.918021015293036</v>
      </c>
      <c r="H27" s="47">
        <f t="shared" si="5"/>
        <v>-3.0081779932821453</v>
      </c>
      <c r="I27" s="47">
        <f t="shared" si="6"/>
        <v>-2.1822006717854503E-2</v>
      </c>
      <c r="J27" s="108">
        <f t="shared" si="7"/>
        <v>97.422680412371136</v>
      </c>
      <c r="Q27" s="9"/>
      <c r="R27" s="9"/>
    </row>
    <row r="28" spans="1:18" x14ac:dyDescent="0.35">
      <c r="A28" s="50">
        <v>-3.22</v>
      </c>
      <c r="B28" s="22">
        <f t="shared" si="0"/>
        <v>0.3105590062111801</v>
      </c>
      <c r="C28" s="35">
        <v>0.753</v>
      </c>
      <c r="D28" s="48">
        <f t="shared" si="1"/>
        <v>0.36499999999999999</v>
      </c>
      <c r="E28" s="22">
        <f t="shared" si="2"/>
        <v>0.84087096109571535</v>
      </c>
      <c r="F28" s="49">
        <f t="shared" si="3"/>
        <v>84.087096109571533</v>
      </c>
      <c r="G28" s="49">
        <f t="shared" si="4"/>
        <v>15.912903890428467</v>
      </c>
      <c r="H28" s="47">
        <f t="shared" si="5"/>
        <v>-3.2149321573021759</v>
      </c>
      <c r="I28" s="47">
        <f t="shared" si="6"/>
        <v>-5.0678426978243429E-3</v>
      </c>
      <c r="J28" s="108">
        <f t="shared" si="7"/>
        <v>94.072164948453604</v>
      </c>
      <c r="Q28" s="9"/>
      <c r="R28" s="9"/>
    </row>
    <row r="29" spans="1:18" x14ac:dyDescent="0.35">
      <c r="A29" s="50">
        <v>-3.45</v>
      </c>
      <c r="B29" s="22">
        <f t="shared" si="0"/>
        <v>0.28985507246376813</v>
      </c>
      <c r="C29" s="35">
        <v>0.74099999999999999</v>
      </c>
      <c r="D29" s="48">
        <f t="shared" si="1"/>
        <v>0.35299999999999998</v>
      </c>
      <c r="E29" s="22">
        <f t="shared" si="2"/>
        <v>0.81322588840215759</v>
      </c>
      <c r="F29" s="49">
        <f t="shared" si="3"/>
        <v>81.322588840215758</v>
      </c>
      <c r="G29" s="49">
        <f t="shared" si="4"/>
        <v>18.677411159784242</v>
      </c>
      <c r="H29" s="47">
        <f t="shared" si="5"/>
        <v>-3.432716453379121</v>
      </c>
      <c r="I29" s="47">
        <f t="shared" si="6"/>
        <v>-1.7283546620879164E-2</v>
      </c>
      <c r="J29" s="108">
        <f t="shared" si="7"/>
        <v>90.979381443298962</v>
      </c>
      <c r="Q29" s="9"/>
      <c r="R29" s="9"/>
    </row>
    <row r="30" spans="1:18" x14ac:dyDescent="0.35">
      <c r="A30" s="50">
        <v>-3.56</v>
      </c>
      <c r="B30" s="22">
        <f t="shared" si="0"/>
        <v>0.2808988764044944</v>
      </c>
      <c r="C30" s="35">
        <v>0.73299999999999998</v>
      </c>
      <c r="D30" s="48">
        <f t="shared" si="1"/>
        <v>0.34499999999999997</v>
      </c>
      <c r="E30" s="22">
        <f t="shared" si="2"/>
        <v>0.79479583993978575</v>
      </c>
      <c r="F30" s="49">
        <f t="shared" si="3"/>
        <v>79.479583993978579</v>
      </c>
      <c r="G30" s="49">
        <f t="shared" si="4"/>
        <v>20.520416006021421</v>
      </c>
      <c r="H30" s="47">
        <f t="shared" si="5"/>
        <v>-3.595073546979676</v>
      </c>
      <c r="I30" s="47">
        <f t="shared" si="6"/>
        <v>3.5073546979675907E-2</v>
      </c>
      <c r="J30" s="108">
        <f t="shared" si="7"/>
        <v>88.917525773195877</v>
      </c>
    </row>
    <row r="31" spans="1:18" x14ac:dyDescent="0.35">
      <c r="A31" s="50"/>
      <c r="B31" s="6"/>
      <c r="C31" s="35"/>
      <c r="D31" s="48"/>
      <c r="E31" s="22"/>
      <c r="F31" s="49"/>
      <c r="G31" s="49"/>
      <c r="H31" s="47"/>
      <c r="I31" s="47"/>
    </row>
    <row r="33" spans="1:18" ht="15" x14ac:dyDescent="0.4">
      <c r="A33" s="13" t="s">
        <v>4</v>
      </c>
      <c r="B33" s="13"/>
      <c r="C33" s="23"/>
      <c r="D33" s="14"/>
      <c r="F33" s="34" t="s">
        <v>14</v>
      </c>
    </row>
    <row r="34" spans="1:18" x14ac:dyDescent="0.35">
      <c r="A34" s="3" t="s">
        <v>26</v>
      </c>
      <c r="B34" s="27">
        <f>STDEV(D18:D25)/STDEV(A18:A25)</f>
        <v>1.3178427586154584E-2</v>
      </c>
      <c r="C34" s="5" t="s">
        <v>24</v>
      </c>
      <c r="D34" s="28">
        <f>COUNT(D18:D25)</f>
        <v>8</v>
      </c>
      <c r="F34" s="35" t="s">
        <v>26</v>
      </c>
      <c r="G34" s="30">
        <f>-STDEV(B25:B30)/STDEV(G25:G30)</f>
        <v>-7.1383704134079622E-3</v>
      </c>
      <c r="H34" s="5" t="s">
        <v>24</v>
      </c>
      <c r="I34" s="28">
        <f>COUNT(B25:B30)</f>
        <v>6</v>
      </c>
      <c r="Q34" s="15"/>
      <c r="R34" s="15"/>
    </row>
    <row r="35" spans="1:18" ht="15.5" x14ac:dyDescent="0.35">
      <c r="A35" s="3" t="s">
        <v>3</v>
      </c>
      <c r="B35" s="24">
        <f>AVERAGE(D18:D25)-B34*AVERAGE(A18:A25)</f>
        <v>0.4340737365033735</v>
      </c>
      <c r="C35" s="26" t="s">
        <v>7</v>
      </c>
      <c r="F35" s="35" t="s">
        <v>3</v>
      </c>
      <c r="G35" s="31">
        <f>AVERAGE(B25:B30)-G34*AVERAGE(G25:G30)</f>
        <v>0.42464075671571128</v>
      </c>
      <c r="H35" s="25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35"/>
  <sheetViews>
    <sheetView zoomScale="60" zoomScaleNormal="60" workbookViewId="0">
      <selection activeCell="F3" sqref="F3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2.6328125" customWidth="1"/>
    <col min="11" max="11" width="9" customWidth="1"/>
    <col min="12" max="12" width="9.08984375" customWidth="1"/>
    <col min="13" max="13" width="19.1796875" customWidth="1"/>
    <col min="14" max="14" width="9.726562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44812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 s="103">
        <v>16.47</v>
      </c>
      <c r="J3" s="116"/>
    </row>
    <row r="4" spans="1:20" x14ac:dyDescent="0.35">
      <c r="A4" s="3" t="s">
        <v>22</v>
      </c>
      <c r="B4" s="102">
        <v>0.39200000000000002</v>
      </c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B35/B4</f>
        <v>1.0975397195019041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-1/G35</f>
        <v>-2.5139089353771977</v>
      </c>
      <c r="O8" t="s">
        <v>12</v>
      </c>
    </row>
    <row r="9" spans="1:20" ht="15" x14ac:dyDescent="0.4">
      <c r="A9" s="94">
        <v>-4.5999999999999999E-2</v>
      </c>
      <c r="B9" s="95">
        <f t="shared" ref="B9:B30" si="0">-1/A9</f>
        <v>21.739130434782609</v>
      </c>
      <c r="C9" s="91">
        <v>0.82699999999999996</v>
      </c>
      <c r="D9" s="96">
        <f t="shared" ref="D9:D30" si="1">C9-$B$3-$B$4</f>
        <v>0.43499999999999994</v>
      </c>
      <c r="E9" s="95">
        <f t="shared" ref="E9:E30" si="2">(D9/$B$35)</f>
        <v>1.0110740029113772</v>
      </c>
      <c r="F9" s="97">
        <f t="shared" ref="F9:F30" si="3">100*E9</f>
        <v>101.10740029113772</v>
      </c>
      <c r="G9" s="97">
        <f t="shared" ref="G9:G30" si="4">100-F9</f>
        <v>-1.1074002911377221</v>
      </c>
      <c r="H9" s="94">
        <f t="shared" ref="H9:H30" si="5">-1/($G$35+$G$34*G9)</f>
        <v>-2.4678705453064649</v>
      </c>
      <c r="I9" s="94">
        <f>A9-H9</f>
        <v>2.4218705453064651</v>
      </c>
      <c r="J9" s="106">
        <f>D9/$B$4*100</f>
        <v>110.96938775510201</v>
      </c>
      <c r="K9" s="10"/>
      <c r="L9" s="10"/>
      <c r="M9" s="53" t="s">
        <v>23</v>
      </c>
      <c r="N9" s="40">
        <f>H23</f>
        <v>-2.801715979554809</v>
      </c>
      <c r="O9" t="s">
        <v>5</v>
      </c>
    </row>
    <row r="10" spans="1:20" ht="15.5" thickBot="1" x14ac:dyDescent="0.45">
      <c r="A10" s="94">
        <v>-5.5E-2</v>
      </c>
      <c r="B10" s="95">
        <f t="shared" si="0"/>
        <v>18.181818181818183</v>
      </c>
      <c r="C10" s="91">
        <v>0.82599999999999996</v>
      </c>
      <c r="D10" s="96">
        <f t="shared" si="1"/>
        <v>0.43399999999999994</v>
      </c>
      <c r="E10" s="95">
        <f t="shared" si="2"/>
        <v>1.0087496948587074</v>
      </c>
      <c r="F10" s="97">
        <f t="shared" si="3"/>
        <v>100.87496948587074</v>
      </c>
      <c r="G10" s="97">
        <f t="shared" si="4"/>
        <v>-0.87496948587073575</v>
      </c>
      <c r="H10" s="94">
        <f t="shared" si="5"/>
        <v>-2.4773931239494456</v>
      </c>
      <c r="I10" s="94">
        <f t="shared" ref="I10:I30" si="6">A10-H10</f>
        <v>2.4223931239494454</v>
      </c>
      <c r="J10" s="106">
        <f>D10/$B$4*100</f>
        <v>110.71428571428569</v>
      </c>
      <c r="K10" s="10"/>
      <c r="L10" s="10"/>
      <c r="M10" s="54" t="s">
        <v>31</v>
      </c>
      <c r="N10" s="41">
        <f>F23</f>
        <v>93.902045327861245</v>
      </c>
      <c r="O10" t="s">
        <v>6</v>
      </c>
    </row>
    <row r="11" spans="1:20" ht="16.5" customHeight="1" thickBot="1" x14ac:dyDescent="0.45">
      <c r="A11" s="94">
        <v>-8.2000000000000003E-2</v>
      </c>
      <c r="B11" s="95">
        <f t="shared" si="0"/>
        <v>12.195121951219512</v>
      </c>
      <c r="C11" s="91">
        <v>0.82399999999999995</v>
      </c>
      <c r="D11" s="96">
        <f t="shared" si="1"/>
        <v>0.43199999999999994</v>
      </c>
      <c r="E11" s="95">
        <f t="shared" si="2"/>
        <v>1.0041010787533675</v>
      </c>
      <c r="F11" s="97">
        <f t="shared" si="3"/>
        <v>100.41010787533675</v>
      </c>
      <c r="G11" s="97">
        <f t="shared" si="4"/>
        <v>-0.41010787533674886</v>
      </c>
      <c r="H11" s="94">
        <f t="shared" si="5"/>
        <v>-2.4966604600100686</v>
      </c>
      <c r="I11" s="94">
        <f t="shared" si="6"/>
        <v>2.4146604600100687</v>
      </c>
      <c r="J11" s="106">
        <f>D11/$B$4*100</f>
        <v>110.20408163265304</v>
      </c>
      <c r="K11" s="10"/>
      <c r="L11" s="10"/>
      <c r="M11" s="55" t="s">
        <v>1</v>
      </c>
      <c r="N11" s="42">
        <f>STDEV(I12:I23)/STDEV(E12:E23)</f>
        <v>41.595969836579457</v>
      </c>
      <c r="O11" t="s">
        <v>8</v>
      </c>
    </row>
    <row r="12" spans="1:20" ht="16" x14ac:dyDescent="0.4">
      <c r="A12" s="47">
        <v>-0.104</v>
      </c>
      <c r="B12" s="22">
        <f t="shared" si="0"/>
        <v>9.615384615384615</v>
      </c>
      <c r="C12">
        <v>0.82299999999999995</v>
      </c>
      <c r="D12" s="48">
        <f t="shared" si="1"/>
        <v>0.43099999999999994</v>
      </c>
      <c r="E12" s="22">
        <f t="shared" si="2"/>
        <v>1.0017767707006977</v>
      </c>
      <c r="F12" s="49">
        <f t="shared" si="3"/>
        <v>100.17767707006978</v>
      </c>
      <c r="G12" s="49">
        <f t="shared" si="4"/>
        <v>-0.17767707006977673</v>
      </c>
      <c r="H12" s="47">
        <f t="shared" si="5"/>
        <v>-2.5064069521158729</v>
      </c>
      <c r="I12" s="47">
        <f t="shared" si="6"/>
        <v>2.4024069521158729</v>
      </c>
      <c r="J12" s="108">
        <f>D12/$B$4*100</f>
        <v>109.94897959183672</v>
      </c>
      <c r="K12" s="10"/>
      <c r="L12" s="10"/>
      <c r="M12" s="53" t="s">
        <v>33</v>
      </c>
      <c r="N12" s="43">
        <f>STDEV(E12:E23)/STDEV(A12:A23)</f>
        <v>2.1605379537111662E-2</v>
      </c>
      <c r="O12" t="s">
        <v>9</v>
      </c>
    </row>
    <row r="13" spans="1:20" ht="16.5" thickBot="1" x14ac:dyDescent="0.45">
      <c r="A13" s="47">
        <v>-0.17799999999999999</v>
      </c>
      <c r="B13" s="22">
        <f t="shared" si="0"/>
        <v>5.617977528089888</v>
      </c>
      <c r="C13">
        <v>0.82</v>
      </c>
      <c r="D13" s="48">
        <f t="shared" si="1"/>
        <v>0.42799999999999994</v>
      </c>
      <c r="E13" s="22">
        <f t="shared" si="2"/>
        <v>0.99480384654268827</v>
      </c>
      <c r="F13" s="49">
        <f t="shared" si="3"/>
        <v>99.480384654268832</v>
      </c>
      <c r="G13" s="49">
        <f t="shared" si="4"/>
        <v>0.51961534573116808</v>
      </c>
      <c r="H13" s="47">
        <f t="shared" si="5"/>
        <v>-2.5361084206542963</v>
      </c>
      <c r="I13" s="47">
        <f t="shared" si="6"/>
        <v>2.3581084206542964</v>
      </c>
      <c r="J13" s="108">
        <f t="shared" ref="J13:J30" si="7">D13/$B$4*100</f>
        <v>109.18367346938773</v>
      </c>
      <c r="K13" s="10"/>
      <c r="L13" s="10"/>
      <c r="M13" s="54" t="s">
        <v>0</v>
      </c>
      <c r="N13" s="41">
        <f>STDEV(E23:E30)/STDEV(A23:A30)</f>
        <v>0.15519178416535356</v>
      </c>
      <c r="O13" t="s">
        <v>10</v>
      </c>
    </row>
    <row r="14" spans="1:20" ht="16" x14ac:dyDescent="0.4">
      <c r="A14" s="50">
        <v>-0.25800000000000001</v>
      </c>
      <c r="B14" s="22">
        <f t="shared" si="0"/>
        <v>3.8759689922480618</v>
      </c>
      <c r="C14">
        <v>0.81899999999999995</v>
      </c>
      <c r="D14" s="48">
        <f t="shared" si="1"/>
        <v>0.42699999999999994</v>
      </c>
      <c r="E14" s="22">
        <f t="shared" si="2"/>
        <v>0.99247953849001835</v>
      </c>
      <c r="F14" s="49">
        <f t="shared" si="3"/>
        <v>99.247953849001831</v>
      </c>
      <c r="G14" s="49">
        <f t="shared" si="4"/>
        <v>0.75204615099816863</v>
      </c>
      <c r="H14" s="47">
        <f t="shared" si="5"/>
        <v>-2.546165961140634</v>
      </c>
      <c r="I14" s="47">
        <f t="shared" si="6"/>
        <v>2.288165961140634</v>
      </c>
      <c r="J14" s="108">
        <f t="shared" si="7"/>
        <v>108.9285714285714</v>
      </c>
      <c r="K14" s="10"/>
      <c r="L14" s="10"/>
      <c r="M14" s="56" t="s">
        <v>16</v>
      </c>
      <c r="N14" s="44">
        <f>N12*B35/18/(E3/10000)</f>
        <v>0.3135466093632307</v>
      </c>
    </row>
    <row r="15" spans="1:20" x14ac:dyDescent="0.35">
      <c r="A15" s="50">
        <v>-0.39400000000000002</v>
      </c>
      <c r="B15" s="22">
        <f t="shared" si="0"/>
        <v>2.5380710659898478</v>
      </c>
      <c r="C15">
        <v>0.81899999999999995</v>
      </c>
      <c r="D15" s="48">
        <f t="shared" si="1"/>
        <v>0.42699999999999994</v>
      </c>
      <c r="E15" s="22">
        <f t="shared" si="2"/>
        <v>0.99247953849001835</v>
      </c>
      <c r="F15" s="49">
        <f t="shared" si="3"/>
        <v>99.247953849001831</v>
      </c>
      <c r="G15" s="49">
        <f t="shared" si="4"/>
        <v>0.75204615099816863</v>
      </c>
      <c r="H15" s="47">
        <f t="shared" si="5"/>
        <v>-2.546165961140634</v>
      </c>
      <c r="I15" s="47">
        <f t="shared" si="6"/>
        <v>2.1521659611406339</v>
      </c>
      <c r="J15" s="108">
        <f t="shared" si="7"/>
        <v>108.9285714285714</v>
      </c>
      <c r="K15" s="10"/>
      <c r="L15" s="10"/>
    </row>
    <row r="16" spans="1:20" x14ac:dyDescent="0.35">
      <c r="A16" s="50">
        <v>-0.59</v>
      </c>
      <c r="B16" s="22">
        <f t="shared" si="0"/>
        <v>1.6949152542372883</v>
      </c>
      <c r="C16" s="3">
        <v>0.81599999999999995</v>
      </c>
      <c r="D16" s="48">
        <f t="shared" si="1"/>
        <v>0.42399999999999993</v>
      </c>
      <c r="E16" s="22">
        <f t="shared" si="2"/>
        <v>0.98550661433200892</v>
      </c>
      <c r="F16" s="49">
        <f t="shared" si="3"/>
        <v>98.550661433200887</v>
      </c>
      <c r="G16" s="49">
        <f t="shared" si="4"/>
        <v>1.4493385667991134</v>
      </c>
      <c r="H16" s="47">
        <f t="shared" si="5"/>
        <v>-2.5768229722827325</v>
      </c>
      <c r="I16" s="47">
        <f t="shared" si="6"/>
        <v>1.9868229722827326</v>
      </c>
      <c r="J16" s="108">
        <f t="shared" si="7"/>
        <v>108.16326530612244</v>
      </c>
      <c r="K16" s="10"/>
      <c r="L16" s="10"/>
      <c r="P16" s="3"/>
      <c r="Q16" s="3"/>
      <c r="R16" s="3"/>
      <c r="S16" s="3"/>
      <c r="T16" s="3"/>
    </row>
    <row r="17" spans="1:18" x14ac:dyDescent="0.35">
      <c r="A17" s="50">
        <v>-0.80300000000000005</v>
      </c>
      <c r="B17" s="22">
        <f t="shared" si="0"/>
        <v>1.2453300124533</v>
      </c>
      <c r="C17" s="35">
        <v>0.81399999999999995</v>
      </c>
      <c r="D17" s="48">
        <f t="shared" si="1"/>
        <v>0.42199999999999993</v>
      </c>
      <c r="E17" s="22">
        <f t="shared" si="2"/>
        <v>0.98085799822666919</v>
      </c>
      <c r="F17" s="49">
        <f t="shared" si="3"/>
        <v>98.085799822666914</v>
      </c>
      <c r="G17" s="49">
        <f t="shared" si="4"/>
        <v>1.9142001773330861</v>
      </c>
      <c r="H17" s="47">
        <f t="shared" si="5"/>
        <v>-2.5976744368955038</v>
      </c>
      <c r="I17" s="47">
        <f t="shared" si="6"/>
        <v>1.7946744368955039</v>
      </c>
      <c r="J17" s="108">
        <f t="shared" si="7"/>
        <v>107.65306122448976</v>
      </c>
      <c r="K17" s="10"/>
      <c r="L17" s="10"/>
    </row>
    <row r="18" spans="1:18" x14ac:dyDescent="0.35">
      <c r="A18" s="50">
        <v>-1.2549999999999999</v>
      </c>
      <c r="B18" s="22">
        <f t="shared" si="0"/>
        <v>0.79681274900398413</v>
      </c>
      <c r="C18" s="35">
        <v>0.81100000000000005</v>
      </c>
      <c r="D18" s="48">
        <f t="shared" si="1"/>
        <v>0.41900000000000004</v>
      </c>
      <c r="E18" s="22">
        <f t="shared" si="2"/>
        <v>0.97388507406865998</v>
      </c>
      <c r="F18" s="49">
        <f t="shared" si="3"/>
        <v>97.388507406865997</v>
      </c>
      <c r="G18" s="49">
        <f t="shared" si="4"/>
        <v>2.6114925931340025</v>
      </c>
      <c r="H18" s="47">
        <f t="shared" si="5"/>
        <v>-2.6295921402347937</v>
      </c>
      <c r="I18" s="47">
        <f t="shared" si="6"/>
        <v>1.3745921402347938</v>
      </c>
      <c r="J18" s="108">
        <f t="shared" si="7"/>
        <v>106.88775510204083</v>
      </c>
      <c r="K18" s="10"/>
      <c r="L18" s="10"/>
    </row>
    <row r="19" spans="1:18" x14ac:dyDescent="0.35">
      <c r="A19" s="50">
        <v>-1.59</v>
      </c>
      <c r="B19" s="22">
        <f t="shared" si="0"/>
        <v>0.62893081761006286</v>
      </c>
      <c r="C19" s="35">
        <v>0.80700000000000005</v>
      </c>
      <c r="D19" s="48">
        <f t="shared" si="1"/>
        <v>0.41500000000000004</v>
      </c>
      <c r="E19" s="22">
        <f t="shared" si="2"/>
        <v>0.96458784185798063</v>
      </c>
      <c r="F19" s="49">
        <f t="shared" si="3"/>
        <v>96.458784185798066</v>
      </c>
      <c r="G19" s="49">
        <f t="shared" si="4"/>
        <v>3.5412158142019337</v>
      </c>
      <c r="H19" s="47">
        <f t="shared" si="5"/>
        <v>-2.673389495602124</v>
      </c>
      <c r="I19" s="47">
        <f t="shared" si="6"/>
        <v>1.0833894956021239</v>
      </c>
      <c r="J19" s="108">
        <f t="shared" si="7"/>
        <v>105.86734693877551</v>
      </c>
      <c r="K19" s="10"/>
      <c r="L19" s="10"/>
    </row>
    <row r="20" spans="1:18" x14ac:dyDescent="0.35">
      <c r="A20" s="50">
        <v>-2.0329999999999999</v>
      </c>
      <c r="B20" s="22">
        <f t="shared" si="0"/>
        <v>0.4918839153959666</v>
      </c>
      <c r="C20" s="35">
        <v>0.80400000000000005</v>
      </c>
      <c r="D20" s="48">
        <f t="shared" si="1"/>
        <v>0.41200000000000003</v>
      </c>
      <c r="E20" s="22">
        <f t="shared" si="2"/>
        <v>0.95761491769997109</v>
      </c>
      <c r="F20" s="49">
        <f t="shared" si="3"/>
        <v>95.761491769997107</v>
      </c>
      <c r="G20" s="49">
        <f t="shared" si="4"/>
        <v>4.2385082300028927</v>
      </c>
      <c r="H20" s="47">
        <f t="shared" si="5"/>
        <v>-2.7072070525684961</v>
      </c>
      <c r="I20" s="47">
        <f t="shared" si="6"/>
        <v>0.67420705256849622</v>
      </c>
      <c r="J20" s="108">
        <f t="shared" si="7"/>
        <v>105.10204081632652</v>
      </c>
      <c r="K20" s="10"/>
      <c r="L20" s="10"/>
      <c r="P20" s="10"/>
      <c r="Q20" s="9"/>
      <c r="R20" s="9"/>
    </row>
    <row r="21" spans="1:18" x14ac:dyDescent="0.35">
      <c r="A21" s="50">
        <v>-2.31</v>
      </c>
      <c r="B21" s="22">
        <f t="shared" si="0"/>
        <v>0.4329004329004329</v>
      </c>
      <c r="C21" s="35">
        <v>0.80100000000000005</v>
      </c>
      <c r="D21" s="48">
        <f t="shared" si="1"/>
        <v>0.40900000000000003</v>
      </c>
      <c r="E21" s="22">
        <f t="shared" si="2"/>
        <v>0.95064199354196166</v>
      </c>
      <c r="F21" s="49">
        <f t="shared" si="3"/>
        <v>95.064199354196163</v>
      </c>
      <c r="G21" s="49">
        <f t="shared" si="4"/>
        <v>4.9358006458038375</v>
      </c>
      <c r="H21" s="47">
        <f t="shared" si="5"/>
        <v>-2.7418911342485415</v>
      </c>
      <c r="I21" s="47">
        <f t="shared" si="6"/>
        <v>0.43189113424854142</v>
      </c>
      <c r="J21" s="108">
        <f t="shared" si="7"/>
        <v>104.33673469387756</v>
      </c>
      <c r="K21" s="10"/>
      <c r="L21" s="10"/>
      <c r="P21" s="10"/>
      <c r="Q21" s="9"/>
      <c r="R21" s="9"/>
    </row>
    <row r="22" spans="1:18" ht="15" thickBot="1" x14ac:dyDescent="0.4">
      <c r="A22" s="50">
        <v>-2.67</v>
      </c>
      <c r="B22" s="6">
        <f t="shared" si="0"/>
        <v>0.37453183520599254</v>
      </c>
      <c r="C22" s="35">
        <v>0.79800000000000004</v>
      </c>
      <c r="D22" s="48">
        <f t="shared" si="1"/>
        <v>0.40600000000000003</v>
      </c>
      <c r="E22" s="22">
        <f t="shared" si="2"/>
        <v>0.94366906938395212</v>
      </c>
      <c r="F22" s="49">
        <f t="shared" si="3"/>
        <v>94.366906938395218</v>
      </c>
      <c r="G22" s="49">
        <f t="shared" si="4"/>
        <v>5.6330930616047823</v>
      </c>
      <c r="H22" s="47">
        <f t="shared" si="5"/>
        <v>-2.777475477991882</v>
      </c>
      <c r="I22" s="47">
        <f t="shared" si="6"/>
        <v>0.10747547799188206</v>
      </c>
      <c r="J22" s="108">
        <f t="shared" si="7"/>
        <v>103.57142857142858</v>
      </c>
      <c r="K22" s="10"/>
      <c r="L22" s="10"/>
      <c r="P22" s="10"/>
      <c r="Q22" s="9"/>
      <c r="R22" s="9"/>
    </row>
    <row r="23" spans="1:18" ht="15" thickBot="1" x14ac:dyDescent="0.4">
      <c r="A23" s="64">
        <v>-2.75</v>
      </c>
      <c r="B23" s="67">
        <f t="shared" si="0"/>
        <v>0.36363636363636365</v>
      </c>
      <c r="C23" s="66">
        <v>0.79600000000000004</v>
      </c>
      <c r="D23" s="60">
        <f t="shared" si="1"/>
        <v>0.40400000000000003</v>
      </c>
      <c r="E23" s="61">
        <f t="shared" si="2"/>
        <v>0.9390204532786125</v>
      </c>
      <c r="F23" s="58">
        <f t="shared" si="3"/>
        <v>93.902045327861245</v>
      </c>
      <c r="G23" s="58">
        <f t="shared" si="4"/>
        <v>6.097954672138755</v>
      </c>
      <c r="H23" s="59">
        <f t="shared" si="5"/>
        <v>-2.801715979554809</v>
      </c>
      <c r="I23" s="59">
        <f t="shared" si="6"/>
        <v>5.1715979554809E-2</v>
      </c>
      <c r="J23" s="115">
        <f t="shared" si="7"/>
        <v>103.0612244897959</v>
      </c>
      <c r="K23" s="10"/>
      <c r="L23" s="10"/>
      <c r="P23" s="10"/>
      <c r="Q23" s="9"/>
      <c r="R23" s="9"/>
    </row>
    <row r="24" spans="1:18" x14ac:dyDescent="0.35">
      <c r="A24" s="50">
        <v>-2.81</v>
      </c>
      <c r="B24" s="22">
        <f t="shared" si="0"/>
        <v>0.35587188612099646</v>
      </c>
      <c r="C24" s="35">
        <v>0.79300000000000004</v>
      </c>
      <c r="D24" s="48">
        <f t="shared" si="1"/>
        <v>0.40100000000000002</v>
      </c>
      <c r="E24" s="22">
        <f t="shared" si="2"/>
        <v>0.93204752912060296</v>
      </c>
      <c r="F24" s="49">
        <f t="shared" si="3"/>
        <v>93.2047529120603</v>
      </c>
      <c r="G24" s="49">
        <f t="shared" si="4"/>
        <v>6.7952470879396998</v>
      </c>
      <c r="H24" s="47">
        <f t="shared" si="5"/>
        <v>-2.838880604558911</v>
      </c>
      <c r="I24" s="47">
        <f t="shared" si="6"/>
        <v>2.8880604558910949E-2</v>
      </c>
      <c r="J24" s="108">
        <f t="shared" si="7"/>
        <v>102.29591836734696</v>
      </c>
      <c r="K24" s="10"/>
      <c r="Q24" s="9"/>
      <c r="R24" s="9"/>
    </row>
    <row r="25" spans="1:18" x14ac:dyDescent="0.35">
      <c r="A25" s="50">
        <v>-2.96</v>
      </c>
      <c r="B25" s="22">
        <f t="shared" si="0"/>
        <v>0.33783783783783783</v>
      </c>
      <c r="C25" s="35">
        <v>0.78800000000000003</v>
      </c>
      <c r="D25" s="48">
        <f t="shared" si="1"/>
        <v>0.39600000000000002</v>
      </c>
      <c r="E25" s="22">
        <f t="shared" si="2"/>
        <v>0.9204259888572538</v>
      </c>
      <c r="F25" s="49">
        <f t="shared" si="3"/>
        <v>92.042598885725383</v>
      </c>
      <c r="G25" s="49">
        <f t="shared" si="4"/>
        <v>7.9574011142746173</v>
      </c>
      <c r="H25" s="47">
        <f t="shared" si="5"/>
        <v>-2.9030622347365584</v>
      </c>
      <c r="I25" s="47">
        <f t="shared" si="6"/>
        <v>-5.693776526344152E-2</v>
      </c>
      <c r="J25" s="108">
        <f t="shared" si="7"/>
        <v>101.0204081632653</v>
      </c>
      <c r="Q25" s="9"/>
      <c r="R25" s="9"/>
    </row>
    <row r="26" spans="1:18" x14ac:dyDescent="0.35">
      <c r="A26" s="50">
        <v>-3.02</v>
      </c>
      <c r="B26" s="22">
        <f t="shared" si="0"/>
        <v>0.33112582781456956</v>
      </c>
      <c r="C26" s="35">
        <v>0.78300000000000003</v>
      </c>
      <c r="D26" s="48">
        <f t="shared" si="1"/>
        <v>0.39100000000000001</v>
      </c>
      <c r="E26" s="22">
        <f t="shared" si="2"/>
        <v>0.90880444859390463</v>
      </c>
      <c r="F26" s="49">
        <f t="shared" si="3"/>
        <v>90.880444859390465</v>
      </c>
      <c r="G26" s="49">
        <f t="shared" si="4"/>
        <v>9.1195551406095348</v>
      </c>
      <c r="H26" s="47">
        <f t="shared" si="5"/>
        <v>-2.9702130386446135</v>
      </c>
      <c r="I26" s="47">
        <f t="shared" si="6"/>
        <v>-4.9786961355386516E-2</v>
      </c>
      <c r="J26" s="108">
        <f t="shared" si="7"/>
        <v>99.744897959183675</v>
      </c>
      <c r="Q26" s="9"/>
      <c r="R26" s="9"/>
    </row>
    <row r="27" spans="1:18" x14ac:dyDescent="0.35">
      <c r="A27" s="50">
        <v>-3.11</v>
      </c>
      <c r="B27" s="22">
        <f t="shared" si="0"/>
        <v>0.32154340836012862</v>
      </c>
      <c r="C27" s="35">
        <v>0.77500000000000002</v>
      </c>
      <c r="D27" s="48">
        <f t="shared" si="1"/>
        <v>0.38300000000000001</v>
      </c>
      <c r="E27" s="22">
        <f t="shared" si="2"/>
        <v>0.89020998417254593</v>
      </c>
      <c r="F27" s="49">
        <f t="shared" si="3"/>
        <v>89.020998417254589</v>
      </c>
      <c r="G27" s="49">
        <f t="shared" si="4"/>
        <v>10.979001582745411</v>
      </c>
      <c r="H27" s="47">
        <f t="shared" si="5"/>
        <v>-3.0843642469799808</v>
      </c>
      <c r="I27" s="47">
        <f t="shared" si="6"/>
        <v>-2.5635753020019081E-2</v>
      </c>
      <c r="J27" s="108">
        <f t="shared" si="7"/>
        <v>97.704081632653057</v>
      </c>
      <c r="Q27" s="9"/>
      <c r="R27" s="9"/>
    </row>
    <row r="28" spans="1:18" x14ac:dyDescent="0.35">
      <c r="A28" s="50">
        <v>-3.26</v>
      </c>
      <c r="B28" s="22">
        <f t="shared" si="0"/>
        <v>0.30674846625766872</v>
      </c>
      <c r="C28" s="35">
        <v>0.76500000000000001</v>
      </c>
      <c r="D28" s="48">
        <f t="shared" si="1"/>
        <v>0.373</v>
      </c>
      <c r="E28" s="22">
        <f t="shared" si="2"/>
        <v>0.86696690364584761</v>
      </c>
      <c r="F28" s="49">
        <f t="shared" si="3"/>
        <v>86.696690364584754</v>
      </c>
      <c r="G28" s="49">
        <f t="shared" si="4"/>
        <v>13.303309635415246</v>
      </c>
      <c r="H28" s="47">
        <f t="shared" si="5"/>
        <v>-3.240014518305943</v>
      </c>
      <c r="I28" s="47">
        <f t="shared" si="6"/>
        <v>-1.9985481694056784E-2</v>
      </c>
      <c r="J28" s="108">
        <f t="shared" si="7"/>
        <v>95.15306122448979</v>
      </c>
      <c r="Q28" s="9"/>
      <c r="R28" s="9"/>
    </row>
    <row r="29" spans="1:18" x14ac:dyDescent="0.35">
      <c r="A29" s="50">
        <v>-3.37</v>
      </c>
      <c r="B29" s="22">
        <f t="shared" si="0"/>
        <v>0.29673590504451036</v>
      </c>
      <c r="C29" s="35">
        <v>0.755</v>
      </c>
      <c r="D29" s="48">
        <f t="shared" si="1"/>
        <v>0.36299999999999999</v>
      </c>
      <c r="E29" s="22">
        <f t="shared" si="2"/>
        <v>0.84372382311914929</v>
      </c>
      <c r="F29" s="49">
        <f t="shared" si="3"/>
        <v>84.372382311914933</v>
      </c>
      <c r="G29" s="49">
        <f t="shared" si="4"/>
        <v>15.627617688085067</v>
      </c>
      <c r="H29" s="47">
        <f t="shared" si="5"/>
        <v>-3.4122092573848097</v>
      </c>
      <c r="I29" s="47">
        <f t="shared" si="6"/>
        <v>4.2209257384809629E-2</v>
      </c>
      <c r="J29" s="108">
        <f t="shared" si="7"/>
        <v>92.602040816326522</v>
      </c>
      <c r="Q29" s="9"/>
      <c r="R29" s="9"/>
    </row>
    <row r="30" spans="1:18" x14ac:dyDescent="0.35">
      <c r="A30" s="50">
        <v>-3.51</v>
      </c>
      <c r="B30" s="22">
        <f t="shared" si="0"/>
        <v>0.28490028490028491</v>
      </c>
      <c r="C30" s="35">
        <v>0.748</v>
      </c>
      <c r="D30" s="48">
        <f t="shared" si="1"/>
        <v>0.35599999999999998</v>
      </c>
      <c r="E30" s="22">
        <f t="shared" si="2"/>
        <v>0.82745366675046039</v>
      </c>
      <c r="F30" s="49">
        <f t="shared" si="3"/>
        <v>82.745366675046043</v>
      </c>
      <c r="G30" s="49">
        <f t="shared" si="4"/>
        <v>17.254633324953957</v>
      </c>
      <c r="H30" s="47">
        <f t="shared" si="5"/>
        <v>-3.5440566727009868</v>
      </c>
      <c r="I30" s="47">
        <f t="shared" si="6"/>
        <v>3.4056672700987001E-2</v>
      </c>
      <c r="J30" s="108">
        <f t="shared" si="7"/>
        <v>90.81632653061223</v>
      </c>
    </row>
    <row r="32" spans="1:18" x14ac:dyDescent="0.35">
      <c r="A32" s="50"/>
      <c r="B32" s="22"/>
      <c r="C32" s="35"/>
      <c r="D32" s="48"/>
      <c r="E32" s="22"/>
      <c r="F32" s="49"/>
      <c r="G32" s="49"/>
      <c r="H32" s="47"/>
      <c r="I32" s="47"/>
    </row>
    <row r="33" spans="1:18" ht="15" x14ac:dyDescent="0.4">
      <c r="A33" s="13" t="s">
        <v>4</v>
      </c>
      <c r="B33" s="13"/>
      <c r="C33" s="23"/>
      <c r="D33" s="14"/>
      <c r="F33" s="34" t="s">
        <v>14</v>
      </c>
    </row>
    <row r="34" spans="1:18" x14ac:dyDescent="0.35">
      <c r="A34" s="3" t="s">
        <v>26</v>
      </c>
      <c r="B34" s="27">
        <f>STDEV(D12:D23)/STDEV(A12:A23)</f>
        <v>9.2954027811823405E-3</v>
      </c>
      <c r="C34" s="5" t="s">
        <v>24</v>
      </c>
      <c r="D34" s="28">
        <f>COUNT(D12:D23)</f>
        <v>12</v>
      </c>
      <c r="F34" s="35" t="s">
        <v>26</v>
      </c>
      <c r="G34" s="30">
        <f>-STDEV(B23:B30)/STDEV(G23:G30)</f>
        <v>-6.7010611133148223E-3</v>
      </c>
      <c r="H34" s="5" t="s">
        <v>24</v>
      </c>
      <c r="I34" s="28">
        <f>COUNT(B23:B30)</f>
        <v>8</v>
      </c>
      <c r="Q34" s="15"/>
      <c r="R34" s="15"/>
    </row>
    <row r="35" spans="1:18" ht="15.5" x14ac:dyDescent="0.35">
      <c r="A35" s="3" t="s">
        <v>3</v>
      </c>
      <c r="B35" s="24">
        <f>AVERAGE(D12:D23)-B34*AVERAGE(A12:A23)</f>
        <v>0.43023557004474644</v>
      </c>
      <c r="C35" s="26" t="s">
        <v>7</v>
      </c>
      <c r="F35" s="35" t="s">
        <v>3</v>
      </c>
      <c r="G35" s="31">
        <f>AVERAGE(B23:B30)-G34*AVERAGE(G23:G30)</f>
        <v>0.39778688317918554</v>
      </c>
      <c r="H35" s="25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4"/>
  <sheetViews>
    <sheetView zoomScale="60" zoomScaleNormal="60" workbookViewId="0">
      <selection activeCell="M15" sqref="M15:O30"/>
    </sheetView>
  </sheetViews>
  <sheetFormatPr defaultColWidth="11.453125" defaultRowHeight="14.5" x14ac:dyDescent="0.35"/>
  <cols>
    <col min="1" max="1" width="15.453125" customWidth="1"/>
    <col min="2" max="2" width="10.26953125" customWidth="1"/>
    <col min="3" max="3" width="7.1796875" customWidth="1"/>
    <col min="4" max="4" width="14.1796875" customWidth="1"/>
    <col min="5" max="5" width="9.81640625" customWidth="1"/>
    <col min="6" max="7" width="10.7265625" customWidth="1"/>
    <col min="8" max="8" width="11.7265625" customWidth="1"/>
    <col min="9" max="9" width="11.1796875" customWidth="1"/>
    <col min="10" max="10" width="12.54296875" customWidth="1"/>
    <col min="11" max="12" width="7.08984375" customWidth="1"/>
    <col min="13" max="13" width="19.1796875" customWidth="1"/>
    <col min="14" max="14" width="9.54296875" customWidth="1"/>
    <col min="15" max="16" width="7.453125" bestFit="1" customWidth="1"/>
    <col min="17" max="17" width="7" customWidth="1"/>
    <col min="18" max="18" width="8" customWidth="1"/>
    <col min="19" max="19" width="8.26953125" bestFit="1" customWidth="1"/>
  </cols>
  <sheetData>
    <row r="1" spans="1:20" x14ac:dyDescent="0.35">
      <c r="A1" t="s">
        <v>38</v>
      </c>
      <c r="B1" s="123">
        <v>44812</v>
      </c>
      <c r="M1" s="17"/>
    </row>
    <row r="2" spans="1:20" x14ac:dyDescent="0.35">
      <c r="A2" s="1" t="s">
        <v>21</v>
      </c>
      <c r="B2" s="2"/>
      <c r="C2" s="4"/>
      <c r="M2" s="17"/>
    </row>
    <row r="3" spans="1:20" x14ac:dyDescent="0.35">
      <c r="A3" s="3" t="s">
        <v>25</v>
      </c>
      <c r="B3" s="29"/>
      <c r="C3" s="3"/>
      <c r="D3" t="s">
        <v>15</v>
      </c>
      <c r="E3">
        <v>16.427</v>
      </c>
      <c r="J3" s="116"/>
    </row>
    <row r="4" spans="1:20" x14ac:dyDescent="0.35">
      <c r="A4" s="3" t="s">
        <v>22</v>
      </c>
      <c r="B4" s="102">
        <v>0.35699999999999998</v>
      </c>
      <c r="J4" s="9"/>
    </row>
    <row r="5" spans="1:20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20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20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B33/B4</f>
        <v>1.0289477154994704</v>
      </c>
      <c r="O7" t="s">
        <v>11</v>
      </c>
    </row>
    <row r="8" spans="1:20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-1/G33</f>
        <v>-2.5779820563154439</v>
      </c>
      <c r="O8" t="s">
        <v>12</v>
      </c>
    </row>
    <row r="9" spans="1:20" ht="15" x14ac:dyDescent="0.4">
      <c r="A9" s="47">
        <v>-5.0999999999999997E-2</v>
      </c>
      <c r="B9" s="22">
        <f t="shared" ref="B9:B28" si="0">-1/A9</f>
        <v>19.607843137254903</v>
      </c>
      <c r="C9">
        <v>0.72299999999999998</v>
      </c>
      <c r="D9" s="48">
        <f t="shared" ref="D9:D28" si="1">C9-$B$3-$B$4</f>
        <v>0.36599999999999999</v>
      </c>
      <c r="E9" s="22">
        <f t="shared" ref="E9:E28" si="2">(D9/$B$33)</f>
        <v>0.9963675205167809</v>
      </c>
      <c r="F9" s="49">
        <f t="shared" ref="F9:F28" si="3">100*E9</f>
        <v>99.636752051678087</v>
      </c>
      <c r="G9" s="49">
        <f t="shared" ref="G9:G28" si="4">100-F9</f>
        <v>0.36324794832191287</v>
      </c>
      <c r="H9" s="47">
        <f t="shared" ref="H9:H28" si="5">-1/($G$33+$G$32*G9)</f>
        <v>-2.5922213918870347</v>
      </c>
      <c r="I9" s="47">
        <f>A9-H9</f>
        <v>2.5412213918870346</v>
      </c>
      <c r="J9" s="108">
        <f>D9/$B$4*100</f>
        <v>102.52100840336136</v>
      </c>
      <c r="K9" s="10"/>
      <c r="L9" s="10"/>
      <c r="M9" s="53" t="s">
        <v>23</v>
      </c>
      <c r="N9" s="40">
        <f>H24</f>
        <v>-3.0461639691085693</v>
      </c>
      <c r="O9" t="s">
        <v>5</v>
      </c>
    </row>
    <row r="10" spans="1:20" ht="15.5" thickBot="1" x14ac:dyDescent="0.45">
      <c r="A10" s="50">
        <v>-9.4E-2</v>
      </c>
      <c r="B10" s="22">
        <f t="shared" si="0"/>
        <v>10.638297872340425</v>
      </c>
      <c r="C10">
        <v>0.72299999999999998</v>
      </c>
      <c r="D10" s="48">
        <f t="shared" si="1"/>
        <v>0.36599999999999999</v>
      </c>
      <c r="E10" s="22">
        <f t="shared" si="2"/>
        <v>0.9963675205167809</v>
      </c>
      <c r="F10" s="49">
        <f t="shared" si="3"/>
        <v>99.636752051678087</v>
      </c>
      <c r="G10" s="49">
        <f t="shared" si="4"/>
        <v>0.36324794832191287</v>
      </c>
      <c r="H10" s="47">
        <f t="shared" si="5"/>
        <v>-2.5922213918870347</v>
      </c>
      <c r="I10" s="47">
        <f t="shared" ref="I10:I28" si="6">A10-H10</f>
        <v>2.4982213918870348</v>
      </c>
      <c r="J10" s="108">
        <f>D10/$B$4*100</f>
        <v>102.52100840336136</v>
      </c>
      <c r="K10" s="10"/>
      <c r="L10" s="10"/>
      <c r="M10" s="54" t="s">
        <v>31</v>
      </c>
      <c r="N10" s="41">
        <f>F24</f>
        <v>89.836415784299945</v>
      </c>
      <c r="O10" t="s">
        <v>6</v>
      </c>
    </row>
    <row r="11" spans="1:20" ht="16.5" customHeight="1" thickBot="1" x14ac:dyDescent="0.45">
      <c r="A11" s="50">
        <v>-0.23200000000000001</v>
      </c>
      <c r="B11" s="22">
        <f t="shared" si="0"/>
        <v>4.3103448275862064</v>
      </c>
      <c r="C11">
        <v>0.72</v>
      </c>
      <c r="D11" s="48">
        <f t="shared" si="1"/>
        <v>0.36299999999999999</v>
      </c>
      <c r="E11" s="22">
        <f t="shared" si="2"/>
        <v>0.98820057362729907</v>
      </c>
      <c r="F11" s="49">
        <f t="shared" si="3"/>
        <v>98.820057362729912</v>
      </c>
      <c r="G11" s="49">
        <f t="shared" si="4"/>
        <v>1.1799426372700879</v>
      </c>
      <c r="H11" s="47">
        <f t="shared" si="5"/>
        <v>-2.6248174817142398</v>
      </c>
      <c r="I11" s="47">
        <f t="shared" si="6"/>
        <v>2.3928174817142396</v>
      </c>
      <c r="J11" s="108">
        <f>D11/$B$4*100</f>
        <v>101.68067226890756</v>
      </c>
      <c r="K11" s="10"/>
      <c r="L11" s="10"/>
      <c r="M11" s="55" t="s">
        <v>1</v>
      </c>
      <c r="N11" s="42">
        <f>STDEV(I9:I24)/STDEV(E9:E24)</f>
        <v>28.424856899315394</v>
      </c>
      <c r="O11" t="s">
        <v>8</v>
      </c>
    </row>
    <row r="12" spans="1:20" ht="16" x14ac:dyDescent="0.4">
      <c r="A12" s="47">
        <v>-0.45400000000000001</v>
      </c>
      <c r="B12" s="22">
        <f t="shared" si="0"/>
        <v>2.2026431718061672</v>
      </c>
      <c r="C12">
        <v>0.71799999999999997</v>
      </c>
      <c r="D12" s="48">
        <f t="shared" si="1"/>
        <v>0.36099999999999999</v>
      </c>
      <c r="E12" s="22">
        <f t="shared" si="2"/>
        <v>0.98275594236764452</v>
      </c>
      <c r="F12" s="49">
        <f t="shared" si="3"/>
        <v>98.275594236764448</v>
      </c>
      <c r="G12" s="49">
        <f t="shared" si="4"/>
        <v>1.7244057632355521</v>
      </c>
      <c r="H12" s="47">
        <f t="shared" si="5"/>
        <v>-2.6470074829120094</v>
      </c>
      <c r="I12" s="47">
        <f t="shared" si="6"/>
        <v>2.1930074829120092</v>
      </c>
      <c r="J12" s="108">
        <f>D12/$B$4*100</f>
        <v>101.1204481792717</v>
      </c>
      <c r="K12" s="10"/>
      <c r="L12" s="10"/>
      <c r="M12" s="53" t="s">
        <v>33</v>
      </c>
      <c r="N12" s="43">
        <f>STDEV(E9:E24)/STDEV(A9:A24)</f>
        <v>3.0400957985496333E-2</v>
      </c>
      <c r="O12" t="s">
        <v>9</v>
      </c>
    </row>
    <row r="13" spans="1:20" ht="16.5" thickBot="1" x14ac:dyDescent="0.45">
      <c r="A13" s="47">
        <v>-0.77</v>
      </c>
      <c r="B13" s="22">
        <f t="shared" si="0"/>
        <v>1.2987012987012987</v>
      </c>
      <c r="C13">
        <v>0.71499999999999997</v>
      </c>
      <c r="D13" s="48">
        <f t="shared" si="1"/>
        <v>0.35799999999999998</v>
      </c>
      <c r="E13" s="22">
        <f t="shared" si="2"/>
        <v>0.9745889954781628</v>
      </c>
      <c r="F13" s="49">
        <f t="shared" si="3"/>
        <v>97.458899547816287</v>
      </c>
      <c r="G13" s="49">
        <f t="shared" si="4"/>
        <v>2.5411004521837128</v>
      </c>
      <c r="H13" s="47">
        <f t="shared" si="5"/>
        <v>-2.6810049919176775</v>
      </c>
      <c r="I13" s="47">
        <f t="shared" si="6"/>
        <v>1.9110049919176775</v>
      </c>
      <c r="J13" s="108">
        <f t="shared" ref="J13:J28" si="7">D13/$B$4*100</f>
        <v>100.28011204481793</v>
      </c>
      <c r="K13" s="10"/>
      <c r="L13" s="10"/>
      <c r="M13" s="54" t="s">
        <v>0</v>
      </c>
      <c r="N13" s="41">
        <f>STDEV(E24:E28)/STDEV(A24:A28)</f>
        <v>0.15741133934632576</v>
      </c>
      <c r="O13" t="s">
        <v>10</v>
      </c>
    </row>
    <row r="14" spans="1:20" ht="16" x14ac:dyDescent="0.4">
      <c r="A14" s="50">
        <v>-0.93899999999999995</v>
      </c>
      <c r="B14" s="22">
        <f t="shared" si="0"/>
        <v>1.0649627263045793</v>
      </c>
      <c r="C14">
        <v>0.71399999999999997</v>
      </c>
      <c r="D14" s="48">
        <f t="shared" si="1"/>
        <v>0.35699999999999998</v>
      </c>
      <c r="E14" s="22">
        <f t="shared" si="2"/>
        <v>0.97186667984833552</v>
      </c>
      <c r="F14" s="49">
        <f t="shared" si="3"/>
        <v>97.186667984833548</v>
      </c>
      <c r="G14" s="49">
        <f t="shared" si="4"/>
        <v>2.813332015166452</v>
      </c>
      <c r="H14" s="47">
        <f t="shared" si="5"/>
        <v>-2.6925323985025464</v>
      </c>
      <c r="I14" s="47">
        <f t="shared" si="6"/>
        <v>1.7535323985025464</v>
      </c>
      <c r="J14" s="108">
        <f t="shared" si="7"/>
        <v>100</v>
      </c>
      <c r="K14" s="10"/>
      <c r="L14" s="10"/>
      <c r="M14" s="56" t="s">
        <v>16</v>
      </c>
      <c r="N14" s="44">
        <f>N12*B33/18/(E3/10000)</f>
        <v>0.37767481949559145</v>
      </c>
    </row>
    <row r="15" spans="1:20" x14ac:dyDescent="0.35">
      <c r="A15" s="50">
        <v>-1.4139999999999999</v>
      </c>
      <c r="B15" s="22">
        <f t="shared" si="0"/>
        <v>0.70721357850070721</v>
      </c>
      <c r="C15">
        <v>0.71</v>
      </c>
      <c r="D15" s="48">
        <f t="shared" si="1"/>
        <v>0.35299999999999998</v>
      </c>
      <c r="E15" s="22">
        <f t="shared" si="2"/>
        <v>0.96097741732902642</v>
      </c>
      <c r="F15" s="49">
        <f t="shared" si="3"/>
        <v>96.097741732902648</v>
      </c>
      <c r="G15" s="49">
        <f t="shared" si="4"/>
        <v>3.902258267097352</v>
      </c>
      <c r="H15" s="47">
        <f t="shared" si="5"/>
        <v>-2.7396506501127509</v>
      </c>
      <c r="I15" s="47">
        <f t="shared" si="6"/>
        <v>1.325650650112751</v>
      </c>
      <c r="J15" s="108">
        <f t="shared" si="7"/>
        <v>98.879551820728295</v>
      </c>
      <c r="K15" s="10"/>
      <c r="L15" s="10"/>
    </row>
    <row r="16" spans="1:20" x14ac:dyDescent="0.35">
      <c r="A16" s="50">
        <v>-1.73</v>
      </c>
      <c r="B16" s="22">
        <f t="shared" si="0"/>
        <v>0.5780346820809249</v>
      </c>
      <c r="C16" s="3">
        <v>0.70699999999999996</v>
      </c>
      <c r="D16" s="48">
        <f t="shared" si="1"/>
        <v>0.35</v>
      </c>
      <c r="E16" s="22">
        <f t="shared" si="2"/>
        <v>0.95281047043954459</v>
      </c>
      <c r="F16" s="49">
        <f t="shared" si="3"/>
        <v>95.281047043954459</v>
      </c>
      <c r="G16" s="49">
        <f t="shared" si="4"/>
        <v>4.7189529560455412</v>
      </c>
      <c r="H16" s="47">
        <f t="shared" si="5"/>
        <v>-2.776085954447236</v>
      </c>
      <c r="I16" s="47">
        <f t="shared" si="6"/>
        <v>1.0460859544472361</v>
      </c>
      <c r="J16" s="108">
        <f t="shared" si="7"/>
        <v>98.039215686274503</v>
      </c>
      <c r="K16" s="10"/>
      <c r="L16" s="10"/>
      <c r="P16" s="3"/>
      <c r="Q16" s="3"/>
      <c r="R16" s="3"/>
      <c r="S16" s="3"/>
      <c r="T16" s="3"/>
    </row>
    <row r="17" spans="1:18" x14ac:dyDescent="0.35">
      <c r="A17" s="50">
        <v>-2.0099999999999998</v>
      </c>
      <c r="B17" s="22">
        <f t="shared" si="0"/>
        <v>0.49751243781094534</v>
      </c>
      <c r="C17" s="35">
        <v>0.70499999999999996</v>
      </c>
      <c r="D17" s="48">
        <f t="shared" si="1"/>
        <v>0.34799999999999998</v>
      </c>
      <c r="E17" s="22">
        <f t="shared" si="2"/>
        <v>0.94736583917989003</v>
      </c>
      <c r="F17" s="49">
        <f t="shared" si="3"/>
        <v>94.736583917989009</v>
      </c>
      <c r="G17" s="49">
        <f t="shared" si="4"/>
        <v>5.2634160820109912</v>
      </c>
      <c r="H17" s="47">
        <f t="shared" si="5"/>
        <v>-2.8009193761543276</v>
      </c>
      <c r="I17" s="47">
        <f t="shared" si="6"/>
        <v>0.79091937615432784</v>
      </c>
      <c r="J17" s="108">
        <f t="shared" si="7"/>
        <v>97.47899159663865</v>
      </c>
      <c r="K17" s="10"/>
      <c r="L17" s="10"/>
    </row>
    <row r="18" spans="1:18" x14ac:dyDescent="0.35">
      <c r="A18" s="50">
        <v>-2.16</v>
      </c>
      <c r="B18" s="22">
        <f t="shared" si="0"/>
        <v>0.46296296296296291</v>
      </c>
      <c r="C18" s="35">
        <v>0.70299999999999996</v>
      </c>
      <c r="D18" s="48">
        <f t="shared" si="1"/>
        <v>0.34599999999999997</v>
      </c>
      <c r="E18" s="22">
        <f t="shared" si="2"/>
        <v>0.94192120792023548</v>
      </c>
      <c r="F18" s="49">
        <f t="shared" si="3"/>
        <v>94.192120792023545</v>
      </c>
      <c r="G18" s="49">
        <f t="shared" si="4"/>
        <v>5.8078792079764554</v>
      </c>
      <c r="H18" s="47">
        <f t="shared" si="5"/>
        <v>-2.8262011019166411</v>
      </c>
      <c r="I18" s="47">
        <f t="shared" si="6"/>
        <v>0.66620110191664095</v>
      </c>
      <c r="J18" s="108">
        <f t="shared" si="7"/>
        <v>96.918767507002798</v>
      </c>
      <c r="K18" s="10"/>
      <c r="L18" s="10"/>
    </row>
    <row r="19" spans="1:18" x14ac:dyDescent="0.35">
      <c r="A19" s="50">
        <v>-2.13</v>
      </c>
      <c r="B19" s="22">
        <f t="shared" si="0"/>
        <v>0.46948356807511737</v>
      </c>
      <c r="C19" s="35">
        <v>0.70099999999999996</v>
      </c>
      <c r="D19" s="48">
        <f t="shared" si="1"/>
        <v>0.34399999999999997</v>
      </c>
      <c r="E19" s="22">
        <f t="shared" si="2"/>
        <v>0.93647657666058093</v>
      </c>
      <c r="F19" s="49">
        <f t="shared" si="3"/>
        <v>93.647657666058095</v>
      </c>
      <c r="G19" s="49">
        <f t="shared" si="4"/>
        <v>6.3523423339419054</v>
      </c>
      <c r="H19" s="47">
        <f t="shared" si="5"/>
        <v>-2.8519433817843725</v>
      </c>
      <c r="I19" s="47">
        <f t="shared" si="6"/>
        <v>0.72194338178437256</v>
      </c>
      <c r="J19" s="108">
        <f t="shared" si="7"/>
        <v>96.358543417366946</v>
      </c>
      <c r="K19" s="10"/>
      <c r="L19" s="10"/>
    </row>
    <row r="20" spans="1:18" x14ac:dyDescent="0.35">
      <c r="A20" s="50">
        <v>-2.39</v>
      </c>
      <c r="B20" s="22">
        <f t="shared" si="0"/>
        <v>0.41841004184100417</v>
      </c>
      <c r="C20" s="35">
        <v>0.69899999999999995</v>
      </c>
      <c r="D20" s="48">
        <f t="shared" si="1"/>
        <v>0.34199999999999997</v>
      </c>
      <c r="E20" s="22">
        <f t="shared" si="2"/>
        <v>0.93103194540092638</v>
      </c>
      <c r="F20" s="49">
        <f t="shared" si="3"/>
        <v>93.10319454009263</v>
      </c>
      <c r="G20" s="49">
        <f t="shared" si="4"/>
        <v>6.8968054599073696</v>
      </c>
      <c r="H20" s="47">
        <f t="shared" si="5"/>
        <v>-2.8781589162256558</v>
      </c>
      <c r="I20" s="47">
        <f t="shared" si="6"/>
        <v>0.48815891622565566</v>
      </c>
      <c r="J20" s="108">
        <f t="shared" si="7"/>
        <v>95.798319327731079</v>
      </c>
      <c r="K20" s="10"/>
      <c r="L20" s="10"/>
      <c r="P20" s="10"/>
      <c r="Q20" s="9"/>
      <c r="R20" s="9"/>
    </row>
    <row r="21" spans="1:18" x14ac:dyDescent="0.35">
      <c r="A21" s="50">
        <v>-2.46</v>
      </c>
      <c r="B21" s="22">
        <f t="shared" si="0"/>
        <v>0.4065040650406504</v>
      </c>
      <c r="C21" s="35">
        <v>0.69599999999999995</v>
      </c>
      <c r="D21" s="48">
        <f t="shared" si="1"/>
        <v>0.33899999999999997</v>
      </c>
      <c r="E21" s="22">
        <f t="shared" si="2"/>
        <v>0.92286499851144455</v>
      </c>
      <c r="F21" s="49">
        <f t="shared" si="3"/>
        <v>92.286499851144455</v>
      </c>
      <c r="G21" s="49">
        <f t="shared" si="4"/>
        <v>7.7135001488555446</v>
      </c>
      <c r="H21" s="47">
        <f t="shared" si="5"/>
        <v>-2.9183985177607381</v>
      </c>
      <c r="I21" s="47">
        <f t="shared" si="6"/>
        <v>0.45839851776073814</v>
      </c>
      <c r="J21" s="108">
        <f t="shared" si="7"/>
        <v>94.9579831932773</v>
      </c>
      <c r="K21" s="10"/>
      <c r="L21" s="10"/>
      <c r="P21" s="10"/>
      <c r="Q21" s="9"/>
      <c r="R21" s="9"/>
    </row>
    <row r="22" spans="1:18" x14ac:dyDescent="0.35">
      <c r="A22" s="50">
        <v>-2.5299999999999998</v>
      </c>
      <c r="B22" s="6">
        <f t="shared" si="0"/>
        <v>0.39525691699604748</v>
      </c>
      <c r="C22" s="35">
        <v>0.69499999999999995</v>
      </c>
      <c r="D22" s="48">
        <f t="shared" si="1"/>
        <v>0.33799999999999997</v>
      </c>
      <c r="E22" s="22">
        <f t="shared" si="2"/>
        <v>0.92014268288161727</v>
      </c>
      <c r="F22" s="49">
        <f t="shared" si="3"/>
        <v>92.01426828816173</v>
      </c>
      <c r="G22" s="49">
        <f t="shared" si="4"/>
        <v>7.9857317118382696</v>
      </c>
      <c r="H22" s="47">
        <f t="shared" si="5"/>
        <v>-2.9320629293268445</v>
      </c>
      <c r="I22" s="47">
        <f t="shared" si="6"/>
        <v>0.40206292932684473</v>
      </c>
      <c r="J22" s="108">
        <f t="shared" si="7"/>
        <v>94.677871148459374</v>
      </c>
      <c r="K22" s="10"/>
      <c r="L22" s="10"/>
      <c r="P22" s="10"/>
      <c r="Q22" s="9"/>
      <c r="R22" s="9"/>
    </row>
    <row r="23" spans="1:18" ht="15" thickBot="1" x14ac:dyDescent="0.4">
      <c r="A23" s="50">
        <v>-2.79</v>
      </c>
      <c r="B23" s="6">
        <f t="shared" si="0"/>
        <v>0.35842293906810035</v>
      </c>
      <c r="C23" s="35">
        <v>0.69199999999999995</v>
      </c>
      <c r="D23" s="48">
        <f t="shared" si="1"/>
        <v>0.33499999999999996</v>
      </c>
      <c r="E23" s="22">
        <f t="shared" si="2"/>
        <v>0.91197573599213544</v>
      </c>
      <c r="F23" s="49">
        <f t="shared" si="3"/>
        <v>91.197573599213541</v>
      </c>
      <c r="G23" s="49">
        <f t="shared" si="4"/>
        <v>8.8024264007864588</v>
      </c>
      <c r="H23" s="47">
        <f t="shared" si="5"/>
        <v>-2.9738348495077287</v>
      </c>
      <c r="I23" s="47">
        <f t="shared" si="6"/>
        <v>0.18383484950772866</v>
      </c>
      <c r="J23" s="108">
        <f t="shared" si="7"/>
        <v>93.837535014005596</v>
      </c>
      <c r="K23" s="10"/>
      <c r="L23" s="10"/>
      <c r="P23" s="10"/>
      <c r="Q23" s="9"/>
      <c r="R23" s="9"/>
    </row>
    <row r="24" spans="1:18" ht="15" thickBot="1" x14ac:dyDescent="0.4">
      <c r="A24" s="64">
        <v>-3.04</v>
      </c>
      <c r="B24" s="61">
        <f t="shared" si="0"/>
        <v>0.32894736842105265</v>
      </c>
      <c r="C24" s="66">
        <v>0.68700000000000006</v>
      </c>
      <c r="D24" s="60">
        <f t="shared" si="1"/>
        <v>0.33000000000000007</v>
      </c>
      <c r="E24" s="61">
        <f t="shared" si="2"/>
        <v>0.89836415784299939</v>
      </c>
      <c r="F24" s="58">
        <f t="shared" si="3"/>
        <v>89.836415784299945</v>
      </c>
      <c r="G24" s="58">
        <f t="shared" si="4"/>
        <v>10.163584215700055</v>
      </c>
      <c r="H24" s="59">
        <f t="shared" si="5"/>
        <v>-3.0461639691085693</v>
      </c>
      <c r="I24" s="59">
        <f t="shared" si="6"/>
        <v>6.1639691085693116E-3</v>
      </c>
      <c r="J24" s="115">
        <f t="shared" si="7"/>
        <v>92.436974789915993</v>
      </c>
      <c r="K24" s="10"/>
      <c r="L24" s="10"/>
      <c r="Q24" s="9"/>
      <c r="R24" s="9"/>
    </row>
    <row r="25" spans="1:18" x14ac:dyDescent="0.35">
      <c r="A25" s="50">
        <v>-3.17</v>
      </c>
      <c r="B25" s="22">
        <f t="shared" si="0"/>
        <v>0.31545741324921134</v>
      </c>
      <c r="C25" s="35">
        <v>0.67900000000000005</v>
      </c>
      <c r="D25" s="48">
        <f t="shared" si="1"/>
        <v>0.32200000000000006</v>
      </c>
      <c r="E25" s="22">
        <f t="shared" si="2"/>
        <v>0.87658563280438118</v>
      </c>
      <c r="F25" s="49">
        <f t="shared" si="3"/>
        <v>87.658563280438116</v>
      </c>
      <c r="G25" s="49">
        <f t="shared" si="4"/>
        <v>12.341436719561884</v>
      </c>
      <c r="H25" s="47">
        <f t="shared" si="5"/>
        <v>-3.1695050538515663</v>
      </c>
      <c r="I25" s="47">
        <f t="shared" si="6"/>
        <v>-4.9494614843359486E-4</v>
      </c>
      <c r="J25" s="108">
        <f t="shared" si="7"/>
        <v>90.19607843137257</v>
      </c>
      <c r="Q25" s="9"/>
      <c r="R25" s="9"/>
    </row>
    <row r="26" spans="1:18" x14ac:dyDescent="0.35">
      <c r="A26" s="50">
        <v>-3.34</v>
      </c>
      <c r="B26" s="22">
        <f t="shared" si="0"/>
        <v>0.29940119760479045</v>
      </c>
      <c r="C26" s="35">
        <v>0.67</v>
      </c>
      <c r="D26" s="48">
        <f t="shared" si="1"/>
        <v>0.31300000000000006</v>
      </c>
      <c r="E26" s="22">
        <f t="shared" si="2"/>
        <v>0.8520847921359358</v>
      </c>
      <c r="F26" s="49">
        <f t="shared" si="3"/>
        <v>85.208479213593577</v>
      </c>
      <c r="G26" s="49">
        <f t="shared" si="4"/>
        <v>14.791520786406423</v>
      </c>
      <c r="H26" s="47">
        <f t="shared" si="5"/>
        <v>-3.3207727402383092</v>
      </c>
      <c r="I26" s="47">
        <f t="shared" si="6"/>
        <v>-1.9227259761690707E-2</v>
      </c>
      <c r="J26" s="108">
        <f t="shared" si="7"/>
        <v>87.67507002801122</v>
      </c>
      <c r="Q26" s="9"/>
      <c r="R26" s="9"/>
    </row>
    <row r="27" spans="1:18" x14ac:dyDescent="0.35">
      <c r="A27" s="50">
        <v>-3.48</v>
      </c>
      <c r="B27" s="22">
        <f t="shared" si="0"/>
        <v>0.28735632183908044</v>
      </c>
      <c r="C27" s="35">
        <v>0.66100000000000003</v>
      </c>
      <c r="D27" s="48">
        <f t="shared" si="1"/>
        <v>0.30400000000000005</v>
      </c>
      <c r="E27" s="22">
        <f t="shared" si="2"/>
        <v>0.82758395146749031</v>
      </c>
      <c r="F27" s="49">
        <f t="shared" si="3"/>
        <v>82.758395146749024</v>
      </c>
      <c r="G27" s="49">
        <f t="shared" si="4"/>
        <v>17.241604853250976</v>
      </c>
      <c r="H27" s="47">
        <f t="shared" si="5"/>
        <v>-3.4872028609593797</v>
      </c>
      <c r="I27" s="47">
        <f t="shared" si="6"/>
        <v>7.2028609593797199E-3</v>
      </c>
      <c r="J27" s="108">
        <f t="shared" si="7"/>
        <v>85.154061624649884</v>
      </c>
      <c r="Q27" s="9"/>
      <c r="R27" s="9"/>
    </row>
    <row r="28" spans="1:18" x14ac:dyDescent="0.35">
      <c r="A28" s="50">
        <v>-3.56</v>
      </c>
      <c r="B28" s="22">
        <f t="shared" si="0"/>
        <v>0.2808988764044944</v>
      </c>
      <c r="C28" s="35">
        <v>0.65700000000000003</v>
      </c>
      <c r="D28" s="48">
        <f t="shared" si="1"/>
        <v>0.30000000000000004</v>
      </c>
      <c r="E28" s="22">
        <f t="shared" si="2"/>
        <v>0.8166946889481812</v>
      </c>
      <c r="F28" s="49">
        <f t="shared" si="3"/>
        <v>81.669468894818124</v>
      </c>
      <c r="G28" s="49">
        <f t="shared" si="4"/>
        <v>18.330531105181876</v>
      </c>
      <c r="H28" s="47">
        <f t="shared" si="5"/>
        <v>-3.56664859409549</v>
      </c>
      <c r="I28" s="47">
        <f t="shared" si="6"/>
        <v>6.6485940954899014E-3</v>
      </c>
      <c r="J28" s="108">
        <f t="shared" si="7"/>
        <v>84.033613445378165</v>
      </c>
      <c r="Q28" s="9"/>
      <c r="R28" s="9"/>
    </row>
    <row r="29" spans="1:18" x14ac:dyDescent="0.35">
      <c r="Q29" s="9"/>
      <c r="R29" s="9"/>
    </row>
    <row r="30" spans="1:18" x14ac:dyDescent="0.35">
      <c r="A30" s="50"/>
      <c r="B30" s="6"/>
      <c r="C30" s="35"/>
      <c r="D30" s="48"/>
      <c r="E30" s="22"/>
      <c r="F30" s="49"/>
      <c r="G30" s="49"/>
      <c r="H30" s="47"/>
      <c r="I30" s="47"/>
    </row>
    <row r="31" spans="1:18" ht="15" x14ac:dyDescent="0.4">
      <c r="A31" s="13" t="s">
        <v>4</v>
      </c>
      <c r="B31" s="13"/>
      <c r="C31" s="23"/>
      <c r="D31" s="14"/>
      <c r="F31" s="34" t="s">
        <v>14</v>
      </c>
    </row>
    <row r="32" spans="1:18" x14ac:dyDescent="0.35">
      <c r="A32" s="3" t="s">
        <v>26</v>
      </c>
      <c r="B32" s="27">
        <f>STDEV(D9:D24)/STDEV(A9:A24)</f>
        <v>1.1167315667737342E-2</v>
      </c>
      <c r="C32" s="5" t="s">
        <v>24</v>
      </c>
      <c r="D32" s="28">
        <f>COUNT(D9:D24)</f>
        <v>16</v>
      </c>
      <c r="F32" s="35" t="s">
        <v>26</v>
      </c>
      <c r="G32" s="30">
        <f>-STDEV(B24:B28)/STDEV(G24:G28)</f>
        <v>-5.8658989129454575E-3</v>
      </c>
      <c r="H32" s="5" t="s">
        <v>24</v>
      </c>
      <c r="I32" s="28">
        <f>COUNT(B24:B28)</f>
        <v>5</v>
      </c>
    </row>
    <row r="33" spans="1:18" ht="15.5" x14ac:dyDescent="0.35">
      <c r="A33" s="3" t="s">
        <v>3</v>
      </c>
      <c r="B33" s="24">
        <f>AVERAGE(D9:D24)-B32*AVERAGE(A9:A24)</f>
        <v>0.36733433443331093</v>
      </c>
      <c r="C33" s="26" t="s">
        <v>7</v>
      </c>
      <c r="F33" s="35" t="s">
        <v>3</v>
      </c>
      <c r="G33" s="31">
        <f>AVERAGE(B24:B28)-G32*AVERAGE(G24:G28)</f>
        <v>0.38790029494202161</v>
      </c>
      <c r="H33" s="25"/>
    </row>
    <row r="34" spans="1:18" x14ac:dyDescent="0.35">
      <c r="Q34" s="15"/>
      <c r="R34" s="15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F94E-DB6E-45A1-AACE-495E85B451BC}">
  <dimension ref="A1:N26"/>
  <sheetViews>
    <sheetView zoomScale="60" zoomScaleNormal="60" workbookViewId="0">
      <selection activeCell="N19" sqref="N19"/>
    </sheetView>
  </sheetViews>
  <sheetFormatPr defaultRowHeight="14.5" x14ac:dyDescent="0.35"/>
  <cols>
    <col min="7" max="7" width="9.453125" bestFit="1" customWidth="1"/>
    <col min="13" max="13" width="18.36328125" bestFit="1" customWidth="1"/>
  </cols>
  <sheetData>
    <row r="1" spans="1:14" x14ac:dyDescent="0.35">
      <c r="A1" t="s">
        <v>38</v>
      </c>
      <c r="B1" s="123">
        <v>44847</v>
      </c>
      <c r="M1" s="17"/>
    </row>
    <row r="2" spans="1:14" x14ac:dyDescent="0.35">
      <c r="A2" s="1" t="s">
        <v>21</v>
      </c>
      <c r="B2" s="2"/>
      <c r="C2" s="4"/>
      <c r="M2" s="17"/>
    </row>
    <row r="3" spans="1:14" x14ac:dyDescent="0.35">
      <c r="A3" s="3" t="s">
        <v>25</v>
      </c>
      <c r="B3" s="29"/>
      <c r="C3" s="3"/>
      <c r="D3" t="s">
        <v>15</v>
      </c>
      <c r="E3">
        <v>15.343999999999999</v>
      </c>
      <c r="J3" s="116"/>
    </row>
    <row r="4" spans="1:14" x14ac:dyDescent="0.35">
      <c r="A4" s="3" t="s">
        <v>22</v>
      </c>
      <c r="B4" s="102">
        <v>0.253</v>
      </c>
      <c r="J4" s="9"/>
    </row>
    <row r="5" spans="1:14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4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4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B26/B4</f>
        <v>1.4160249487548315</v>
      </c>
    </row>
    <row r="8" spans="1:14" ht="15.5" thickBot="1" x14ac:dyDescent="0.45">
      <c r="A8" s="159"/>
      <c r="B8" s="159"/>
      <c r="C8" s="159"/>
      <c r="D8" s="159"/>
      <c r="E8" s="159"/>
      <c r="F8" s="159"/>
      <c r="G8" s="159"/>
      <c r="H8" s="160"/>
      <c r="I8" s="160"/>
      <c r="J8" s="160"/>
      <c r="M8" s="38" t="s">
        <v>32</v>
      </c>
      <c r="N8" s="39">
        <f>-1/G26</f>
        <v>-1.9150682110133139</v>
      </c>
    </row>
    <row r="9" spans="1:14" ht="15" x14ac:dyDescent="0.4">
      <c r="A9" s="161">
        <v>-0.28000000000000003</v>
      </c>
      <c r="B9" s="52">
        <f t="shared" ref="B9:B21" si="0">-1/A9</f>
        <v>3.5714285714285712</v>
      </c>
      <c r="C9" s="161">
        <v>0.60499999999999998</v>
      </c>
      <c r="D9" s="62">
        <f t="shared" ref="D9:D21" si="1">C9-$B$3-$B$4</f>
        <v>0.35199999999999998</v>
      </c>
      <c r="E9" s="52">
        <f t="shared" ref="E9:E21" si="2">(D9/$B$26)</f>
        <v>0.98254225608773171</v>
      </c>
      <c r="F9" s="63">
        <f t="shared" ref="F9:F21" si="3">100*E9</f>
        <v>98.254225608773169</v>
      </c>
      <c r="G9" s="63">
        <f t="shared" ref="G9:G21" si="4">100-F9</f>
        <v>1.7457743912268313</v>
      </c>
      <c r="H9" s="50">
        <f t="shared" ref="H9:H21" si="5">-1/($G$26+$G$25*G9)</f>
        <v>-1.9615769280765949</v>
      </c>
      <c r="I9" s="50">
        <f>A9-H9</f>
        <v>1.6815769280765949</v>
      </c>
      <c r="J9" s="108">
        <f>D9/$B$4*100</f>
        <v>139.13043478260869</v>
      </c>
      <c r="K9" s="10"/>
      <c r="L9" s="10"/>
      <c r="M9" s="53" t="s">
        <v>23</v>
      </c>
      <c r="N9" s="40">
        <f>H14</f>
        <v>-2.2803439848772773</v>
      </c>
    </row>
    <row r="10" spans="1:14" ht="15.5" thickBot="1" x14ac:dyDescent="0.45">
      <c r="A10" s="161">
        <v>-0.60199999999999998</v>
      </c>
      <c r="B10" s="52">
        <f t="shared" si="0"/>
        <v>1.6611295681063123</v>
      </c>
      <c r="C10" s="161">
        <v>0.6</v>
      </c>
      <c r="D10" s="62">
        <f t="shared" si="1"/>
        <v>0.34699999999999998</v>
      </c>
      <c r="E10" s="52">
        <f t="shared" si="2"/>
        <v>0.96858568995012184</v>
      </c>
      <c r="F10" s="63">
        <f t="shared" si="3"/>
        <v>96.858568995012178</v>
      </c>
      <c r="G10" s="63">
        <f t="shared" si="4"/>
        <v>3.1414310049878225</v>
      </c>
      <c r="H10" s="50">
        <f t="shared" si="5"/>
        <v>-2.0004152747458006</v>
      </c>
      <c r="I10" s="50">
        <f t="shared" ref="I10:I21" si="6">A10-H10</f>
        <v>1.3984152747458007</v>
      </c>
      <c r="J10" s="108">
        <f>D10/$B$4*100</f>
        <v>137.15415019762844</v>
      </c>
      <c r="K10" s="10"/>
      <c r="L10" s="10"/>
      <c r="M10" s="54" t="s">
        <v>31</v>
      </c>
      <c r="N10" s="41">
        <f>F14</f>
        <v>88.205497989694095</v>
      </c>
    </row>
    <row r="11" spans="1:14" ht="18.5" thickBot="1" x14ac:dyDescent="0.45">
      <c r="A11" s="161">
        <v>-1.266</v>
      </c>
      <c r="B11" s="52">
        <f t="shared" si="0"/>
        <v>0.78988941548183256</v>
      </c>
      <c r="C11" s="161">
        <v>0.59099999999999997</v>
      </c>
      <c r="D11" s="62">
        <f t="shared" si="1"/>
        <v>0.33799999999999997</v>
      </c>
      <c r="E11" s="52">
        <f t="shared" si="2"/>
        <v>0.94346387090242423</v>
      </c>
      <c r="F11" s="63">
        <f t="shared" si="3"/>
        <v>94.346387090242416</v>
      </c>
      <c r="G11" s="63">
        <f t="shared" si="4"/>
        <v>5.6536129097575838</v>
      </c>
      <c r="H11" s="50">
        <f t="shared" si="5"/>
        <v>-2.0743431979083575</v>
      </c>
      <c r="I11" s="50">
        <f t="shared" si="6"/>
        <v>0.80834319790835751</v>
      </c>
      <c r="J11" s="108">
        <f>D11/$B$4*100</f>
        <v>133.596837944664</v>
      </c>
      <c r="K11" s="10"/>
      <c r="L11" s="10"/>
      <c r="M11" s="55" t="s">
        <v>1</v>
      </c>
      <c r="N11" s="42">
        <f>STDEV(I9:I14)/STDEV(E9:E14)</f>
        <v>17.801307813456496</v>
      </c>
    </row>
    <row r="12" spans="1:14" ht="16" x14ac:dyDescent="0.4">
      <c r="A12" s="139">
        <v>-1.69</v>
      </c>
      <c r="B12" s="22">
        <f t="shared" si="0"/>
        <v>0.59171597633136097</v>
      </c>
      <c r="C12" s="139">
        <v>0.58499999999999996</v>
      </c>
      <c r="D12" s="48">
        <f t="shared" si="1"/>
        <v>0.33199999999999996</v>
      </c>
      <c r="E12" s="22">
        <f t="shared" si="2"/>
        <v>0.92671599153729234</v>
      </c>
      <c r="F12" s="49">
        <f t="shared" si="3"/>
        <v>92.671599153729233</v>
      </c>
      <c r="G12" s="49">
        <f t="shared" si="4"/>
        <v>7.3284008462707675</v>
      </c>
      <c r="H12" s="47">
        <f t="shared" si="5"/>
        <v>-2.1267408290678786</v>
      </c>
      <c r="I12" s="47">
        <f t="shared" si="6"/>
        <v>0.4367408290678787</v>
      </c>
      <c r="J12" s="108">
        <f>D12/$B$4*100</f>
        <v>131.22529644268772</v>
      </c>
      <c r="K12" s="10"/>
      <c r="L12" s="10"/>
      <c r="M12" s="53" t="s">
        <v>33</v>
      </c>
      <c r="N12" s="43">
        <f>STDEV(E9:E14)/STDEV(A9:A14)</f>
        <v>4.792626418608438E-2</v>
      </c>
    </row>
    <row r="13" spans="1:14" ht="16.5" thickBot="1" x14ac:dyDescent="0.45">
      <c r="A13" s="139">
        <v>-1.99</v>
      </c>
      <c r="B13" s="22">
        <f t="shared" si="0"/>
        <v>0.50251256281407031</v>
      </c>
      <c r="C13" s="139">
        <v>0.57899999999999996</v>
      </c>
      <c r="D13" s="48">
        <f t="shared" si="1"/>
        <v>0.32599999999999996</v>
      </c>
      <c r="E13" s="22">
        <f t="shared" si="2"/>
        <v>0.90996811217216056</v>
      </c>
      <c r="F13" s="49">
        <f t="shared" si="3"/>
        <v>90.996811217216049</v>
      </c>
      <c r="G13" s="49">
        <f t="shared" si="4"/>
        <v>9.0031887827839512</v>
      </c>
      <c r="H13" s="47">
        <f t="shared" si="5"/>
        <v>-2.1818541730500192</v>
      </c>
      <c r="I13" s="47">
        <f t="shared" si="6"/>
        <v>0.19185417305001917</v>
      </c>
      <c r="J13" s="108">
        <f t="shared" ref="J13:J21" si="7">D13/$B$4*100</f>
        <v>128.85375494071144</v>
      </c>
      <c r="K13" s="10"/>
      <c r="L13" s="10"/>
      <c r="M13" s="54" t="s">
        <v>0</v>
      </c>
      <c r="N13" s="41">
        <f>STDEV(E14:E21)/STDEV(A14:A21)</f>
        <v>0.19084003627733725</v>
      </c>
    </row>
    <row r="14" spans="1:14" ht="16.5" thickBot="1" x14ac:dyDescent="0.45">
      <c r="A14" s="143">
        <v>-2.2400000000000002</v>
      </c>
      <c r="B14" s="61">
        <f t="shared" si="0"/>
        <v>0.4464285714285714</v>
      </c>
      <c r="C14" s="144">
        <v>0.56899999999999995</v>
      </c>
      <c r="D14" s="60">
        <f t="shared" si="1"/>
        <v>0.31599999999999995</v>
      </c>
      <c r="E14" s="61">
        <f t="shared" si="2"/>
        <v>0.88205497989694093</v>
      </c>
      <c r="F14" s="58">
        <f t="shared" si="3"/>
        <v>88.205497989694095</v>
      </c>
      <c r="G14" s="58">
        <f t="shared" si="4"/>
        <v>11.794502010305905</v>
      </c>
      <c r="H14" s="59">
        <f t="shared" si="5"/>
        <v>-2.2803439848772773</v>
      </c>
      <c r="I14" s="59">
        <f t="shared" si="6"/>
        <v>4.0343984877277084E-2</v>
      </c>
      <c r="J14" s="115">
        <f t="shared" si="7"/>
        <v>124.90118577075096</v>
      </c>
      <c r="K14" s="10"/>
      <c r="L14" s="10"/>
      <c r="M14" s="56" t="s">
        <v>16</v>
      </c>
      <c r="N14" s="44">
        <f>N12*B26/18/(E3/10000)</f>
        <v>0.62166140961331229</v>
      </c>
    </row>
    <row r="15" spans="1:14" x14ac:dyDescent="0.35">
      <c r="A15" s="139">
        <v>-2.3050000000000002</v>
      </c>
      <c r="B15" s="22">
        <f t="shared" si="0"/>
        <v>0.43383947939262468</v>
      </c>
      <c r="C15" s="139">
        <v>0.56299999999999994</v>
      </c>
      <c r="D15" s="48">
        <f t="shared" si="1"/>
        <v>0.30999999999999994</v>
      </c>
      <c r="E15" s="22">
        <f t="shared" si="2"/>
        <v>0.86530710053180904</v>
      </c>
      <c r="F15" s="49">
        <f t="shared" si="3"/>
        <v>86.530710053180897</v>
      </c>
      <c r="G15" s="49">
        <f t="shared" si="4"/>
        <v>13.469289946819103</v>
      </c>
      <c r="H15" s="47">
        <f t="shared" si="5"/>
        <v>-2.3438247230816165</v>
      </c>
      <c r="I15" s="47">
        <f t="shared" si="6"/>
        <v>3.882472308161633E-2</v>
      </c>
      <c r="J15" s="108">
        <f t="shared" si="7"/>
        <v>122.52964426877469</v>
      </c>
      <c r="K15" s="10"/>
      <c r="L15" s="10"/>
    </row>
    <row r="16" spans="1:14" x14ac:dyDescent="0.35">
      <c r="A16" s="139">
        <v>-2.5299999999999998</v>
      </c>
      <c r="B16" s="22">
        <f t="shared" si="0"/>
        <v>0.39525691699604748</v>
      </c>
      <c r="C16" s="139">
        <v>0.55000000000000004</v>
      </c>
      <c r="D16" s="48">
        <f t="shared" si="1"/>
        <v>0.29700000000000004</v>
      </c>
      <c r="E16" s="22">
        <f t="shared" si="2"/>
        <v>0.82902002857402379</v>
      </c>
      <c r="F16" s="49">
        <f t="shared" si="3"/>
        <v>82.90200285740238</v>
      </c>
      <c r="G16" s="49">
        <f t="shared" si="4"/>
        <v>17.09799714259762</v>
      </c>
      <c r="H16" s="47">
        <f t="shared" si="5"/>
        <v>-2.494269488038646</v>
      </c>
      <c r="I16" s="47">
        <f t="shared" si="6"/>
        <v>-3.5730511961353795E-2</v>
      </c>
      <c r="J16" s="108">
        <f t="shared" si="7"/>
        <v>117.39130434782609</v>
      </c>
      <c r="K16" s="10"/>
      <c r="L16" s="10"/>
    </row>
    <row r="17" spans="1:12" x14ac:dyDescent="0.35">
      <c r="A17" s="139">
        <v>-2.64</v>
      </c>
      <c r="B17" s="22">
        <f t="shared" si="0"/>
        <v>0.37878787878787878</v>
      </c>
      <c r="C17" s="139">
        <v>0.54400000000000004</v>
      </c>
      <c r="D17" s="48">
        <f t="shared" si="1"/>
        <v>0.29100000000000004</v>
      </c>
      <c r="E17" s="22">
        <f t="shared" si="2"/>
        <v>0.81227214920889201</v>
      </c>
      <c r="F17" s="49">
        <f t="shared" si="3"/>
        <v>81.227214920889196</v>
      </c>
      <c r="G17" s="49">
        <f t="shared" si="4"/>
        <v>18.772785079110804</v>
      </c>
      <c r="H17" s="47">
        <f t="shared" si="5"/>
        <v>-2.5704183939052139</v>
      </c>
      <c r="I17" s="47">
        <f t="shared" si="6"/>
        <v>-6.9581606094786252E-2</v>
      </c>
      <c r="J17" s="108">
        <f t="shared" si="7"/>
        <v>115.01976284584981</v>
      </c>
      <c r="K17" s="10"/>
      <c r="L17" s="10"/>
    </row>
    <row r="18" spans="1:12" x14ac:dyDescent="0.35">
      <c r="A18" s="139">
        <v>-2.95</v>
      </c>
      <c r="B18" s="22">
        <f t="shared" si="0"/>
        <v>0.33898305084745761</v>
      </c>
      <c r="C18" s="139">
        <v>0.52400000000000002</v>
      </c>
      <c r="D18" s="48">
        <f t="shared" si="1"/>
        <v>0.27100000000000002</v>
      </c>
      <c r="E18" s="22">
        <f t="shared" si="2"/>
        <v>0.75644588465845264</v>
      </c>
      <c r="F18" s="49">
        <f t="shared" si="3"/>
        <v>75.64458846584526</v>
      </c>
      <c r="G18" s="49">
        <f t="shared" si="4"/>
        <v>24.35541153415474</v>
      </c>
      <c r="H18" s="47">
        <f t="shared" si="5"/>
        <v>-2.8616328661061092</v>
      </c>
      <c r="I18" s="47">
        <f t="shared" si="6"/>
        <v>-8.8367133893890948E-2</v>
      </c>
      <c r="J18" s="108">
        <f t="shared" si="7"/>
        <v>107.11462450592886</v>
      </c>
      <c r="K18" s="10"/>
      <c r="L18" s="10"/>
    </row>
    <row r="19" spans="1:12" x14ac:dyDescent="0.35">
      <c r="A19" s="139">
        <v>-3.13</v>
      </c>
      <c r="B19" s="22">
        <f t="shared" si="0"/>
        <v>0.31948881789137379</v>
      </c>
      <c r="C19" s="139">
        <v>0.51200000000000001</v>
      </c>
      <c r="D19" s="48">
        <f t="shared" si="1"/>
        <v>0.25900000000000001</v>
      </c>
      <c r="E19" s="22">
        <f t="shared" si="2"/>
        <v>0.72295012592818908</v>
      </c>
      <c r="F19" s="49">
        <f t="shared" si="3"/>
        <v>72.295012592818907</v>
      </c>
      <c r="G19" s="49">
        <f t="shared" si="4"/>
        <v>27.704987407181093</v>
      </c>
      <c r="H19" s="47">
        <f t="shared" si="5"/>
        <v>-3.0703449295391763</v>
      </c>
      <c r="I19" s="47">
        <f t="shared" si="6"/>
        <v>-5.9655070460823634E-2</v>
      </c>
      <c r="J19" s="108">
        <f t="shared" si="7"/>
        <v>102.3715415019763</v>
      </c>
      <c r="K19" s="10"/>
      <c r="L19" s="10"/>
    </row>
    <row r="20" spans="1:12" x14ac:dyDescent="0.35">
      <c r="A20" s="139">
        <v>-3.19</v>
      </c>
      <c r="B20" s="22">
        <f t="shared" si="0"/>
        <v>0.31347962382445144</v>
      </c>
      <c r="C20" s="139">
        <v>0.505</v>
      </c>
      <c r="D20" s="48">
        <f t="shared" si="1"/>
        <v>0.252</v>
      </c>
      <c r="E20" s="22">
        <f t="shared" si="2"/>
        <v>0.70341093333553528</v>
      </c>
      <c r="F20" s="49">
        <f t="shared" si="3"/>
        <v>70.34109333355353</v>
      </c>
      <c r="G20" s="49">
        <f t="shared" si="4"/>
        <v>29.65890666644647</v>
      </c>
      <c r="H20" s="47">
        <f t="shared" si="5"/>
        <v>-3.2067778926964601</v>
      </c>
      <c r="I20" s="47">
        <f t="shared" si="6"/>
        <v>1.6777892696460128E-2</v>
      </c>
      <c r="J20" s="108">
        <f t="shared" si="7"/>
        <v>99.604743083003953</v>
      </c>
      <c r="K20" s="10"/>
      <c r="L20" s="10"/>
    </row>
    <row r="21" spans="1:12" x14ac:dyDescent="0.35">
      <c r="A21" s="139">
        <v>-3.29</v>
      </c>
      <c r="B21" s="22">
        <f t="shared" si="0"/>
        <v>0.303951367781155</v>
      </c>
      <c r="C21" s="139">
        <v>0.49299999999999999</v>
      </c>
      <c r="D21" s="48">
        <f t="shared" si="1"/>
        <v>0.24</v>
      </c>
      <c r="E21" s="22">
        <f t="shared" si="2"/>
        <v>0.66991517460527161</v>
      </c>
      <c r="F21" s="49">
        <f t="shared" si="3"/>
        <v>66.991517460527163</v>
      </c>
      <c r="G21" s="49">
        <f t="shared" si="4"/>
        <v>33.008482539472837</v>
      </c>
      <c r="H21" s="47">
        <f t="shared" si="5"/>
        <v>-3.4711981710408879</v>
      </c>
      <c r="I21" s="47">
        <f t="shared" si="6"/>
        <v>0.18119817104088787</v>
      </c>
      <c r="J21" s="108">
        <f t="shared" si="7"/>
        <v>94.861660079051376</v>
      </c>
      <c r="K21" s="10"/>
      <c r="L21" s="10"/>
    </row>
    <row r="22" spans="1:12" x14ac:dyDescent="0.35">
      <c r="A22" s="50"/>
      <c r="B22" s="6"/>
      <c r="C22" s="35"/>
      <c r="D22" s="48"/>
      <c r="E22" s="22"/>
      <c r="F22" s="49"/>
      <c r="G22" s="49"/>
      <c r="H22" s="47"/>
      <c r="I22" s="47"/>
      <c r="J22" s="108"/>
    </row>
    <row r="23" spans="1:12" x14ac:dyDescent="0.35">
      <c r="A23" s="50"/>
      <c r="B23" s="6"/>
      <c r="C23" s="35"/>
      <c r="D23" s="48"/>
      <c r="E23" s="22"/>
      <c r="F23" s="49"/>
      <c r="G23" s="49"/>
      <c r="H23" s="47"/>
      <c r="I23" s="47"/>
      <c r="J23" s="108"/>
    </row>
    <row r="24" spans="1:12" ht="15" x14ac:dyDescent="0.4">
      <c r="A24" s="13" t="s">
        <v>4</v>
      </c>
      <c r="B24" s="13"/>
      <c r="C24" s="23"/>
      <c r="D24" s="14"/>
      <c r="F24" s="34" t="s">
        <v>14</v>
      </c>
    </row>
    <row r="25" spans="1:12" x14ac:dyDescent="0.35">
      <c r="A25" s="3" t="s">
        <v>26</v>
      </c>
      <c r="B25" s="27">
        <f>STDEV(D9:D14)/STDEV(A9:A14)</f>
        <v>1.7169790804392002E-2</v>
      </c>
      <c r="C25" s="5" t="s">
        <v>24</v>
      </c>
      <c r="D25" s="28">
        <f>COUNT(D9:D14)</f>
        <v>6</v>
      </c>
      <c r="F25" s="35" t="s">
        <v>26</v>
      </c>
      <c r="G25" s="30">
        <f>-STDEV(B14:B21)/STDEV(G14:G21)</f>
        <v>-7.0918027734282749E-3</v>
      </c>
      <c r="H25" s="5" t="s">
        <v>24</v>
      </c>
      <c r="I25" s="28">
        <f>COUNT(B14:B21)</f>
        <v>8</v>
      </c>
    </row>
    <row r="26" spans="1:12" ht="15.5" x14ac:dyDescent="0.35">
      <c r="A26" s="3" t="s">
        <v>3</v>
      </c>
      <c r="B26" s="24">
        <f>AVERAGE(D9:D14)-B25*AVERAGE(A9:A14)</f>
        <v>0.35825431203497238</v>
      </c>
      <c r="C26" s="26" t="s">
        <v>7</v>
      </c>
      <c r="F26" s="35" t="s">
        <v>3</v>
      </c>
      <c r="G26" s="31">
        <f>AVERAGE(B14:B21)-G25*AVERAGE(G14:G21)</f>
        <v>0.52217461197942039</v>
      </c>
      <c r="H26" s="25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2795-1D2C-432B-AC98-91D1EF0966E2}">
  <dimension ref="A1:N26"/>
  <sheetViews>
    <sheetView zoomScale="60" zoomScaleNormal="60" workbookViewId="0">
      <selection activeCell="N9" sqref="N9"/>
    </sheetView>
  </sheetViews>
  <sheetFormatPr defaultRowHeight="14.5" x14ac:dyDescent="0.35"/>
  <cols>
    <col min="7" max="7" width="9.453125" bestFit="1" customWidth="1"/>
    <col min="13" max="13" width="12.7265625" customWidth="1"/>
  </cols>
  <sheetData>
    <row r="1" spans="1:14" x14ac:dyDescent="0.35">
      <c r="A1" t="s">
        <v>38</v>
      </c>
      <c r="B1" s="123">
        <v>44847</v>
      </c>
      <c r="M1" s="17"/>
    </row>
    <row r="2" spans="1:14" x14ac:dyDescent="0.35">
      <c r="A2" s="1" t="s">
        <v>21</v>
      </c>
      <c r="B2" s="2"/>
      <c r="C2" s="4"/>
      <c r="M2" s="17"/>
    </row>
    <row r="3" spans="1:14" x14ac:dyDescent="0.35">
      <c r="A3" s="3" t="s">
        <v>25</v>
      </c>
      <c r="B3" s="29"/>
      <c r="C3" s="3"/>
      <c r="D3" t="s">
        <v>15</v>
      </c>
      <c r="E3">
        <v>10.113</v>
      </c>
      <c r="J3" s="116"/>
    </row>
    <row r="4" spans="1:14" x14ac:dyDescent="0.35">
      <c r="A4" s="3" t="s">
        <v>22</v>
      </c>
      <c r="B4" s="102">
        <v>0.16900000000000001</v>
      </c>
      <c r="J4" s="9"/>
    </row>
    <row r="5" spans="1:14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4" x14ac:dyDescent="0.35">
      <c r="A6" s="3"/>
      <c r="B6" s="6"/>
      <c r="C6" s="3"/>
      <c r="D6" s="6"/>
      <c r="E6" s="3"/>
      <c r="F6" s="3"/>
      <c r="G6" s="8"/>
      <c r="H6" s="8"/>
      <c r="J6" s="3"/>
      <c r="N6" s="15"/>
    </row>
    <row r="7" spans="1:14" ht="16.5" x14ac:dyDescent="0.4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M7" s="36" t="s">
        <v>2</v>
      </c>
      <c r="N7" s="37">
        <f>B26/B4</f>
        <v>1.1833223985718089</v>
      </c>
    </row>
    <row r="8" spans="1:14" ht="15.5" thickBot="1" x14ac:dyDescent="0.45">
      <c r="A8" s="3"/>
      <c r="B8" s="3"/>
      <c r="C8" s="3"/>
      <c r="D8" s="3"/>
      <c r="E8" s="3"/>
      <c r="F8" s="3"/>
      <c r="G8" s="3"/>
      <c r="M8" s="38" t="s">
        <v>32</v>
      </c>
      <c r="N8" s="39">
        <f>-1/G26</f>
        <v>-2.0400265108770825</v>
      </c>
    </row>
    <row r="9" spans="1:14" ht="15" x14ac:dyDescent="0.4">
      <c r="A9" s="146">
        <v>-0.13400000000000001</v>
      </c>
      <c r="B9" s="52">
        <f t="shared" ref="B9:B21" si="0">-1/A9</f>
        <v>7.4626865671641784</v>
      </c>
      <c r="C9" s="146">
        <v>0.36899999999999999</v>
      </c>
      <c r="D9" s="62">
        <f t="shared" ref="D9:D21" si="1">C9-$B$3-$B$4</f>
        <v>0.19999999999999998</v>
      </c>
      <c r="E9" s="52">
        <f t="shared" ref="E9:E21" si="2">(D9/$B$26)</f>
        <v>1.0000925817774133</v>
      </c>
      <c r="F9" s="63">
        <f t="shared" ref="F9:F21" si="3">100*E9</f>
        <v>100.00925817774133</v>
      </c>
      <c r="G9" s="63">
        <f t="shared" ref="G9:G21" si="4">100-F9</f>
        <v>-9.258177741330087E-3</v>
      </c>
      <c r="H9" s="50">
        <f t="shared" ref="H9:H21" si="5">-1/($G$26+$G$25*G9)</f>
        <v>-2.0397049266780947</v>
      </c>
      <c r="I9" s="50">
        <f>A9-H9</f>
        <v>1.9057049266780948</v>
      </c>
      <c r="J9" s="108">
        <f>D9/$B$4*100</f>
        <v>118.34319526627218</v>
      </c>
      <c r="K9" s="10"/>
      <c r="L9" s="10"/>
      <c r="M9" s="53" t="s">
        <v>23</v>
      </c>
      <c r="N9" s="40">
        <f>H15</f>
        <v>-2.2935673597056847</v>
      </c>
    </row>
    <row r="10" spans="1:14" ht="15.5" thickBot="1" x14ac:dyDescent="0.45">
      <c r="A10" s="146">
        <v>-0.22500000000000001</v>
      </c>
      <c r="B10" s="52">
        <f t="shared" si="0"/>
        <v>4.4444444444444446</v>
      </c>
      <c r="C10" s="146">
        <v>0.36799999999999999</v>
      </c>
      <c r="D10" s="62">
        <f t="shared" si="1"/>
        <v>0.19899999999999998</v>
      </c>
      <c r="E10" s="52">
        <f t="shared" si="2"/>
        <v>0.99509211886852633</v>
      </c>
      <c r="F10" s="63">
        <f t="shared" si="3"/>
        <v>99.50921188685264</v>
      </c>
      <c r="G10" s="63">
        <f t="shared" si="4"/>
        <v>0.49078811314736015</v>
      </c>
      <c r="H10" s="50">
        <f t="shared" si="5"/>
        <v>-2.0572205029447677</v>
      </c>
      <c r="I10" s="50">
        <f t="shared" ref="I10:I21" si="6">A10-H10</f>
        <v>1.8322205029447676</v>
      </c>
      <c r="J10" s="108">
        <f>D10/$B$4*100</f>
        <v>117.7514792899408</v>
      </c>
      <c r="K10" s="10"/>
      <c r="L10" s="10"/>
      <c r="M10" s="54" t="s">
        <v>31</v>
      </c>
      <c r="N10" s="41">
        <f>F15</f>
        <v>93.508656396188144</v>
      </c>
    </row>
    <row r="11" spans="1:14" ht="18.5" thickBot="1" x14ac:dyDescent="0.45">
      <c r="A11" s="146">
        <v>-0.40100000000000002</v>
      </c>
      <c r="B11" s="52">
        <f t="shared" si="0"/>
        <v>2.4937655860349124</v>
      </c>
      <c r="C11" s="146">
        <v>0.36499999999999999</v>
      </c>
      <c r="D11" s="62">
        <f t="shared" si="1"/>
        <v>0.19599999999999998</v>
      </c>
      <c r="E11" s="52">
        <f t="shared" si="2"/>
        <v>0.9800907301418651</v>
      </c>
      <c r="F11" s="63">
        <f t="shared" si="3"/>
        <v>98.009073014186512</v>
      </c>
      <c r="G11" s="63">
        <f t="shared" si="4"/>
        <v>1.9909269858134877</v>
      </c>
      <c r="H11" s="50">
        <f t="shared" si="5"/>
        <v>-2.1116199000161782</v>
      </c>
      <c r="I11" s="50">
        <f t="shared" si="6"/>
        <v>1.7106199000161781</v>
      </c>
      <c r="J11" s="108">
        <f>D11/$B$4*100</f>
        <v>115.97633136094672</v>
      </c>
      <c r="K11" s="10"/>
      <c r="L11" s="10"/>
      <c r="M11" s="55" t="s">
        <v>1</v>
      </c>
      <c r="N11" s="42">
        <f>STDEV(I9:I15)/STDEV(E9:E15)</f>
        <v>30.900336035431366</v>
      </c>
    </row>
    <row r="12" spans="1:14" ht="16" x14ac:dyDescent="0.4">
      <c r="A12" s="140">
        <v>-0.89100000000000001</v>
      </c>
      <c r="B12" s="22">
        <f t="shared" si="0"/>
        <v>1.122334455667789</v>
      </c>
      <c r="C12" s="140">
        <v>0.36399999999999999</v>
      </c>
      <c r="D12" s="48">
        <f t="shared" si="1"/>
        <v>0.19499999999999998</v>
      </c>
      <c r="E12" s="22">
        <f t="shared" si="2"/>
        <v>0.97509026723297798</v>
      </c>
      <c r="F12" s="49">
        <f t="shared" si="3"/>
        <v>97.509026723297794</v>
      </c>
      <c r="G12" s="49">
        <f t="shared" si="4"/>
        <v>2.4909732767022064</v>
      </c>
      <c r="H12" s="47">
        <f t="shared" si="5"/>
        <v>-2.1303980473811555</v>
      </c>
      <c r="I12" s="47">
        <f t="shared" si="6"/>
        <v>1.2393980473811554</v>
      </c>
      <c r="J12" s="108">
        <f>D12/$B$4*100</f>
        <v>115.38461538461537</v>
      </c>
      <c r="K12" s="10"/>
      <c r="L12" s="10"/>
      <c r="M12" s="53" t="s">
        <v>33</v>
      </c>
      <c r="N12" s="43">
        <f>STDEV(E9:E15)/STDEV(A9:A15)</f>
        <v>2.8763160155675458E-2</v>
      </c>
    </row>
    <row r="13" spans="1:14" ht="16.5" thickBot="1" x14ac:dyDescent="0.45">
      <c r="A13" s="140">
        <v>-1.46</v>
      </c>
      <c r="B13" s="22">
        <f t="shared" si="0"/>
        <v>0.68493150684931503</v>
      </c>
      <c r="C13" s="140">
        <v>0.36099999999999999</v>
      </c>
      <c r="D13" s="48">
        <f t="shared" si="1"/>
        <v>0.19199999999999998</v>
      </c>
      <c r="E13" s="22">
        <f t="shared" si="2"/>
        <v>0.96008887850631675</v>
      </c>
      <c r="F13" s="49">
        <f t="shared" si="3"/>
        <v>96.00888785063168</v>
      </c>
      <c r="G13" s="49">
        <f t="shared" si="4"/>
        <v>3.9911121493683197</v>
      </c>
      <c r="H13" s="47">
        <f t="shared" si="5"/>
        <v>-2.1887912914810435</v>
      </c>
      <c r="I13" s="47">
        <f t="shared" si="6"/>
        <v>0.72879129148104349</v>
      </c>
      <c r="J13" s="108">
        <f t="shared" ref="J13:J21" si="7">D13/$B$4*100</f>
        <v>113.60946745562129</v>
      </c>
      <c r="K13" s="10"/>
      <c r="L13" s="10"/>
      <c r="M13" s="54" t="s">
        <v>0</v>
      </c>
      <c r="N13" s="41">
        <f>STDEV(E15:E23)/STDEV(A15:A23)</f>
        <v>0.15908109167375531</v>
      </c>
    </row>
    <row r="14" spans="1:14" ht="16.5" thickBot="1" x14ac:dyDescent="0.45">
      <c r="A14" s="140">
        <v>-2.04</v>
      </c>
      <c r="B14" s="22">
        <f t="shared" si="0"/>
        <v>0.49019607843137253</v>
      </c>
      <c r="C14" s="140">
        <v>0.35699999999999998</v>
      </c>
      <c r="D14" s="48">
        <f t="shared" si="1"/>
        <v>0.18799999999999997</v>
      </c>
      <c r="E14" s="22">
        <f t="shared" si="2"/>
        <v>0.94008702687076851</v>
      </c>
      <c r="F14" s="49">
        <f t="shared" si="3"/>
        <v>94.008702687076848</v>
      </c>
      <c r="G14" s="49">
        <f t="shared" si="4"/>
        <v>5.9912973129231517</v>
      </c>
      <c r="H14" s="47">
        <f t="shared" si="5"/>
        <v>-2.2718172657830671</v>
      </c>
      <c r="I14" s="47">
        <f t="shared" si="6"/>
        <v>0.23181726578306705</v>
      </c>
      <c r="J14" s="108">
        <f t="shared" si="7"/>
        <v>111.24260355029583</v>
      </c>
      <c r="K14" s="10"/>
      <c r="L14" s="10"/>
      <c r="M14" s="56" t="s">
        <v>16</v>
      </c>
      <c r="N14" s="44">
        <f>N12*B26/18/(E3/10000)</f>
        <v>0.31599039144007751</v>
      </c>
    </row>
    <row r="15" spans="1:14" ht="15" thickBot="1" x14ac:dyDescent="0.4">
      <c r="A15" s="148">
        <v>-2.302</v>
      </c>
      <c r="B15" s="61">
        <f t="shared" si="0"/>
        <v>0.43440486533449174</v>
      </c>
      <c r="C15" s="149">
        <v>0.35599999999999998</v>
      </c>
      <c r="D15" s="60">
        <f t="shared" si="1"/>
        <v>0.18699999999999997</v>
      </c>
      <c r="E15" s="61">
        <f t="shared" si="2"/>
        <v>0.93508656396188139</v>
      </c>
      <c r="F15" s="58">
        <f t="shared" si="3"/>
        <v>93.508656396188144</v>
      </c>
      <c r="G15" s="58">
        <f t="shared" si="4"/>
        <v>6.4913436038118562</v>
      </c>
      <c r="H15" s="59">
        <f t="shared" si="5"/>
        <v>-2.2935673597056847</v>
      </c>
      <c r="I15" s="59">
        <f t="shared" si="6"/>
        <v>-8.4326402943153411E-3</v>
      </c>
      <c r="J15" s="115">
        <f t="shared" si="7"/>
        <v>110.65088757396447</v>
      </c>
      <c r="K15" s="10"/>
      <c r="L15" s="10"/>
    </row>
    <row r="16" spans="1:14" x14ac:dyDescent="0.35">
      <c r="A16" s="140">
        <v>-2.2799999999999998</v>
      </c>
      <c r="B16" s="22">
        <f t="shared" si="0"/>
        <v>0.43859649122807021</v>
      </c>
      <c r="C16" s="140">
        <v>0.35399999999999998</v>
      </c>
      <c r="D16" s="48">
        <f t="shared" si="1"/>
        <v>0.18499999999999997</v>
      </c>
      <c r="E16" s="22">
        <f t="shared" si="2"/>
        <v>0.92508563814410727</v>
      </c>
      <c r="F16" s="49">
        <f t="shared" si="3"/>
        <v>92.508563814410721</v>
      </c>
      <c r="G16" s="49">
        <f t="shared" si="4"/>
        <v>7.4914361855892793</v>
      </c>
      <c r="H16" s="47">
        <f t="shared" si="5"/>
        <v>-2.3383413337377967</v>
      </c>
      <c r="I16" s="47">
        <f t="shared" si="6"/>
        <v>5.834133373779693E-2</v>
      </c>
      <c r="J16" s="108">
        <f t="shared" si="7"/>
        <v>109.46745562130175</v>
      </c>
      <c r="K16" s="10"/>
      <c r="L16" s="10"/>
    </row>
    <row r="17" spans="1:12" x14ac:dyDescent="0.35">
      <c r="A17" s="140">
        <v>-2.39</v>
      </c>
      <c r="B17" s="22">
        <f t="shared" si="0"/>
        <v>0.41841004184100417</v>
      </c>
      <c r="C17" s="140">
        <v>0.35099999999999998</v>
      </c>
      <c r="D17" s="48">
        <f t="shared" si="1"/>
        <v>0.18199999999999997</v>
      </c>
      <c r="E17" s="22">
        <f t="shared" si="2"/>
        <v>0.91008424941744603</v>
      </c>
      <c r="F17" s="49">
        <f t="shared" si="3"/>
        <v>91.008424941744607</v>
      </c>
      <c r="G17" s="49">
        <f t="shared" si="4"/>
        <v>8.9915750582553926</v>
      </c>
      <c r="H17" s="47">
        <f t="shared" si="5"/>
        <v>-2.4088788830940953</v>
      </c>
      <c r="I17" s="47">
        <f t="shared" si="6"/>
        <v>1.8878883094095134E-2</v>
      </c>
      <c r="J17" s="108">
        <f t="shared" si="7"/>
        <v>107.69230769230766</v>
      </c>
      <c r="K17" s="10"/>
      <c r="L17" s="10"/>
    </row>
    <row r="18" spans="1:12" x14ac:dyDescent="0.35">
      <c r="A18" s="140">
        <v>-2.68</v>
      </c>
      <c r="B18" s="22">
        <f t="shared" si="0"/>
        <v>0.37313432835820892</v>
      </c>
      <c r="C18" s="140">
        <v>0.34499999999999997</v>
      </c>
      <c r="D18" s="48">
        <f t="shared" si="1"/>
        <v>0.17599999999999996</v>
      </c>
      <c r="E18" s="22">
        <f t="shared" si="2"/>
        <v>0.88008147196412367</v>
      </c>
      <c r="F18" s="49">
        <f t="shared" si="3"/>
        <v>88.008147196412366</v>
      </c>
      <c r="G18" s="49">
        <f t="shared" si="4"/>
        <v>11.991852803587634</v>
      </c>
      <c r="H18" s="47">
        <f t="shared" si="5"/>
        <v>-2.563540535288142</v>
      </c>
      <c r="I18" s="47">
        <f t="shared" si="6"/>
        <v>-0.1164594647118582</v>
      </c>
      <c r="J18" s="108">
        <f t="shared" si="7"/>
        <v>104.1420118343195</v>
      </c>
      <c r="K18" s="10"/>
      <c r="L18" s="10"/>
    </row>
    <row r="19" spans="1:12" x14ac:dyDescent="0.35">
      <c r="A19" s="140">
        <v>-2.89</v>
      </c>
      <c r="B19" s="22">
        <f t="shared" si="0"/>
        <v>0.34602076124567471</v>
      </c>
      <c r="C19" s="140">
        <v>0.33500000000000002</v>
      </c>
      <c r="D19" s="48">
        <f t="shared" si="1"/>
        <v>0.16600000000000001</v>
      </c>
      <c r="E19" s="22">
        <f t="shared" si="2"/>
        <v>0.83007684287525318</v>
      </c>
      <c r="F19" s="49">
        <f t="shared" si="3"/>
        <v>83.007684287525322</v>
      </c>
      <c r="G19" s="49">
        <f t="shared" si="4"/>
        <v>16.992315712474678</v>
      </c>
      <c r="H19" s="47">
        <f t="shared" si="5"/>
        <v>-2.8707319493901742</v>
      </c>
      <c r="I19" s="47">
        <f t="shared" si="6"/>
        <v>-1.9268050609825949E-2</v>
      </c>
      <c r="J19" s="108">
        <f t="shared" si="7"/>
        <v>98.224852071005913</v>
      </c>
      <c r="K19" s="10"/>
      <c r="L19" s="10"/>
    </row>
    <row r="20" spans="1:12" x14ac:dyDescent="0.35">
      <c r="A20" s="140">
        <v>-3.07</v>
      </c>
      <c r="B20" s="22">
        <f t="shared" si="0"/>
        <v>0.32573289902280134</v>
      </c>
      <c r="C20" s="140">
        <v>0.33</v>
      </c>
      <c r="D20" s="48">
        <f t="shared" si="1"/>
        <v>0.161</v>
      </c>
      <c r="E20" s="22">
        <f t="shared" si="2"/>
        <v>0.80507452833081783</v>
      </c>
      <c r="F20" s="49">
        <f t="shared" si="3"/>
        <v>80.507452833081786</v>
      </c>
      <c r="G20" s="49">
        <f t="shared" si="4"/>
        <v>19.492547166918214</v>
      </c>
      <c r="H20" s="47">
        <f t="shared" si="5"/>
        <v>-3.0536955170014171</v>
      </c>
      <c r="I20" s="47">
        <f t="shared" si="6"/>
        <v>-1.6304482998582781E-2</v>
      </c>
      <c r="J20" s="108">
        <f t="shared" si="7"/>
        <v>95.26627218934911</v>
      </c>
      <c r="K20" s="10"/>
      <c r="L20" s="10"/>
    </row>
    <row r="21" spans="1:12" x14ac:dyDescent="0.35">
      <c r="A21" s="140">
        <v>-3.4</v>
      </c>
      <c r="B21" s="22">
        <f t="shared" si="0"/>
        <v>0.29411764705882354</v>
      </c>
      <c r="C21" s="140">
        <v>0.32</v>
      </c>
      <c r="D21" s="48">
        <f t="shared" si="1"/>
        <v>0.151</v>
      </c>
      <c r="E21" s="22">
        <f t="shared" si="2"/>
        <v>0.75506989924194712</v>
      </c>
      <c r="F21" s="49">
        <f t="shared" si="3"/>
        <v>75.506989924194713</v>
      </c>
      <c r="G21" s="49">
        <f t="shared" si="4"/>
        <v>24.493010075805287</v>
      </c>
      <c r="H21" s="47">
        <f t="shared" si="5"/>
        <v>-3.4998101388105338</v>
      </c>
      <c r="I21" s="47">
        <f t="shared" si="6"/>
        <v>9.981013881053391E-2</v>
      </c>
      <c r="J21" s="108">
        <f t="shared" si="7"/>
        <v>89.349112426035489</v>
      </c>
      <c r="K21" s="10"/>
      <c r="L21" s="10"/>
    </row>
    <row r="22" spans="1:12" x14ac:dyDescent="0.35">
      <c r="A22" s="50"/>
      <c r="B22" s="6"/>
      <c r="C22" s="35"/>
      <c r="D22" s="48"/>
      <c r="E22" s="22"/>
      <c r="F22" s="49"/>
      <c r="G22" s="49"/>
      <c r="H22" s="47"/>
      <c r="I22" s="47"/>
      <c r="J22" s="108"/>
    </row>
    <row r="23" spans="1:12" x14ac:dyDescent="0.35">
      <c r="A23" s="50"/>
      <c r="B23" s="6"/>
      <c r="C23" s="35"/>
      <c r="D23" s="48"/>
      <c r="E23" s="22"/>
      <c r="F23" s="49"/>
      <c r="G23" s="49"/>
      <c r="H23" s="47"/>
      <c r="I23" s="47"/>
      <c r="J23" s="108"/>
    </row>
    <row r="24" spans="1:12" ht="15" x14ac:dyDescent="0.4">
      <c r="A24" s="13" t="s">
        <v>4</v>
      </c>
      <c r="B24" s="13"/>
      <c r="C24" s="23"/>
      <c r="D24" s="14"/>
      <c r="F24" s="34" t="s">
        <v>14</v>
      </c>
    </row>
    <row r="25" spans="1:12" x14ac:dyDescent="0.35">
      <c r="A25" s="3" t="s">
        <v>26</v>
      </c>
      <c r="B25" s="27">
        <f>STDEV(D9:D15)/STDEV(A9:A15)</f>
        <v>5.7520994915403034E-3</v>
      </c>
      <c r="C25" s="5" t="s">
        <v>24</v>
      </c>
      <c r="D25" s="28">
        <f>COUNT(D9:D15)</f>
        <v>7</v>
      </c>
      <c r="F25" s="35" t="s">
        <v>26</v>
      </c>
      <c r="G25" s="30">
        <f>-STDEV(B15:B23)/STDEV(G15:G23)</f>
        <v>-8.3476845882483088E-3</v>
      </c>
      <c r="H25" s="5" t="s">
        <v>24</v>
      </c>
      <c r="I25" s="28">
        <f>COUNT(B15:B23)</f>
        <v>7</v>
      </c>
    </row>
    <row r="26" spans="1:12" ht="15.5" x14ac:dyDescent="0.35">
      <c r="A26" s="3" t="s">
        <v>3</v>
      </c>
      <c r="B26" s="24">
        <f>AVERAGE(D9:D15)-B25*AVERAGE(A9:A15)</f>
        <v>0.19998148535863572</v>
      </c>
      <c r="C26" s="26" t="s">
        <v>7</v>
      </c>
      <c r="F26" s="35" t="s">
        <v>3</v>
      </c>
      <c r="G26" s="31">
        <f>AVERAGE(B15:B23)-G25*AVERAGE(G15:G23)</f>
        <v>0.49018970815730384</v>
      </c>
      <c r="H26" s="25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7EB9-38B5-44C4-9B01-4FCF3637E2DC}">
  <dimension ref="A1:O26"/>
  <sheetViews>
    <sheetView zoomScale="60" zoomScaleNormal="60" workbookViewId="0">
      <selection activeCell="O5" sqref="O5"/>
    </sheetView>
  </sheetViews>
  <sheetFormatPr defaultRowHeight="14.5" x14ac:dyDescent="0.35"/>
  <cols>
    <col min="7" max="7" width="9.453125" bestFit="1" customWidth="1"/>
    <col min="13" max="13" width="11.7265625" customWidth="1"/>
    <col min="14" max="14" width="18.90625" customWidth="1"/>
  </cols>
  <sheetData>
    <row r="1" spans="1:15" x14ac:dyDescent="0.35">
      <c r="A1" t="s">
        <v>38</v>
      </c>
      <c r="B1" s="123">
        <v>44847</v>
      </c>
      <c r="M1" s="17"/>
    </row>
    <row r="2" spans="1:15" x14ac:dyDescent="0.35">
      <c r="A2" s="1" t="s">
        <v>21</v>
      </c>
      <c r="B2" s="2"/>
      <c r="C2" s="4"/>
      <c r="M2" s="17"/>
    </row>
    <row r="3" spans="1:15" x14ac:dyDescent="0.35">
      <c r="A3" s="3" t="s">
        <v>25</v>
      </c>
      <c r="B3" s="29"/>
      <c r="C3" s="3"/>
      <c r="D3" t="s">
        <v>15</v>
      </c>
      <c r="E3">
        <v>11.538</v>
      </c>
    </row>
    <row r="4" spans="1:15" x14ac:dyDescent="0.35">
      <c r="A4" s="3" t="s">
        <v>22</v>
      </c>
      <c r="B4" s="102">
        <v>0.20899999999999999</v>
      </c>
    </row>
    <row r="5" spans="1:15" x14ac:dyDescent="0.35">
      <c r="A5" s="20"/>
      <c r="B5" s="21"/>
      <c r="C5" s="3"/>
      <c r="D5" s="3"/>
      <c r="E5" s="16"/>
      <c r="F5" s="16"/>
      <c r="G5" s="32"/>
      <c r="H5" s="33"/>
      <c r="M5" s="11"/>
      <c r="N5" s="12"/>
    </row>
    <row r="6" spans="1:15" x14ac:dyDescent="0.35">
      <c r="A6" s="3"/>
      <c r="B6" s="6"/>
      <c r="C6" s="3"/>
      <c r="D6" s="6"/>
      <c r="E6" s="3"/>
      <c r="F6" s="3"/>
      <c r="G6" s="8"/>
      <c r="H6" s="8"/>
      <c r="J6" s="3"/>
      <c r="N6" s="36" t="s">
        <v>2</v>
      </c>
      <c r="O6" s="165">
        <f>B26/B4</f>
        <v>1.1943472700429298</v>
      </c>
    </row>
    <row r="7" spans="1:15" ht="17" thickBot="1" x14ac:dyDescent="0.5">
      <c r="A7" s="45" t="s">
        <v>17</v>
      </c>
      <c r="B7" s="45" t="s">
        <v>18</v>
      </c>
      <c r="C7" s="45" t="s">
        <v>13</v>
      </c>
      <c r="D7" s="45" t="s">
        <v>28</v>
      </c>
      <c r="E7" s="45" t="s">
        <v>27</v>
      </c>
      <c r="F7" s="45" t="s">
        <v>29</v>
      </c>
      <c r="G7" s="45" t="s">
        <v>30</v>
      </c>
      <c r="H7" s="46" t="s">
        <v>19</v>
      </c>
      <c r="I7" s="46" t="s">
        <v>20</v>
      </c>
      <c r="J7" s="100" t="s">
        <v>37</v>
      </c>
      <c r="N7" s="38" t="s">
        <v>32</v>
      </c>
      <c r="O7" s="39">
        <f>-1/G26</f>
        <v>-1.8883966155924181</v>
      </c>
    </row>
    <row r="8" spans="1:15" ht="15" x14ac:dyDescent="0.4">
      <c r="A8" s="3"/>
      <c r="B8" s="3"/>
      <c r="C8" s="3"/>
      <c r="D8" s="3"/>
      <c r="E8" s="3"/>
      <c r="F8" s="3"/>
      <c r="G8" s="3"/>
      <c r="N8" s="53" t="s">
        <v>23</v>
      </c>
      <c r="O8" s="40">
        <f>H16</f>
        <v>-2.1906850701887297</v>
      </c>
    </row>
    <row r="9" spans="1:15" ht="15.5" thickBot="1" x14ac:dyDescent="0.45">
      <c r="A9" s="151">
        <v>-0.11</v>
      </c>
      <c r="B9" s="95">
        <f t="shared" ref="B9:B21" si="0">-1/A9</f>
        <v>9.0909090909090917</v>
      </c>
      <c r="C9" s="151">
        <v>0.46100000000000002</v>
      </c>
      <c r="D9" s="96">
        <f t="shared" ref="D9:D21" si="1">C9-$B$3-$B$4</f>
        <v>0.252</v>
      </c>
      <c r="E9" s="95">
        <f t="shared" ref="E9:E21" si="2">(D9/$B$26)</f>
        <v>1.0095402376152449</v>
      </c>
      <c r="F9" s="97">
        <f t="shared" ref="F9:F21" si="3">100*E9</f>
        <v>100.9540237615245</v>
      </c>
      <c r="G9" s="97">
        <f t="shared" ref="G9:G21" si="4">100-F9</f>
        <v>-0.95402376152449619</v>
      </c>
      <c r="H9" s="94">
        <f t="shared" ref="H9:H21" si="5">-1/($G$26+$G$25*G9)</f>
        <v>-1.8556454937986988</v>
      </c>
      <c r="I9" s="94">
        <f>A9-H9</f>
        <v>1.7456454937986987</v>
      </c>
      <c r="J9" s="97">
        <f>D9/$B$4*100</f>
        <v>120.57416267942584</v>
      </c>
      <c r="K9" s="93"/>
      <c r="L9" s="93"/>
      <c r="N9" s="54" t="s">
        <v>31</v>
      </c>
      <c r="O9" s="166">
        <f>F16</f>
        <v>92.541188448064119</v>
      </c>
    </row>
    <row r="10" spans="1:15" ht="18.5" thickBot="1" x14ac:dyDescent="0.45">
      <c r="A10" s="158">
        <v>-0.13900000000000001</v>
      </c>
      <c r="B10" s="52">
        <f t="shared" si="0"/>
        <v>7.1942446043165464</v>
      </c>
      <c r="C10" s="158">
        <v>0.45900000000000002</v>
      </c>
      <c r="D10" s="62">
        <f t="shared" si="1"/>
        <v>0.25</v>
      </c>
      <c r="E10" s="52">
        <f t="shared" si="2"/>
        <v>1.0015280135071873</v>
      </c>
      <c r="F10" s="63">
        <f t="shared" si="3"/>
        <v>100.15280135071873</v>
      </c>
      <c r="G10" s="63">
        <f t="shared" si="4"/>
        <v>-0.15280135071873246</v>
      </c>
      <c r="H10" s="50">
        <f t="shared" si="5"/>
        <v>-1.883073493338548</v>
      </c>
      <c r="I10" s="50">
        <f t="shared" ref="I10:I21" si="6">A10-H10</f>
        <v>1.744073493338548</v>
      </c>
      <c r="J10" s="63">
        <f>D10/$B$4*100</f>
        <v>119.61722488038278</v>
      </c>
      <c r="K10" s="10"/>
      <c r="L10" s="10"/>
      <c r="N10" s="55" t="s">
        <v>1</v>
      </c>
      <c r="O10" s="42">
        <f>STDEV(I10:I16)/STDEV(E10:E16)</f>
        <v>23.970792200615893</v>
      </c>
    </row>
    <row r="11" spans="1:15" ht="16" x14ac:dyDescent="0.4">
      <c r="A11" s="158">
        <v>-0.27</v>
      </c>
      <c r="B11" s="52">
        <f t="shared" si="0"/>
        <v>3.7037037037037033</v>
      </c>
      <c r="C11" s="158">
        <v>0.45700000000000002</v>
      </c>
      <c r="D11" s="62">
        <f t="shared" si="1"/>
        <v>0.24800000000000003</v>
      </c>
      <c r="E11" s="52">
        <f t="shared" si="2"/>
        <v>0.99351578939912988</v>
      </c>
      <c r="F11" s="63">
        <f t="shared" si="3"/>
        <v>99.351578939912983</v>
      </c>
      <c r="G11" s="63">
        <f t="shared" si="4"/>
        <v>0.64842106008701705</v>
      </c>
      <c r="H11" s="50">
        <f t="shared" si="5"/>
        <v>-1.9113244750029197</v>
      </c>
      <c r="I11" s="50">
        <f t="shared" si="6"/>
        <v>1.6413244750029197</v>
      </c>
      <c r="J11" s="63">
        <f>D11/$B$4*100</f>
        <v>118.66028708133973</v>
      </c>
      <c r="K11" s="10"/>
      <c r="L11" s="10"/>
      <c r="N11" s="53" t="s">
        <v>33</v>
      </c>
      <c r="O11" s="40">
        <f>STDEV(E10:E16)/STDEV(A10:A16)</f>
        <v>3.5762891994733023E-2</v>
      </c>
    </row>
    <row r="12" spans="1:15" ht="16.5" thickBot="1" x14ac:dyDescent="0.45">
      <c r="A12" s="158">
        <v>-0.41099999999999998</v>
      </c>
      <c r="B12" s="52">
        <f t="shared" si="0"/>
        <v>2.4330900243309004</v>
      </c>
      <c r="C12" s="158">
        <v>0.45400000000000001</v>
      </c>
      <c r="D12" s="62">
        <f t="shared" si="1"/>
        <v>0.24500000000000002</v>
      </c>
      <c r="E12" s="52">
        <f t="shared" si="2"/>
        <v>0.98149745323704363</v>
      </c>
      <c r="F12" s="63">
        <f t="shared" si="3"/>
        <v>98.149745323704366</v>
      </c>
      <c r="G12" s="63">
        <f t="shared" si="4"/>
        <v>1.8502546762956342</v>
      </c>
      <c r="H12" s="50">
        <f t="shared" si="5"/>
        <v>-1.9553269306650198</v>
      </c>
      <c r="I12" s="50">
        <f t="shared" si="6"/>
        <v>1.5443269306650198</v>
      </c>
      <c r="J12" s="63">
        <f>D12/$B$4*100</f>
        <v>117.22488038277514</v>
      </c>
      <c r="K12" s="10"/>
      <c r="L12" s="10"/>
      <c r="N12" s="54" t="s">
        <v>0</v>
      </c>
      <c r="O12" s="166">
        <f>STDEV(E16:E23)/STDEV(A16:A23)</f>
        <v>0.15006218785323722</v>
      </c>
    </row>
    <row r="13" spans="1:15" ht="16" x14ac:dyDescent="0.4">
      <c r="A13" s="158">
        <v>-0.438</v>
      </c>
      <c r="B13" s="52">
        <f t="shared" si="0"/>
        <v>2.2831050228310503</v>
      </c>
      <c r="C13" s="158">
        <v>0.45300000000000001</v>
      </c>
      <c r="D13" s="62">
        <f t="shared" si="1"/>
        <v>0.24400000000000002</v>
      </c>
      <c r="E13" s="52">
        <f t="shared" si="2"/>
        <v>0.97749134118301495</v>
      </c>
      <c r="F13" s="63">
        <f t="shared" si="3"/>
        <v>97.749134118301498</v>
      </c>
      <c r="G13" s="63">
        <f t="shared" si="4"/>
        <v>2.2508658816985019</v>
      </c>
      <c r="H13" s="50">
        <f t="shared" si="5"/>
        <v>-1.9704481302344043</v>
      </c>
      <c r="I13" s="50">
        <f t="shared" si="6"/>
        <v>1.5324481302344044</v>
      </c>
      <c r="J13" s="63">
        <f t="shared" ref="J13:J21" si="7">D13/$B$4*100</f>
        <v>116.7464114832536</v>
      </c>
      <c r="K13" s="10"/>
      <c r="L13" s="10"/>
      <c r="N13" s="56" t="s">
        <v>16</v>
      </c>
      <c r="O13" s="167">
        <f>O11*B26/18/(E3/10000)</f>
        <v>0.42983967452257532</v>
      </c>
    </row>
    <row r="14" spans="1:15" x14ac:dyDescent="0.35">
      <c r="A14" s="158">
        <v>-1.0900000000000001</v>
      </c>
      <c r="B14" s="52">
        <f t="shared" si="0"/>
        <v>0.9174311926605504</v>
      </c>
      <c r="C14" s="158">
        <v>0.44800000000000001</v>
      </c>
      <c r="D14" s="62">
        <f t="shared" si="1"/>
        <v>0.23900000000000002</v>
      </c>
      <c r="E14" s="52">
        <f t="shared" si="2"/>
        <v>0.95746078091287112</v>
      </c>
      <c r="F14" s="63">
        <f t="shared" si="3"/>
        <v>95.746078091287117</v>
      </c>
      <c r="G14" s="63">
        <f t="shared" si="4"/>
        <v>4.2539219087128828</v>
      </c>
      <c r="H14" s="50">
        <f t="shared" si="5"/>
        <v>-2.0497033507785685</v>
      </c>
      <c r="I14" s="50">
        <f t="shared" si="6"/>
        <v>0.95970335077856839</v>
      </c>
      <c r="J14" s="63">
        <f t="shared" si="7"/>
        <v>114.35406698564594</v>
      </c>
      <c r="K14" s="10"/>
      <c r="L14" s="10"/>
    </row>
    <row r="15" spans="1:15" ht="15" thickBot="1" x14ac:dyDescent="0.4">
      <c r="A15" s="158">
        <v>-1.71</v>
      </c>
      <c r="B15" s="52">
        <f t="shared" si="0"/>
        <v>0.58479532163742687</v>
      </c>
      <c r="C15" s="158">
        <v>0.44400000000000001</v>
      </c>
      <c r="D15" s="62">
        <f t="shared" si="1"/>
        <v>0.23500000000000001</v>
      </c>
      <c r="E15" s="52">
        <f t="shared" si="2"/>
        <v>0.9414363326967562</v>
      </c>
      <c r="F15" s="63">
        <f t="shared" si="3"/>
        <v>94.143633269675618</v>
      </c>
      <c r="G15" s="63">
        <f t="shared" si="4"/>
        <v>5.8563667303243818</v>
      </c>
      <c r="H15" s="50">
        <f t="shared" si="5"/>
        <v>-2.1178505755103099</v>
      </c>
      <c r="I15" s="50">
        <f t="shared" si="6"/>
        <v>0.4078505755103099</v>
      </c>
      <c r="J15" s="63">
        <f t="shared" si="7"/>
        <v>112.44019138755984</v>
      </c>
      <c r="K15" s="10"/>
      <c r="L15" s="10"/>
    </row>
    <row r="16" spans="1:15" ht="15" thickBot="1" x14ac:dyDescent="0.4">
      <c r="A16" s="162">
        <v>-2.14</v>
      </c>
      <c r="B16" s="117">
        <f t="shared" si="0"/>
        <v>0.46728971962616822</v>
      </c>
      <c r="C16" s="163">
        <v>0.44</v>
      </c>
      <c r="D16" s="118">
        <f t="shared" si="1"/>
        <v>0.23100000000000001</v>
      </c>
      <c r="E16" s="117">
        <f t="shared" si="2"/>
        <v>0.92541188448064116</v>
      </c>
      <c r="F16" s="119">
        <f t="shared" si="3"/>
        <v>92.541188448064119</v>
      </c>
      <c r="G16" s="119">
        <f t="shared" si="4"/>
        <v>7.4588115519358809</v>
      </c>
      <c r="H16" s="120">
        <f t="shared" si="5"/>
        <v>-2.1906850701887297</v>
      </c>
      <c r="I16" s="120">
        <f t="shared" si="6"/>
        <v>5.0685070188729586E-2</v>
      </c>
      <c r="J16" s="164">
        <f t="shared" si="7"/>
        <v>110.5263157894737</v>
      </c>
      <c r="K16" s="10"/>
      <c r="L16" s="10"/>
    </row>
    <row r="17" spans="1:12" x14ac:dyDescent="0.35">
      <c r="A17" s="158">
        <v>-2.2400000000000002</v>
      </c>
      <c r="B17" s="52">
        <f t="shared" si="0"/>
        <v>0.4464285714285714</v>
      </c>
      <c r="C17" s="158">
        <v>0.436</v>
      </c>
      <c r="D17" s="62">
        <f t="shared" si="1"/>
        <v>0.22700000000000001</v>
      </c>
      <c r="E17" s="52">
        <f t="shared" si="2"/>
        <v>0.90938743626452612</v>
      </c>
      <c r="F17" s="63">
        <f t="shared" si="3"/>
        <v>90.938743626452606</v>
      </c>
      <c r="G17" s="63">
        <f t="shared" si="4"/>
        <v>9.0612563735473941</v>
      </c>
      <c r="H17" s="50">
        <f t="shared" si="5"/>
        <v>-2.2687076547455471</v>
      </c>
      <c r="I17" s="50">
        <f t="shared" si="6"/>
        <v>2.8707654745546929E-2</v>
      </c>
      <c r="J17" s="63">
        <f t="shared" si="7"/>
        <v>108.61244019138756</v>
      </c>
      <c r="K17" s="10"/>
      <c r="L17" s="19"/>
    </row>
    <row r="18" spans="1:12" x14ac:dyDescent="0.35">
      <c r="A18" s="158">
        <v>-2.59</v>
      </c>
      <c r="B18" s="52">
        <f t="shared" si="0"/>
        <v>0.38610038610038611</v>
      </c>
      <c r="C18" s="158">
        <v>0.42699999999999999</v>
      </c>
      <c r="D18" s="62">
        <f t="shared" si="1"/>
        <v>0.218</v>
      </c>
      <c r="E18" s="52">
        <f t="shared" si="2"/>
        <v>0.87333242777826736</v>
      </c>
      <c r="F18" s="63">
        <f t="shared" si="3"/>
        <v>87.33324277782674</v>
      </c>
      <c r="G18" s="63">
        <f t="shared" si="4"/>
        <v>12.66675722217326</v>
      </c>
      <c r="H18" s="50">
        <f t="shared" si="5"/>
        <v>-2.4663488180503719</v>
      </c>
      <c r="I18" s="50">
        <f t="shared" si="6"/>
        <v>-0.12365118194962799</v>
      </c>
      <c r="J18" s="63">
        <f t="shared" si="7"/>
        <v>104.30622009569379</v>
      </c>
      <c r="K18" s="10"/>
    </row>
    <row r="19" spans="1:12" x14ac:dyDescent="0.35">
      <c r="A19" s="158">
        <v>-2.66</v>
      </c>
      <c r="B19" s="52">
        <f t="shared" si="0"/>
        <v>0.37593984962406013</v>
      </c>
      <c r="C19" s="158">
        <v>0.42199999999999999</v>
      </c>
      <c r="D19" s="62">
        <f t="shared" si="1"/>
        <v>0.21299999999999999</v>
      </c>
      <c r="E19" s="52">
        <f t="shared" si="2"/>
        <v>0.85330186750812353</v>
      </c>
      <c r="F19" s="63">
        <f t="shared" si="3"/>
        <v>85.330186750812359</v>
      </c>
      <c r="G19" s="63">
        <f t="shared" si="4"/>
        <v>14.669813249187641</v>
      </c>
      <c r="H19" s="50">
        <f t="shared" si="5"/>
        <v>-2.5917857605000201</v>
      </c>
      <c r="I19" s="50">
        <f t="shared" si="6"/>
        <v>-6.8214239499980067E-2</v>
      </c>
      <c r="J19" s="63">
        <f t="shared" si="7"/>
        <v>101.91387559808614</v>
      </c>
      <c r="K19" s="10"/>
    </row>
    <row r="20" spans="1:12" x14ac:dyDescent="0.35">
      <c r="A20" s="158">
        <v>-2.98</v>
      </c>
      <c r="B20" s="52">
        <f t="shared" si="0"/>
        <v>0.33557046979865773</v>
      </c>
      <c r="C20" s="158">
        <v>0.40899999999999997</v>
      </c>
      <c r="D20" s="62">
        <f t="shared" si="1"/>
        <v>0.19999999999999998</v>
      </c>
      <c r="E20" s="52">
        <f t="shared" si="2"/>
        <v>0.80122241080574974</v>
      </c>
      <c r="F20" s="63">
        <f t="shared" si="3"/>
        <v>80.12224108057498</v>
      </c>
      <c r="G20" s="63">
        <f t="shared" si="4"/>
        <v>19.87775891942502</v>
      </c>
      <c r="H20" s="50">
        <f t="shared" si="5"/>
        <v>-2.9867347039399204</v>
      </c>
      <c r="I20" s="50">
        <f t="shared" si="6"/>
        <v>6.7347039399203723E-3</v>
      </c>
      <c r="J20" s="63">
        <f t="shared" si="7"/>
        <v>95.693779904306226</v>
      </c>
      <c r="K20" s="10"/>
    </row>
    <row r="21" spans="1:12" x14ac:dyDescent="0.35">
      <c r="A21" s="150">
        <v>-3.21</v>
      </c>
      <c r="B21" s="52">
        <f t="shared" si="0"/>
        <v>0.3115264797507788</v>
      </c>
      <c r="C21" s="150">
        <v>0.4</v>
      </c>
      <c r="D21" s="62">
        <f t="shared" si="1"/>
        <v>0.19100000000000003</v>
      </c>
      <c r="E21" s="52">
        <f t="shared" si="2"/>
        <v>0.76516740231949121</v>
      </c>
      <c r="F21" s="63">
        <f t="shared" si="3"/>
        <v>76.516740231949115</v>
      </c>
      <c r="G21" s="63">
        <f t="shared" si="4"/>
        <v>23.483259768050885</v>
      </c>
      <c r="H21" s="50">
        <f t="shared" si="5"/>
        <v>-3.3389887314919027</v>
      </c>
      <c r="I21" s="50">
        <f t="shared" si="6"/>
        <v>0.12898873149190271</v>
      </c>
      <c r="J21" s="63">
        <f t="shared" si="7"/>
        <v>91.387559808612465</v>
      </c>
      <c r="K21" s="10"/>
    </row>
    <row r="22" spans="1:12" x14ac:dyDescent="0.35">
      <c r="A22" s="50"/>
      <c r="B22" s="121"/>
      <c r="C22" s="51"/>
      <c r="D22" s="62"/>
      <c r="E22" s="52"/>
      <c r="F22" s="63"/>
      <c r="G22" s="63"/>
      <c r="H22" s="50"/>
      <c r="I22" s="50"/>
      <c r="J22" s="108"/>
    </row>
    <row r="23" spans="1:12" x14ac:dyDescent="0.35">
      <c r="A23" s="50"/>
      <c r="B23" s="121"/>
      <c r="C23" s="51"/>
      <c r="D23" s="62"/>
      <c r="E23" s="52"/>
      <c r="F23" s="63"/>
      <c r="G23" s="63"/>
      <c r="H23" s="50"/>
      <c r="I23" s="50"/>
      <c r="J23" s="108"/>
    </row>
    <row r="24" spans="1:12" ht="15" x14ac:dyDescent="0.4">
      <c r="A24" s="13" t="s">
        <v>4</v>
      </c>
      <c r="B24" s="13"/>
      <c r="C24" s="23"/>
      <c r="D24" s="14"/>
      <c r="F24" s="34" t="s">
        <v>14</v>
      </c>
    </row>
    <row r="25" spans="1:12" x14ac:dyDescent="0.35">
      <c r="A25" s="3" t="s">
        <v>26</v>
      </c>
      <c r="B25" s="27">
        <f>STDEV(D10:D16)/STDEV(A10:A16)</f>
        <v>8.9270822963546572E-3</v>
      </c>
      <c r="C25" s="5" t="s">
        <v>24</v>
      </c>
      <c r="D25" s="28">
        <f>COUNT(D10:D16)</f>
        <v>7</v>
      </c>
      <c r="F25" s="35" t="s">
        <v>26</v>
      </c>
      <c r="G25" s="30">
        <f>-STDEV(B16:B21)/STDEV(G16:G21)</f>
        <v>-9.7966764188400311E-3</v>
      </c>
      <c r="H25" s="5" t="s">
        <v>24</v>
      </c>
      <c r="I25" s="28">
        <f>COUNT(B16:B21)</f>
        <v>6</v>
      </c>
    </row>
    <row r="26" spans="1:12" ht="15.5" x14ac:dyDescent="0.35">
      <c r="A26" s="3" t="s">
        <v>3</v>
      </c>
      <c r="B26" s="24">
        <f>AVERAGE(D10:D16)-B25*AVERAGE(A10:A16)</f>
        <v>0.24961857943897234</v>
      </c>
      <c r="C26" s="26" t="s">
        <v>7</v>
      </c>
      <c r="F26" s="35" t="s">
        <v>3</v>
      </c>
      <c r="G26" s="31">
        <f>AVERAGE(B16:B21)-G25*AVERAGE(G16:G21)</f>
        <v>0.52954977346550958</v>
      </c>
      <c r="H26" s="2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info</vt:lpstr>
      <vt:lpstr>Mol_4</vt:lpstr>
      <vt:lpstr>Mol_6</vt:lpstr>
      <vt:lpstr>Mol_3</vt:lpstr>
      <vt:lpstr>Mol_9</vt:lpstr>
      <vt:lpstr>Mol_7</vt:lpstr>
      <vt:lpstr>Mol_8</vt:lpstr>
      <vt:lpstr>Fib_2</vt:lpstr>
      <vt:lpstr>Fib_3</vt:lpstr>
      <vt:lpstr>Fib_9</vt:lpstr>
      <vt:lpstr>Fib_5</vt:lpstr>
      <vt:lpstr>Fib_6</vt:lpstr>
      <vt:lpstr>Fib_8</vt:lpstr>
      <vt:lpstr>Ter_1</vt:lpstr>
      <vt:lpstr>Ter_3</vt:lpstr>
      <vt:lpstr>Ter_8</vt:lpstr>
      <vt:lpstr>Ter_6</vt:lpstr>
      <vt:lpstr>Ter_7</vt:lpstr>
      <vt:lpstr>Ter_9</vt:lpstr>
      <vt:lpstr>Sid_4</vt:lpstr>
      <vt:lpstr>Sid_7</vt:lpstr>
      <vt:lpstr>Sid_9</vt:lpstr>
      <vt:lpstr>Sid_1</vt:lpstr>
      <vt:lpstr>Sid_2</vt:lpstr>
      <vt:lpstr>Sid_6</vt:lpstr>
      <vt:lpstr>Cre_1</vt:lpstr>
      <vt:lpstr>Cre_6</vt:lpstr>
      <vt:lpstr>Cre_9</vt:lpstr>
      <vt:lpstr>Cre_3</vt:lpstr>
      <vt:lpstr>Cre_8</vt:lpstr>
      <vt:lpstr>Cre_10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McNeice</dc:creator>
  <cp:lastModifiedBy>William McNeice</cp:lastModifiedBy>
  <cp:lastPrinted>2007-11-14T20:05:53Z</cp:lastPrinted>
  <dcterms:created xsi:type="dcterms:W3CDTF">2007-11-02T03:01:16Z</dcterms:created>
  <dcterms:modified xsi:type="dcterms:W3CDTF">2025-04-07T06:28:49Z</dcterms:modified>
</cp:coreProperties>
</file>