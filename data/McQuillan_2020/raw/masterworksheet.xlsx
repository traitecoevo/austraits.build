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ann\Desktop\"/>
    </mc:Choice>
  </mc:AlternateContent>
  <xr:revisionPtr revIDLastSave="0" documentId="8_{73CC7428-33B4-4E96-A8E2-99144AAD8CCF}" xr6:coauthVersionLast="47" xr6:coauthVersionMax="47" xr10:uidLastSave="{00000000-0000-0000-0000-000000000000}"/>
  <bookViews>
    <workbookView xWindow="28680" yWindow="-1995" windowWidth="29040" windowHeight="17640" activeTab="1" xr2:uid="{00000000-000D-0000-FFFF-FFFF00000000}"/>
  </bookViews>
  <sheets>
    <sheet name="worksheet" sheetId="1" r:id="rId1"/>
    <sheet name="site description table" sheetId="2" r:id="rId2"/>
    <sheet name="Plant results tab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O7" i="1"/>
  <c r="AO4" i="1"/>
  <c r="AO20" i="1"/>
  <c r="AO16" i="1"/>
  <c r="AO52" i="1"/>
  <c r="AO10" i="1"/>
  <c r="AO23" i="1"/>
  <c r="AO24" i="1"/>
  <c r="AO46" i="1"/>
  <c r="AO44" i="1"/>
  <c r="AO40" i="1"/>
  <c r="AO30" i="1"/>
  <c r="AO49" i="1"/>
  <c r="AO35" i="1"/>
  <c r="AO51" i="1"/>
  <c r="AO32" i="1"/>
  <c r="AO33" i="1"/>
  <c r="AO34" i="1"/>
  <c r="AO42" i="1"/>
  <c r="AO31" i="1"/>
  <c r="AO14" i="1"/>
  <c r="AO53" i="1"/>
  <c r="AO50" i="1"/>
  <c r="AO21" i="1"/>
  <c r="AO25" i="1"/>
  <c r="AO15" i="1"/>
  <c r="AO8" i="1"/>
  <c r="AO47" i="1"/>
  <c r="AO45" i="1"/>
  <c r="AO2" i="1"/>
  <c r="AO5" i="1"/>
  <c r="AO3" i="1"/>
  <c r="AO18" i="1"/>
  <c r="AO37" i="1"/>
  <c r="AO43" i="1"/>
  <c r="AO28" i="1"/>
  <c r="AO13" i="1"/>
  <c r="AO38" i="1"/>
  <c r="AO11" i="1"/>
  <c r="AO17" i="1"/>
  <c r="AO19" i="1"/>
  <c r="AO12" i="1"/>
  <c r="AO36" i="1"/>
  <c r="AO48" i="1"/>
  <c r="AO41" i="1"/>
  <c r="AO27" i="1"/>
  <c r="AO9" i="1"/>
  <c r="AO22" i="1"/>
  <c r="AO29" i="1"/>
  <c r="AO6" i="1"/>
  <c r="AO26" i="1"/>
  <c r="P46" i="1" l="1"/>
  <c r="P44" i="1"/>
  <c r="P40" i="1"/>
  <c r="P45" i="1"/>
  <c r="P30" i="1"/>
  <c r="P49" i="1"/>
  <c r="P35" i="1"/>
  <c r="P51" i="1"/>
  <c r="P2" i="1"/>
  <c r="P32" i="1"/>
  <c r="P5" i="1"/>
  <c r="P31" i="1"/>
  <c r="P3" i="1"/>
  <c r="P18" i="1"/>
  <c r="P37" i="1"/>
  <c r="P43" i="1"/>
  <c r="P28" i="1"/>
  <c r="P13" i="1"/>
  <c r="P38" i="1"/>
  <c r="P26" i="1"/>
  <c r="P11" i="1"/>
  <c r="P33" i="1"/>
  <c r="P34" i="1"/>
  <c r="P17" i="1"/>
  <c r="P19" i="1"/>
  <c r="P14" i="1"/>
  <c r="P12" i="1"/>
  <c r="P42" i="1"/>
  <c r="P36" i="1"/>
  <c r="P48" i="1"/>
  <c r="P41" i="1"/>
  <c r="P27" i="1"/>
  <c r="P9" i="1"/>
  <c r="P22" i="1"/>
  <c r="P29" i="1"/>
  <c r="P39" i="1"/>
  <c r="P53" i="1"/>
  <c r="P6" i="1"/>
  <c r="P7" i="1"/>
  <c r="P4" i="1"/>
  <c r="P50" i="1"/>
  <c r="P20" i="1"/>
  <c r="P16" i="1"/>
  <c r="P52" i="1"/>
  <c r="P21" i="1"/>
  <c r="P25" i="1"/>
  <c r="P10" i="1"/>
  <c r="P15" i="1"/>
  <c r="P23" i="1"/>
  <c r="P24" i="1"/>
  <c r="P8" i="1"/>
  <c r="P47" i="1"/>
</calcChain>
</file>

<file path=xl/sharedStrings.xml><?xml version="1.0" encoding="utf-8"?>
<sst xmlns="http://schemas.openxmlformats.org/spreadsheetml/2006/main" count="654" uniqueCount="146">
  <si>
    <t>Plant_sample_name</t>
  </si>
  <si>
    <t>Genus</t>
  </si>
  <si>
    <t>species</t>
  </si>
  <si>
    <t>Plant [K]</t>
  </si>
  <si>
    <t>Plant [Ca]</t>
  </si>
  <si>
    <t>Plant [Mg]</t>
  </si>
  <si>
    <t>Plant [S]</t>
  </si>
  <si>
    <t>Fe(mg/kg)</t>
  </si>
  <si>
    <t>Plant [Zn]</t>
  </si>
  <si>
    <t>Plant [Cu]</t>
  </si>
  <si>
    <t>Plant [Mn]</t>
  </si>
  <si>
    <t>Plant [P]</t>
  </si>
  <si>
    <t>N(%)</t>
  </si>
  <si>
    <t>C(%)</t>
  </si>
  <si>
    <t xml:space="preserve">locality description </t>
  </si>
  <si>
    <t>sampleDate</t>
  </si>
  <si>
    <t>decimalLon</t>
  </si>
  <si>
    <t>decimalLat</t>
  </si>
  <si>
    <t>Mean_Annual_Temperature</t>
  </si>
  <si>
    <t>Mean_Anual_Precipitation</t>
  </si>
  <si>
    <t>elev9s</t>
  </si>
  <si>
    <t>Soil P (mg/kg)</t>
  </si>
  <si>
    <t>Soil S (mg/kg)</t>
  </si>
  <si>
    <t>Soil Zn (mg/kg)</t>
  </si>
  <si>
    <t>Soil Cu (mg/kg)</t>
  </si>
  <si>
    <t>Soil Mn (mg/kg)</t>
  </si>
  <si>
    <t>Soil Fe (mg/kg)</t>
  </si>
  <si>
    <t>Soil Al (mg/kg)</t>
  </si>
  <si>
    <t>Collwell [P]</t>
  </si>
  <si>
    <t>ortho</t>
  </si>
  <si>
    <t>lipid</t>
  </si>
  <si>
    <t>phytate</t>
  </si>
  <si>
    <t>RNA</t>
  </si>
  <si>
    <t>leaf P%</t>
  </si>
  <si>
    <t>N:P ratios</t>
  </si>
  <si>
    <t>MKT-01</t>
  </si>
  <si>
    <t>Eucalyptus</t>
  </si>
  <si>
    <t>pauciflora</t>
  </si>
  <si>
    <t>Mountain Gum - Snow Gum grassy open forest- Unburnt</t>
  </si>
  <si>
    <t>5/16/2018</t>
  </si>
  <si>
    <t>PNPT4-01</t>
  </si>
  <si>
    <t>microcarpa</t>
  </si>
  <si>
    <t>Narrow-leaved Ironbark - White Cypress Pine - Buloke tall open forest</t>
  </si>
  <si>
    <t>5/15/2018</t>
  </si>
  <si>
    <t>RSS12-02</t>
  </si>
  <si>
    <t xml:space="preserve">blakelyi </t>
  </si>
  <si>
    <t xml:space="preserve">Warrumbungles national park, near camp blackman (phone point) (still on site) road side </t>
  </si>
  <si>
    <t>RSS11-04</t>
  </si>
  <si>
    <t>State forrest Gilgandra</t>
  </si>
  <si>
    <t>GNPT-01A-D</t>
  </si>
  <si>
    <t>Neofabricia myrtifolia +/- Jacksonia thesioides open to closed heath on dunefields</t>
  </si>
  <si>
    <t>RSS17-11</t>
  </si>
  <si>
    <t xml:space="preserve">near ancient geological site, table lands </t>
  </si>
  <si>
    <t>5/17/2018</t>
  </si>
  <si>
    <t>MKT-03-A-B</t>
  </si>
  <si>
    <t>RSS17-01</t>
  </si>
  <si>
    <t>camaldulensis</t>
  </si>
  <si>
    <t>Road side sample from Mt Kaputar to Torrington near craigdon BnB</t>
  </si>
  <si>
    <t>RSS17-02</t>
  </si>
  <si>
    <t xml:space="preserve">Road side sample near Mt Kaputar, near Killarney callitris state forrest </t>
  </si>
  <si>
    <t>RSS17-04</t>
  </si>
  <si>
    <t>Near Kaputar, near narrabri street number 1324</t>
  </si>
  <si>
    <t>RSSx-01</t>
  </si>
  <si>
    <t>Road side sample in ETOO Creek 30 - 50 min into Pilliga</t>
  </si>
  <si>
    <t>5/13/2018</t>
  </si>
  <si>
    <t>RSSx-02</t>
  </si>
  <si>
    <t xml:space="preserve">on edge of pilliga near Baradine </t>
  </si>
  <si>
    <t>RSS11-05</t>
  </si>
  <si>
    <t>RSS10-01</t>
  </si>
  <si>
    <t>Near gooband NP Trewilga</t>
  </si>
  <si>
    <t>GNPT-03</t>
  </si>
  <si>
    <t>Mugga Ironbark - Western Grey Box - cypress pine tall woodland on footslope of low hill</t>
  </si>
  <si>
    <t>GNPT-04 A-C</t>
  </si>
  <si>
    <t>WNP-03-01</t>
  </si>
  <si>
    <t>WNP-04-01</t>
  </si>
  <si>
    <t>Black Cypress Pine - Narrow-leaved Ironbark -  shrubby open forest on hill</t>
  </si>
  <si>
    <t>RSS17-06</t>
  </si>
  <si>
    <t>Base of Mt Kaputar near creek, near house, near road works, house number 2370</t>
  </si>
  <si>
    <t>RSS10-04</t>
  </si>
  <si>
    <t xml:space="preserve">sideroxylon </t>
  </si>
  <si>
    <t xml:space="preserve">On road to Dubbo half way from Tomingley </t>
  </si>
  <si>
    <t>RSS17-10</t>
  </si>
  <si>
    <t>Callitris</t>
  </si>
  <si>
    <t>glaucophylla</t>
  </si>
  <si>
    <t>RSS17-12</t>
  </si>
  <si>
    <t>Einadia</t>
  </si>
  <si>
    <t>nutans</t>
  </si>
  <si>
    <t>RSS12-01</t>
  </si>
  <si>
    <t>Acacia</t>
  </si>
  <si>
    <t>decora</t>
  </si>
  <si>
    <t>GNPT-02 A-B</t>
  </si>
  <si>
    <t>PNPT4-01-02</t>
  </si>
  <si>
    <t>RSS17-13</t>
  </si>
  <si>
    <t>AUS012364</t>
  </si>
  <si>
    <t>RSS17-14</t>
  </si>
  <si>
    <t>RSS17-15</t>
  </si>
  <si>
    <t>RSS11-06</t>
  </si>
  <si>
    <t>RSS10-02</t>
  </si>
  <si>
    <t>RSS10-03</t>
  </si>
  <si>
    <t>MKT-02</t>
  </si>
  <si>
    <t>RSS17-03</t>
  </si>
  <si>
    <t>RSS17-05</t>
  </si>
  <si>
    <t>RSS17-07</t>
  </si>
  <si>
    <t>base of Mt Kaputar near creek, near house, near road works, house number 2370</t>
  </si>
  <si>
    <t>RSS17-08</t>
  </si>
  <si>
    <t xml:space="preserve">on the way down Mt Kaputar </t>
  </si>
  <si>
    <t>RSS17-09</t>
  </si>
  <si>
    <t>PNPT3-01</t>
  </si>
  <si>
    <t>PNPT3-02</t>
  </si>
  <si>
    <t>PNPT3-01-01</t>
  </si>
  <si>
    <t>PNPT2-01</t>
  </si>
  <si>
    <t>5/14/2018</t>
  </si>
  <si>
    <t>RSS11-01</t>
  </si>
  <si>
    <t>Next to creek in valley in Warumbungles (maybe picture or screenshot)</t>
  </si>
  <si>
    <t>RSS11-03</t>
  </si>
  <si>
    <t xml:space="preserve">on road near Tooraweenah </t>
  </si>
  <si>
    <t>RSS10-05</t>
  </si>
  <si>
    <t>RSS10-06</t>
  </si>
  <si>
    <t>North of Dubbo by Coolbaggle creek</t>
  </si>
  <si>
    <t>WNP-01-02</t>
  </si>
  <si>
    <t>WNP-02-01</t>
  </si>
  <si>
    <t>WNP-02-02</t>
  </si>
  <si>
    <t>WNP-03-02</t>
  </si>
  <si>
    <t>WNP-04-02 A-B</t>
  </si>
  <si>
    <t>ASC_Order</t>
  </si>
  <si>
    <t>Rudosols and Tenosols</t>
  </si>
  <si>
    <t>Sodosols</t>
  </si>
  <si>
    <t>Chromosols</t>
  </si>
  <si>
    <t>Vertosols</t>
  </si>
  <si>
    <t>Kurosols</t>
  </si>
  <si>
    <t>objectID</t>
  </si>
  <si>
    <t>P %</t>
  </si>
  <si>
    <t>storage to biochem</t>
  </si>
  <si>
    <t>Site ID</t>
  </si>
  <si>
    <t>Site no.</t>
  </si>
  <si>
    <t>TERN</t>
  </si>
  <si>
    <t>RSS</t>
  </si>
  <si>
    <t>Mean Annual Precipitation</t>
  </si>
  <si>
    <t>Mean Annual Temperature</t>
  </si>
  <si>
    <t xml:space="preserve">Elevation </t>
  </si>
  <si>
    <t xml:space="preserve">Latitude </t>
  </si>
  <si>
    <t>Longitude</t>
  </si>
  <si>
    <t>Species</t>
  </si>
  <si>
    <t>NA</t>
  </si>
  <si>
    <t xml:space="preserve">Australian Soil Classification order </t>
  </si>
  <si>
    <t>leaf 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</si>
</sst>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3">
    <xf numFmtId="0" fontId="0" fillId="0" borderId="0" xfId="0"/>
    <xf numFmtId="14" fontId="0" fillId="0" borderId="0" xfId="0" applyNumberFormat="1"/>
    <xf numFmtId="0" fontId="19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164" fontId="0" fillId="0" borderId="25" xfId="0" applyNumberFormat="1" applyBorder="1" applyAlignment="1">
      <alignment horizontal="left" vertical="center"/>
    </xf>
    <xf numFmtId="166" fontId="0" fillId="0" borderId="25" xfId="0" applyNumberFormat="1" applyBorder="1" applyAlignment="1">
      <alignment horizontal="left" vertical="center"/>
    </xf>
    <xf numFmtId="1" fontId="0" fillId="0" borderId="25" xfId="0" applyNumberForma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165" fontId="0" fillId="0" borderId="25" xfId="0" applyNumberForma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0" fillId="0" borderId="10" xfId="0" applyBorder="1"/>
    <xf numFmtId="0" fontId="16" fillId="0" borderId="10" xfId="0" applyFont="1" applyBorder="1"/>
    <xf numFmtId="0" fontId="16" fillId="0" borderId="0" xfId="0" applyFont="1"/>
    <xf numFmtId="166" fontId="0" fillId="0" borderId="15" xfId="0" applyNumberFormat="1" applyBorder="1" applyAlignment="1">
      <alignment horizontal="left" vertical="center"/>
    </xf>
    <xf numFmtId="166" fontId="0" fillId="0" borderId="10" xfId="0" applyNumberFormat="1" applyBorder="1" applyAlignment="1">
      <alignment horizontal="left" vertical="center"/>
    </xf>
    <xf numFmtId="166" fontId="0" fillId="0" borderId="21" xfId="0" applyNumberFormat="1" applyBorder="1" applyAlignment="1">
      <alignment horizontal="left" vertical="center"/>
    </xf>
    <xf numFmtId="164" fontId="0" fillId="0" borderId="15" xfId="0" applyNumberFormat="1" applyBorder="1" applyAlignment="1">
      <alignment horizontal="left" vertical="center"/>
    </xf>
    <xf numFmtId="164" fontId="0" fillId="0" borderId="10" xfId="0" applyNumberFormat="1" applyBorder="1" applyAlignment="1">
      <alignment horizontal="left" vertical="center"/>
    </xf>
    <xf numFmtId="164" fontId="0" fillId="0" borderId="21" xfId="0" applyNumberFormat="1" applyBorder="1" applyAlignment="1">
      <alignment horizontal="left" vertical="center"/>
    </xf>
    <xf numFmtId="1" fontId="0" fillId="0" borderId="15" xfId="0" applyNumberFormat="1" applyBorder="1" applyAlignment="1">
      <alignment horizontal="left" vertical="center"/>
    </xf>
    <xf numFmtId="1" fontId="0" fillId="0" borderId="10" xfId="0" applyNumberFormat="1" applyBorder="1" applyAlignment="1">
      <alignment horizontal="left" vertical="center"/>
    </xf>
    <xf numFmtId="1" fontId="0" fillId="0" borderId="21" xfId="0" applyNumberForma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164" fontId="0" fillId="0" borderId="15" xfId="0" applyNumberFormat="1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164" fontId="0" fillId="0" borderId="21" xfId="0" applyNumberFormat="1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3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S32" sqref="S32"/>
    </sheetView>
  </sheetViews>
  <sheetFormatPr defaultRowHeight="15" x14ac:dyDescent="0.25"/>
  <cols>
    <col min="1" max="1" width="8.42578125" bestFit="1" customWidth="1"/>
    <col min="2" max="3" width="8.42578125" customWidth="1"/>
    <col min="4" max="4" width="19.28515625" bestFit="1" customWidth="1"/>
    <col min="5" max="5" width="10.42578125" bestFit="1" customWidth="1"/>
    <col min="6" max="6" width="13.7109375" bestFit="1" customWidth="1"/>
    <col min="7" max="7" width="8.5703125" bestFit="1" customWidth="1"/>
    <col min="8" max="8" width="9.5703125" bestFit="1" customWidth="1"/>
    <col min="9" max="9" width="10.140625" bestFit="1" customWidth="1"/>
    <col min="10" max="10" width="8.42578125" bestFit="1" customWidth="1"/>
    <col min="11" max="11" width="10.140625" bestFit="1" customWidth="1"/>
    <col min="12" max="12" width="9.5703125" bestFit="1" customWidth="1"/>
    <col min="13" max="13" width="9.7109375" bestFit="1" customWidth="1"/>
    <col min="14" max="14" width="10.28515625" bestFit="1" customWidth="1"/>
    <col min="15" max="15" width="8.5703125" bestFit="1" customWidth="1"/>
    <col min="16" max="16" width="8.5703125" customWidth="1"/>
    <col min="17" max="17" width="5.42578125" bestFit="1" customWidth="1"/>
    <col min="18" max="18" width="5.140625" bestFit="1" customWidth="1"/>
    <col min="19" max="19" width="81.85546875" bestFit="1" customWidth="1"/>
    <col min="20" max="20" width="11.5703125" bestFit="1" customWidth="1"/>
    <col min="21" max="21" width="11.140625" bestFit="1" customWidth="1"/>
    <col min="22" max="22" width="10.7109375" bestFit="1" customWidth="1"/>
    <col min="23" max="23" width="26.42578125" bestFit="1" customWidth="1"/>
    <col min="24" max="24" width="25" bestFit="1" customWidth="1"/>
    <col min="25" max="25" width="8" bestFit="1" customWidth="1"/>
    <col min="26" max="26" width="13.42578125" bestFit="1" customWidth="1"/>
    <col min="27" max="27" width="13.28515625" bestFit="1" customWidth="1"/>
    <col min="28" max="28" width="14.42578125" bestFit="1" customWidth="1"/>
    <col min="29" max="29" width="14.5703125" bestFit="1" customWidth="1"/>
    <col min="30" max="30" width="15.140625" bestFit="1" customWidth="1"/>
    <col min="31" max="31" width="14.42578125" bestFit="1" customWidth="1"/>
    <col min="32" max="32" width="14.140625" bestFit="1" customWidth="1"/>
    <col min="33" max="33" width="12" bestFit="1" customWidth="1"/>
    <col min="34" max="34" width="5.85546875" bestFit="1" customWidth="1"/>
    <col min="35" max="35" width="5" bestFit="1" customWidth="1"/>
    <col min="36" max="36" width="7.85546875" bestFit="1" customWidth="1"/>
    <col min="37" max="37" width="4.85546875" bestFit="1" customWidth="1"/>
    <col min="38" max="38" width="7.5703125" bestFit="1" customWidth="1"/>
    <col min="39" max="39" width="12" bestFit="1" customWidth="1"/>
    <col min="40" max="40" width="21.42578125" bestFit="1" customWidth="1"/>
  </cols>
  <sheetData>
    <row r="1" spans="1:41" ht="15.75" x14ac:dyDescent="0.25">
      <c r="A1" t="s">
        <v>130</v>
      </c>
      <c r="B1" s="2" t="s">
        <v>133</v>
      </c>
      <c r="C1" s="2" t="s">
        <v>134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131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124</v>
      </c>
      <c r="AO1" t="s">
        <v>132</v>
      </c>
    </row>
    <row r="2" spans="1:41" ht="15.75" x14ac:dyDescent="0.25">
      <c r="A2">
        <v>16</v>
      </c>
      <c r="B2" s="2" t="s">
        <v>135</v>
      </c>
      <c r="C2">
        <v>1</v>
      </c>
      <c r="D2" t="s">
        <v>70</v>
      </c>
      <c r="E2" t="s">
        <v>36</v>
      </c>
      <c r="F2" t="s">
        <v>41</v>
      </c>
      <c r="G2">
        <v>5539</v>
      </c>
      <c r="H2">
        <v>9158</v>
      </c>
      <c r="I2">
        <v>1474</v>
      </c>
      <c r="J2">
        <v>785</v>
      </c>
      <c r="K2">
        <v>258</v>
      </c>
      <c r="L2">
        <v>10</v>
      </c>
      <c r="M2">
        <v>2</v>
      </c>
      <c r="N2">
        <v>371</v>
      </c>
      <c r="O2">
        <v>560</v>
      </c>
      <c r="P2">
        <f t="shared" ref="P2:P33" si="0">O2/1000</f>
        <v>0.56000000000000005</v>
      </c>
      <c r="Q2">
        <v>1.19</v>
      </c>
      <c r="R2">
        <v>48.7</v>
      </c>
      <c r="S2" t="s">
        <v>71</v>
      </c>
      <c r="T2" s="1">
        <v>43317</v>
      </c>
      <c r="U2">
        <v>148.34747999999999</v>
      </c>
      <c r="V2">
        <v>-32.749786</v>
      </c>
      <c r="W2">
        <v>15.661</v>
      </c>
      <c r="X2">
        <v>669.67100000000005</v>
      </c>
      <c r="Y2">
        <v>572.05799999999999</v>
      </c>
      <c r="Z2">
        <v>348</v>
      </c>
      <c r="AA2">
        <v>241</v>
      </c>
      <c r="AB2">
        <v>21</v>
      </c>
      <c r="AC2">
        <v>13</v>
      </c>
      <c r="AD2">
        <v>782</v>
      </c>
      <c r="AE2">
        <v>21361</v>
      </c>
      <c r="AF2">
        <v>29272</v>
      </c>
      <c r="AG2">
        <v>9.3792280140000006</v>
      </c>
      <c r="AH2">
        <v>161</v>
      </c>
      <c r="AI2">
        <v>188</v>
      </c>
      <c r="AJ2">
        <v>0</v>
      </c>
      <c r="AK2">
        <v>154</v>
      </c>
      <c r="AL2">
        <v>0.56000000000000005</v>
      </c>
      <c r="AM2">
        <v>2.125</v>
      </c>
      <c r="AN2" t="s">
        <v>127</v>
      </c>
      <c r="AO2">
        <f t="shared" ref="AO2:AO33" si="1">(AJ2+AH2)/(AI2+AK2)</f>
        <v>0.47076023391812866</v>
      </c>
    </row>
    <row r="3" spans="1:41" ht="15.75" x14ac:dyDescent="0.25">
      <c r="A3">
        <v>17</v>
      </c>
      <c r="B3" s="2" t="s">
        <v>135</v>
      </c>
      <c r="C3">
        <v>1</v>
      </c>
      <c r="D3" t="s">
        <v>72</v>
      </c>
      <c r="E3" t="s">
        <v>36</v>
      </c>
      <c r="F3" t="s">
        <v>45</v>
      </c>
      <c r="G3">
        <v>4626</v>
      </c>
      <c r="H3">
        <v>8483</v>
      </c>
      <c r="I3">
        <v>1951</v>
      </c>
      <c r="J3">
        <v>919</v>
      </c>
      <c r="K3">
        <v>422</v>
      </c>
      <c r="L3">
        <v>10</v>
      </c>
      <c r="M3">
        <v>2</v>
      </c>
      <c r="N3">
        <v>567</v>
      </c>
      <c r="O3">
        <v>753</v>
      </c>
      <c r="P3">
        <f t="shared" si="0"/>
        <v>0.753</v>
      </c>
      <c r="Q3">
        <v>1.21</v>
      </c>
      <c r="R3">
        <v>49.3</v>
      </c>
      <c r="S3" t="s">
        <v>71</v>
      </c>
      <c r="T3" s="1">
        <v>43317</v>
      </c>
      <c r="U3">
        <v>148.34747999999999</v>
      </c>
      <c r="V3">
        <v>-32.749786</v>
      </c>
      <c r="W3">
        <v>15.661</v>
      </c>
      <c r="X3">
        <v>669.67100000000005</v>
      </c>
      <c r="Y3">
        <v>572.05799999999999</v>
      </c>
      <c r="Z3">
        <v>348</v>
      </c>
      <c r="AA3">
        <v>241</v>
      </c>
      <c r="AB3">
        <v>21</v>
      </c>
      <c r="AC3">
        <v>13</v>
      </c>
      <c r="AD3">
        <v>782</v>
      </c>
      <c r="AE3">
        <v>21361</v>
      </c>
      <c r="AF3">
        <v>29272</v>
      </c>
      <c r="AG3">
        <v>9.3792280140000006</v>
      </c>
      <c r="AH3">
        <v>275</v>
      </c>
      <c r="AI3">
        <v>234</v>
      </c>
      <c r="AJ3">
        <v>50</v>
      </c>
      <c r="AK3">
        <v>111</v>
      </c>
      <c r="AL3">
        <v>0.753</v>
      </c>
      <c r="AM3">
        <v>1.6069057099999999</v>
      </c>
      <c r="AN3" t="s">
        <v>127</v>
      </c>
      <c r="AO3">
        <f t="shared" si="1"/>
        <v>0.94202898550724634</v>
      </c>
    </row>
    <row r="4" spans="1:41" ht="15.75" x14ac:dyDescent="0.25">
      <c r="A4">
        <v>25</v>
      </c>
      <c r="B4" s="2" t="s">
        <v>135</v>
      </c>
      <c r="C4">
        <v>1</v>
      </c>
      <c r="D4" t="s">
        <v>90</v>
      </c>
      <c r="E4" t="s">
        <v>88</v>
      </c>
      <c r="F4" t="s">
        <v>89</v>
      </c>
      <c r="G4">
        <v>4721</v>
      </c>
      <c r="H4">
        <v>2185</v>
      </c>
      <c r="I4">
        <v>2048</v>
      </c>
      <c r="J4">
        <v>638</v>
      </c>
      <c r="K4">
        <v>433</v>
      </c>
      <c r="L4">
        <v>9</v>
      </c>
      <c r="M4">
        <v>1</v>
      </c>
      <c r="N4">
        <v>39</v>
      </c>
      <c r="O4">
        <v>490</v>
      </c>
      <c r="P4">
        <f t="shared" si="0"/>
        <v>0.49</v>
      </c>
      <c r="Q4">
        <v>1.77</v>
      </c>
      <c r="R4">
        <v>46.7</v>
      </c>
      <c r="S4" t="s">
        <v>71</v>
      </c>
      <c r="T4" s="1">
        <v>43317</v>
      </c>
      <c r="U4">
        <v>148.34747999999999</v>
      </c>
      <c r="V4">
        <v>-32.749786</v>
      </c>
      <c r="W4">
        <v>15.661</v>
      </c>
      <c r="X4">
        <v>669.67100000000005</v>
      </c>
      <c r="Y4">
        <v>572.05799999999999</v>
      </c>
      <c r="Z4">
        <v>348</v>
      </c>
      <c r="AA4">
        <v>241</v>
      </c>
      <c r="AB4">
        <v>21</v>
      </c>
      <c r="AC4">
        <v>13</v>
      </c>
      <c r="AD4">
        <v>782</v>
      </c>
      <c r="AE4">
        <v>21361</v>
      </c>
      <c r="AF4">
        <v>29272</v>
      </c>
      <c r="AG4">
        <v>9.3792280140000006</v>
      </c>
      <c r="AH4">
        <v>211</v>
      </c>
      <c r="AI4">
        <v>132</v>
      </c>
      <c r="AJ4">
        <v>0</v>
      </c>
      <c r="AK4">
        <v>70</v>
      </c>
      <c r="AL4">
        <v>0.49</v>
      </c>
      <c r="AM4">
        <v>3.6122448980000001</v>
      </c>
      <c r="AN4" t="s">
        <v>127</v>
      </c>
      <c r="AO4">
        <f t="shared" si="1"/>
        <v>1.0445544554455446</v>
      </c>
    </row>
    <row r="5" spans="1:41" ht="15.75" x14ac:dyDescent="0.25">
      <c r="A5">
        <v>5</v>
      </c>
      <c r="B5" s="2" t="s">
        <v>135</v>
      </c>
      <c r="C5">
        <v>2</v>
      </c>
      <c r="D5" t="s">
        <v>49</v>
      </c>
      <c r="E5" t="s">
        <v>36</v>
      </c>
      <c r="F5" t="s">
        <v>45</v>
      </c>
      <c r="G5">
        <v>8196</v>
      </c>
      <c r="H5">
        <v>6030</v>
      </c>
      <c r="I5">
        <v>1640</v>
      </c>
      <c r="J5">
        <v>769</v>
      </c>
      <c r="K5">
        <v>263</v>
      </c>
      <c r="L5">
        <v>17</v>
      </c>
      <c r="M5">
        <v>7</v>
      </c>
      <c r="N5">
        <v>376</v>
      </c>
      <c r="O5">
        <v>744</v>
      </c>
      <c r="P5">
        <f t="shared" si="0"/>
        <v>0.74399999999999999</v>
      </c>
      <c r="Q5">
        <v>1.2</v>
      </c>
      <c r="R5">
        <v>47.3</v>
      </c>
      <c r="S5" t="s">
        <v>50</v>
      </c>
      <c r="T5" s="1">
        <v>43348</v>
      </c>
      <c r="U5">
        <v>148.32397499999999</v>
      </c>
      <c r="V5">
        <v>-32.835231999999998</v>
      </c>
      <c r="W5">
        <v>16.600000000000001</v>
      </c>
      <c r="X5">
        <v>604.90899999999999</v>
      </c>
      <c r="Y5">
        <v>406.35199999999998</v>
      </c>
      <c r="Z5">
        <v>68</v>
      </c>
      <c r="AA5">
        <v>26</v>
      </c>
      <c r="AB5">
        <v>5</v>
      </c>
      <c r="AC5">
        <v>3</v>
      </c>
      <c r="AD5">
        <v>78</v>
      </c>
      <c r="AE5">
        <v>8787</v>
      </c>
      <c r="AF5">
        <v>6160</v>
      </c>
      <c r="AG5">
        <v>0.64130651299999997</v>
      </c>
      <c r="AH5">
        <v>199</v>
      </c>
      <c r="AI5">
        <v>178</v>
      </c>
      <c r="AJ5">
        <v>126</v>
      </c>
      <c r="AK5">
        <v>100</v>
      </c>
      <c r="AL5">
        <v>0.74399999999999999</v>
      </c>
      <c r="AM5">
        <v>1.612903226</v>
      </c>
      <c r="AN5" t="s">
        <v>127</v>
      </c>
      <c r="AO5">
        <f t="shared" si="1"/>
        <v>1.1690647482014389</v>
      </c>
    </row>
    <row r="6" spans="1:41" ht="15.75" x14ac:dyDescent="0.25">
      <c r="A6">
        <v>15</v>
      </c>
      <c r="B6" s="2" t="s">
        <v>136</v>
      </c>
      <c r="C6">
        <v>3</v>
      </c>
      <c r="D6" t="s">
        <v>68</v>
      </c>
      <c r="E6" t="s">
        <v>36</v>
      </c>
      <c r="F6" t="s">
        <v>45</v>
      </c>
      <c r="G6">
        <v>11436</v>
      </c>
      <c r="H6">
        <v>5468</v>
      </c>
      <c r="I6">
        <v>1964</v>
      </c>
      <c r="J6">
        <v>1050</v>
      </c>
      <c r="K6">
        <v>616</v>
      </c>
      <c r="L6">
        <v>22</v>
      </c>
      <c r="M6">
        <v>7</v>
      </c>
      <c r="N6">
        <v>536</v>
      </c>
      <c r="O6">
        <v>812</v>
      </c>
      <c r="P6">
        <f t="shared" si="0"/>
        <v>0.81200000000000006</v>
      </c>
      <c r="Q6">
        <v>1.7</v>
      </c>
      <c r="R6">
        <v>52.3</v>
      </c>
      <c r="S6" t="s">
        <v>69</v>
      </c>
      <c r="T6" s="1">
        <v>43378</v>
      </c>
      <c r="U6">
        <v>148.238733</v>
      </c>
      <c r="V6">
        <v>-32.799644999999998</v>
      </c>
      <c r="W6">
        <v>17.341999999999999</v>
      </c>
      <c r="X6">
        <v>566.79100000000005</v>
      </c>
      <c r="Y6">
        <v>303.72500000000002</v>
      </c>
      <c r="Z6">
        <v>245</v>
      </c>
      <c r="AA6">
        <v>73</v>
      </c>
      <c r="AB6">
        <v>51</v>
      </c>
      <c r="AC6">
        <v>21</v>
      </c>
      <c r="AD6">
        <v>87</v>
      </c>
      <c r="AE6">
        <v>23329</v>
      </c>
      <c r="AF6">
        <v>11124</v>
      </c>
      <c r="AG6">
        <v>5.1438274069999999</v>
      </c>
      <c r="AH6">
        <v>312</v>
      </c>
      <c r="AI6">
        <v>217</v>
      </c>
      <c r="AJ6">
        <v>55</v>
      </c>
      <c r="AK6">
        <v>89</v>
      </c>
      <c r="AL6">
        <v>0.81200000000000006</v>
      </c>
      <c r="AM6">
        <v>2.0935960589999998</v>
      </c>
      <c r="AN6" t="s">
        <v>127</v>
      </c>
      <c r="AO6">
        <f t="shared" si="1"/>
        <v>1.1993464052287581</v>
      </c>
    </row>
    <row r="7" spans="1:41" ht="15.75" x14ac:dyDescent="0.25">
      <c r="A7">
        <v>32</v>
      </c>
      <c r="B7" s="2" t="s">
        <v>136</v>
      </c>
      <c r="C7">
        <v>3</v>
      </c>
      <c r="D7" t="s">
        <v>97</v>
      </c>
      <c r="E7" t="s">
        <v>88</v>
      </c>
      <c r="F7" t="s">
        <v>89</v>
      </c>
      <c r="G7">
        <v>4814</v>
      </c>
      <c r="H7">
        <v>1959</v>
      </c>
      <c r="I7">
        <v>2636</v>
      </c>
      <c r="J7">
        <v>1057</v>
      </c>
      <c r="K7">
        <v>626</v>
      </c>
      <c r="L7">
        <v>12</v>
      </c>
      <c r="M7">
        <v>4</v>
      </c>
      <c r="N7">
        <v>55</v>
      </c>
      <c r="O7">
        <v>693</v>
      </c>
      <c r="P7">
        <f t="shared" si="0"/>
        <v>0.69299999999999995</v>
      </c>
      <c r="Q7">
        <v>1.75</v>
      </c>
      <c r="R7">
        <v>48.1</v>
      </c>
      <c r="S7" t="s">
        <v>69</v>
      </c>
      <c r="T7" s="1">
        <v>43378</v>
      </c>
      <c r="U7">
        <v>148.238294</v>
      </c>
      <c r="V7">
        <v>-32.799776000000001</v>
      </c>
      <c r="W7">
        <v>17.341999999999999</v>
      </c>
      <c r="X7">
        <v>566.79100000000005</v>
      </c>
      <c r="Y7">
        <v>303.72500000000002</v>
      </c>
      <c r="Z7">
        <v>245</v>
      </c>
      <c r="AA7">
        <v>73</v>
      </c>
      <c r="AB7">
        <v>51</v>
      </c>
      <c r="AC7">
        <v>21</v>
      </c>
      <c r="AD7">
        <v>87</v>
      </c>
      <c r="AE7">
        <v>23329</v>
      </c>
      <c r="AF7">
        <v>11124</v>
      </c>
      <c r="AG7">
        <v>5.1438274069999999</v>
      </c>
      <c r="AH7">
        <v>246</v>
      </c>
      <c r="AI7">
        <v>194</v>
      </c>
      <c r="AJ7">
        <v>56</v>
      </c>
      <c r="AK7">
        <v>127</v>
      </c>
      <c r="AL7">
        <v>0.69299999999999995</v>
      </c>
      <c r="AM7">
        <v>2.525252525</v>
      </c>
      <c r="AN7" t="s">
        <v>127</v>
      </c>
      <c r="AO7">
        <f t="shared" si="1"/>
        <v>0.94080996884735202</v>
      </c>
    </row>
    <row r="8" spans="1:41" ht="15.75" x14ac:dyDescent="0.25">
      <c r="A8">
        <v>33</v>
      </c>
      <c r="B8" s="2" t="s">
        <v>136</v>
      </c>
      <c r="C8">
        <v>3</v>
      </c>
      <c r="D8" t="s">
        <v>98</v>
      </c>
      <c r="E8" t="s">
        <v>85</v>
      </c>
      <c r="F8" t="s">
        <v>86</v>
      </c>
      <c r="G8">
        <v>28201</v>
      </c>
      <c r="H8">
        <v>5076</v>
      </c>
      <c r="I8">
        <v>3890</v>
      </c>
      <c r="J8">
        <v>1551</v>
      </c>
      <c r="K8">
        <v>784</v>
      </c>
      <c r="L8">
        <v>35</v>
      </c>
      <c r="M8">
        <v>4</v>
      </c>
      <c r="N8">
        <v>239</v>
      </c>
      <c r="O8">
        <v>1083</v>
      </c>
      <c r="P8">
        <f t="shared" si="0"/>
        <v>1.083</v>
      </c>
      <c r="Q8">
        <v>2.38</v>
      </c>
      <c r="R8">
        <v>44.1</v>
      </c>
      <c r="S8" t="s">
        <v>69</v>
      </c>
      <c r="T8" s="1">
        <v>43378</v>
      </c>
      <c r="U8">
        <v>148.23902799999999</v>
      </c>
      <c r="V8">
        <v>-32.799942000000001</v>
      </c>
      <c r="W8">
        <v>17.341999999999999</v>
      </c>
      <c r="X8">
        <v>566.79100000000005</v>
      </c>
      <c r="Y8">
        <v>303.72500000000002</v>
      </c>
      <c r="Z8">
        <v>245</v>
      </c>
      <c r="AA8">
        <v>73</v>
      </c>
      <c r="AB8">
        <v>51</v>
      </c>
      <c r="AC8">
        <v>21</v>
      </c>
      <c r="AD8">
        <v>87</v>
      </c>
      <c r="AE8">
        <v>23329</v>
      </c>
      <c r="AF8">
        <v>11124</v>
      </c>
      <c r="AG8">
        <v>5.1438274069999999</v>
      </c>
      <c r="AH8">
        <v>737</v>
      </c>
      <c r="AI8">
        <v>181</v>
      </c>
      <c r="AJ8">
        <v>0</v>
      </c>
      <c r="AK8">
        <v>71</v>
      </c>
      <c r="AL8">
        <v>1.083</v>
      </c>
      <c r="AM8">
        <v>2.1975992610000001</v>
      </c>
      <c r="AN8" t="s">
        <v>127</v>
      </c>
      <c r="AO8">
        <f t="shared" si="1"/>
        <v>2.9246031746031744</v>
      </c>
    </row>
    <row r="9" spans="1:41" ht="15.75" x14ac:dyDescent="0.25">
      <c r="A9">
        <v>21</v>
      </c>
      <c r="B9" s="2" t="s">
        <v>136</v>
      </c>
      <c r="C9">
        <v>4</v>
      </c>
      <c r="D9" t="s">
        <v>78</v>
      </c>
      <c r="E9" t="s">
        <v>36</v>
      </c>
      <c r="F9" t="s">
        <v>79</v>
      </c>
      <c r="G9">
        <v>10025</v>
      </c>
      <c r="H9">
        <v>3388</v>
      </c>
      <c r="I9">
        <v>2246</v>
      </c>
      <c r="J9">
        <v>923</v>
      </c>
      <c r="K9">
        <v>183</v>
      </c>
      <c r="L9">
        <v>10</v>
      </c>
      <c r="M9">
        <v>2</v>
      </c>
      <c r="N9">
        <v>362</v>
      </c>
      <c r="O9">
        <v>746</v>
      </c>
      <c r="P9">
        <f t="shared" si="0"/>
        <v>0.746</v>
      </c>
      <c r="Q9">
        <v>1.54</v>
      </c>
      <c r="R9">
        <v>49.5</v>
      </c>
      <c r="S9" t="s">
        <v>80</v>
      </c>
      <c r="T9" s="1">
        <v>43378</v>
      </c>
      <c r="U9">
        <v>148.367118</v>
      </c>
      <c r="V9">
        <v>-32.437230999999997</v>
      </c>
      <c r="W9">
        <v>17.029</v>
      </c>
      <c r="X9">
        <v>598.39499999999998</v>
      </c>
      <c r="Y9">
        <v>350.76799999999997</v>
      </c>
      <c r="Z9">
        <v>133</v>
      </c>
      <c r="AA9">
        <v>144</v>
      </c>
      <c r="AB9">
        <v>8</v>
      </c>
      <c r="AC9">
        <v>6</v>
      </c>
      <c r="AD9">
        <v>86</v>
      </c>
      <c r="AE9">
        <v>9582</v>
      </c>
      <c r="AF9">
        <v>12001</v>
      </c>
      <c r="AG9">
        <v>5.6643356640000002</v>
      </c>
      <c r="AH9">
        <v>306</v>
      </c>
      <c r="AI9">
        <v>227</v>
      </c>
      <c r="AJ9">
        <v>40</v>
      </c>
      <c r="AK9">
        <v>139</v>
      </c>
      <c r="AL9">
        <v>0.746</v>
      </c>
      <c r="AM9">
        <v>2.0643431639999998</v>
      </c>
      <c r="AN9" t="s">
        <v>126</v>
      </c>
      <c r="AO9">
        <f t="shared" si="1"/>
        <v>0.94535519125683065</v>
      </c>
    </row>
    <row r="10" spans="1:41" ht="15.75" x14ac:dyDescent="0.25">
      <c r="A10">
        <v>47</v>
      </c>
      <c r="B10" s="2" t="s">
        <v>136</v>
      </c>
      <c r="C10">
        <v>4</v>
      </c>
      <c r="D10" t="s">
        <v>116</v>
      </c>
      <c r="E10" t="s">
        <v>88</v>
      </c>
      <c r="F10" t="s">
        <v>89</v>
      </c>
      <c r="G10">
        <v>4483</v>
      </c>
      <c r="H10">
        <v>1260</v>
      </c>
      <c r="I10">
        <v>2281</v>
      </c>
      <c r="J10">
        <v>803</v>
      </c>
      <c r="K10">
        <v>644</v>
      </c>
      <c r="L10">
        <v>10</v>
      </c>
      <c r="M10">
        <v>0</v>
      </c>
      <c r="N10">
        <v>64</v>
      </c>
      <c r="O10">
        <v>532</v>
      </c>
      <c r="P10">
        <f t="shared" si="0"/>
        <v>0.53200000000000003</v>
      </c>
      <c r="Q10">
        <v>2.15</v>
      </c>
      <c r="R10">
        <v>48.4</v>
      </c>
      <c r="S10" t="s">
        <v>80</v>
      </c>
      <c r="T10" s="1">
        <v>43378</v>
      </c>
      <c r="U10">
        <v>148.36773199999999</v>
      </c>
      <c r="V10">
        <v>-32.436070999999998</v>
      </c>
      <c r="W10">
        <v>16.991</v>
      </c>
      <c r="X10">
        <v>601.01599999999996</v>
      </c>
      <c r="Y10">
        <v>357.37299999999999</v>
      </c>
      <c r="Z10">
        <v>133</v>
      </c>
      <c r="AA10">
        <v>144</v>
      </c>
      <c r="AB10">
        <v>8</v>
      </c>
      <c r="AC10">
        <v>6</v>
      </c>
      <c r="AD10">
        <v>86</v>
      </c>
      <c r="AE10">
        <v>9582</v>
      </c>
      <c r="AF10">
        <v>12001</v>
      </c>
      <c r="AG10">
        <v>5.6643356640000002</v>
      </c>
      <c r="AH10">
        <v>204</v>
      </c>
      <c r="AI10">
        <v>101</v>
      </c>
      <c r="AJ10">
        <v>0</v>
      </c>
      <c r="AK10">
        <v>140</v>
      </c>
      <c r="AL10">
        <v>0.53200000000000003</v>
      </c>
      <c r="AM10">
        <v>4.0413533829999997</v>
      </c>
      <c r="AN10" t="s">
        <v>126</v>
      </c>
      <c r="AO10">
        <f t="shared" si="1"/>
        <v>0.84647302904564314</v>
      </c>
    </row>
    <row r="11" spans="1:41" ht="15.75" x14ac:dyDescent="0.25">
      <c r="A11">
        <v>48</v>
      </c>
      <c r="B11" s="2" t="s">
        <v>136</v>
      </c>
      <c r="C11">
        <v>5</v>
      </c>
      <c r="D11" t="s">
        <v>117</v>
      </c>
      <c r="E11" t="s">
        <v>36</v>
      </c>
      <c r="F11" t="s">
        <v>56</v>
      </c>
      <c r="G11">
        <v>6991</v>
      </c>
      <c r="H11">
        <v>6664</v>
      </c>
      <c r="I11">
        <v>2994</v>
      </c>
      <c r="J11">
        <v>933</v>
      </c>
      <c r="K11">
        <v>180</v>
      </c>
      <c r="L11">
        <v>35</v>
      </c>
      <c r="M11">
        <v>4</v>
      </c>
      <c r="N11">
        <v>1439</v>
      </c>
      <c r="O11">
        <v>817</v>
      </c>
      <c r="P11">
        <f t="shared" si="0"/>
        <v>0.81699999999999995</v>
      </c>
      <c r="Q11">
        <v>1.31</v>
      </c>
      <c r="R11">
        <v>51.7</v>
      </c>
      <c r="S11" t="s">
        <v>118</v>
      </c>
      <c r="T11" s="1">
        <v>43378</v>
      </c>
      <c r="U11">
        <v>148.58289600000001</v>
      </c>
      <c r="V11">
        <v>-31.981822999999999</v>
      </c>
      <c r="W11">
        <v>17.398</v>
      </c>
      <c r="X11">
        <v>582.95699999999999</v>
      </c>
      <c r="Y11">
        <v>288.93400000000003</v>
      </c>
      <c r="Z11">
        <v>130</v>
      </c>
      <c r="AA11">
        <v>81</v>
      </c>
      <c r="AB11">
        <v>17</v>
      </c>
      <c r="AC11">
        <v>10</v>
      </c>
      <c r="AD11">
        <v>167</v>
      </c>
      <c r="AE11">
        <v>15284</v>
      </c>
      <c r="AF11">
        <v>12058</v>
      </c>
      <c r="AG11">
        <v>6.4317005180000004</v>
      </c>
      <c r="AH11">
        <v>292</v>
      </c>
      <c r="AI11">
        <v>178</v>
      </c>
      <c r="AJ11">
        <v>96</v>
      </c>
      <c r="AK11">
        <v>123</v>
      </c>
      <c r="AL11">
        <v>0.81699999999999995</v>
      </c>
      <c r="AM11">
        <v>1.603427173</v>
      </c>
      <c r="AN11" t="s">
        <v>126</v>
      </c>
      <c r="AO11">
        <f t="shared" si="1"/>
        <v>1.2890365448504983</v>
      </c>
    </row>
    <row r="12" spans="1:41" ht="15.75" x14ac:dyDescent="0.25">
      <c r="A12">
        <v>4</v>
      </c>
      <c r="B12" s="2" t="s">
        <v>136</v>
      </c>
      <c r="C12">
        <v>6</v>
      </c>
      <c r="D12" t="s">
        <v>47</v>
      </c>
      <c r="E12" t="s">
        <v>36</v>
      </c>
      <c r="F12" t="s">
        <v>45</v>
      </c>
      <c r="G12">
        <v>8582</v>
      </c>
      <c r="H12">
        <v>9674</v>
      </c>
      <c r="I12">
        <v>2341</v>
      </c>
      <c r="J12">
        <v>1006</v>
      </c>
      <c r="K12">
        <v>311</v>
      </c>
      <c r="L12">
        <v>41</v>
      </c>
      <c r="M12">
        <v>14</v>
      </c>
      <c r="N12">
        <v>430</v>
      </c>
      <c r="O12">
        <v>736</v>
      </c>
      <c r="P12">
        <f t="shared" si="0"/>
        <v>0.73599999999999999</v>
      </c>
      <c r="Q12">
        <v>1.46</v>
      </c>
      <c r="R12">
        <v>46.5</v>
      </c>
      <c r="S12" t="s">
        <v>48</v>
      </c>
      <c r="T12" s="1">
        <v>43409</v>
      </c>
      <c r="U12">
        <v>148.650338</v>
      </c>
      <c r="V12">
        <v>-31.717113000000001</v>
      </c>
      <c r="W12">
        <v>17.667000000000002</v>
      </c>
      <c r="X12">
        <v>563.84699999999998</v>
      </c>
      <c r="Y12">
        <v>275.96600000000001</v>
      </c>
      <c r="Z12">
        <v>77</v>
      </c>
      <c r="AA12">
        <v>69</v>
      </c>
      <c r="AB12">
        <v>12</v>
      </c>
      <c r="AC12">
        <v>4</v>
      </c>
      <c r="AD12">
        <v>121</v>
      </c>
      <c r="AE12">
        <v>3577</v>
      </c>
      <c r="AF12">
        <v>2913</v>
      </c>
      <c r="AG12">
        <v>4.9830305450000001</v>
      </c>
      <c r="AH12">
        <v>246</v>
      </c>
      <c r="AI12">
        <v>230</v>
      </c>
      <c r="AJ12">
        <v>57</v>
      </c>
      <c r="AK12">
        <v>74</v>
      </c>
      <c r="AL12">
        <v>0.73599999999999999</v>
      </c>
      <c r="AM12">
        <v>1.983695652</v>
      </c>
      <c r="AN12" t="s">
        <v>127</v>
      </c>
      <c r="AO12">
        <f t="shared" si="1"/>
        <v>0.99671052631578949</v>
      </c>
    </row>
    <row r="13" spans="1:41" ht="15.75" x14ac:dyDescent="0.25">
      <c r="A13">
        <v>14</v>
      </c>
      <c r="B13" s="2" t="s">
        <v>136</v>
      </c>
      <c r="C13">
        <v>6</v>
      </c>
      <c r="D13" t="s">
        <v>67</v>
      </c>
      <c r="E13" t="s">
        <v>36</v>
      </c>
      <c r="F13" t="s">
        <v>41</v>
      </c>
      <c r="G13">
        <v>7480</v>
      </c>
      <c r="H13">
        <v>4436</v>
      </c>
      <c r="I13">
        <v>2524</v>
      </c>
      <c r="J13">
        <v>878</v>
      </c>
      <c r="K13">
        <v>424</v>
      </c>
      <c r="L13">
        <v>11</v>
      </c>
      <c r="M13">
        <v>5</v>
      </c>
      <c r="N13">
        <v>492</v>
      </c>
      <c r="O13">
        <v>704</v>
      </c>
      <c r="P13">
        <f t="shared" si="0"/>
        <v>0.70399999999999996</v>
      </c>
      <c r="Q13">
        <v>1.26</v>
      </c>
      <c r="R13">
        <v>44.1</v>
      </c>
      <c r="S13" t="s">
        <v>48</v>
      </c>
      <c r="T13" s="1">
        <v>43409</v>
      </c>
      <c r="U13">
        <v>148.650338</v>
      </c>
      <c r="V13">
        <v>-31.717113000000001</v>
      </c>
      <c r="W13">
        <v>17.667000000000002</v>
      </c>
      <c r="X13">
        <v>563.84699999999998</v>
      </c>
      <c r="Y13">
        <v>275.96600000000001</v>
      </c>
      <c r="Z13">
        <v>77</v>
      </c>
      <c r="AA13">
        <v>69</v>
      </c>
      <c r="AB13">
        <v>12</v>
      </c>
      <c r="AC13">
        <v>4</v>
      </c>
      <c r="AD13">
        <v>121</v>
      </c>
      <c r="AE13">
        <v>3577</v>
      </c>
      <c r="AF13">
        <v>2913</v>
      </c>
      <c r="AG13">
        <v>4.9830305450000001</v>
      </c>
      <c r="AH13">
        <v>211</v>
      </c>
      <c r="AI13">
        <v>179</v>
      </c>
      <c r="AJ13">
        <v>145</v>
      </c>
      <c r="AK13">
        <v>69</v>
      </c>
      <c r="AL13">
        <v>0.70399999999999996</v>
      </c>
      <c r="AM13">
        <v>1.7897727269999999</v>
      </c>
      <c r="AN13" t="s">
        <v>127</v>
      </c>
      <c r="AO13">
        <f t="shared" si="1"/>
        <v>1.435483870967742</v>
      </c>
    </row>
    <row r="14" spans="1:41" ht="15.75" x14ac:dyDescent="0.25">
      <c r="A14">
        <v>31</v>
      </c>
      <c r="B14" s="2" t="s">
        <v>136</v>
      </c>
      <c r="C14">
        <v>6</v>
      </c>
      <c r="D14" t="s">
        <v>96</v>
      </c>
      <c r="E14" t="s">
        <v>85</v>
      </c>
      <c r="F14" t="s">
        <v>86</v>
      </c>
      <c r="G14">
        <v>27599</v>
      </c>
      <c r="H14">
        <v>7668</v>
      </c>
      <c r="I14">
        <v>4369</v>
      </c>
      <c r="J14">
        <v>2448</v>
      </c>
      <c r="K14">
        <v>386</v>
      </c>
      <c r="L14">
        <v>336</v>
      </c>
      <c r="M14">
        <v>6</v>
      </c>
      <c r="N14">
        <v>114</v>
      </c>
      <c r="O14">
        <v>544</v>
      </c>
      <c r="P14">
        <f t="shared" si="0"/>
        <v>0.54400000000000004</v>
      </c>
      <c r="Q14">
        <v>1.46</v>
      </c>
      <c r="R14">
        <v>47.3</v>
      </c>
      <c r="S14" t="s">
        <v>48</v>
      </c>
      <c r="T14" s="1">
        <v>43409</v>
      </c>
      <c r="U14">
        <v>148.65005300000001</v>
      </c>
      <c r="V14">
        <v>-31.716764999999999</v>
      </c>
      <c r="W14">
        <v>17.667000000000002</v>
      </c>
      <c r="X14">
        <v>563.84699999999998</v>
      </c>
      <c r="Y14">
        <v>275.96600000000001</v>
      </c>
      <c r="Z14">
        <v>77</v>
      </c>
      <c r="AA14">
        <v>69</v>
      </c>
      <c r="AB14">
        <v>12</v>
      </c>
      <c r="AC14">
        <v>4</v>
      </c>
      <c r="AD14">
        <v>121</v>
      </c>
      <c r="AE14">
        <v>3577</v>
      </c>
      <c r="AF14">
        <v>2913</v>
      </c>
      <c r="AG14">
        <v>4.9830305450000001</v>
      </c>
      <c r="AH14">
        <v>216</v>
      </c>
      <c r="AI14">
        <v>102</v>
      </c>
      <c r="AJ14">
        <v>0</v>
      </c>
      <c r="AK14">
        <v>61</v>
      </c>
      <c r="AL14">
        <v>0.54400000000000004</v>
      </c>
      <c r="AM14">
        <v>2.6838235290000001</v>
      </c>
      <c r="AN14" t="s">
        <v>127</v>
      </c>
      <c r="AO14">
        <f t="shared" si="1"/>
        <v>1.3251533742331287</v>
      </c>
    </row>
    <row r="15" spans="1:41" ht="15.75" x14ac:dyDescent="0.25">
      <c r="A15">
        <v>46</v>
      </c>
      <c r="B15" s="2" t="s">
        <v>136</v>
      </c>
      <c r="C15">
        <v>7</v>
      </c>
      <c r="D15" t="s">
        <v>114</v>
      </c>
      <c r="E15" t="s">
        <v>85</v>
      </c>
      <c r="F15" t="s">
        <v>86</v>
      </c>
      <c r="G15">
        <v>28348</v>
      </c>
      <c r="H15">
        <v>6538</v>
      </c>
      <c r="I15">
        <v>4617</v>
      </c>
      <c r="J15">
        <v>1297</v>
      </c>
      <c r="K15">
        <v>433</v>
      </c>
      <c r="L15">
        <v>265</v>
      </c>
      <c r="M15">
        <v>3</v>
      </c>
      <c r="N15">
        <v>245</v>
      </c>
      <c r="O15">
        <v>624</v>
      </c>
      <c r="P15">
        <f t="shared" si="0"/>
        <v>0.624</v>
      </c>
      <c r="Q15">
        <v>2.19</v>
      </c>
      <c r="R15">
        <v>47.4</v>
      </c>
      <c r="S15" t="s">
        <v>115</v>
      </c>
      <c r="T15" s="1">
        <v>43409</v>
      </c>
      <c r="U15">
        <v>148.903256</v>
      </c>
      <c r="V15">
        <v>-31.472062999999999</v>
      </c>
      <c r="W15">
        <v>17.100999999999999</v>
      </c>
      <c r="X15">
        <v>627.97799999999995</v>
      </c>
      <c r="Y15">
        <v>407.50200000000001</v>
      </c>
      <c r="Z15">
        <v>396</v>
      </c>
      <c r="AA15">
        <v>139</v>
      </c>
      <c r="AB15">
        <v>35</v>
      </c>
      <c r="AC15">
        <v>22</v>
      </c>
      <c r="AD15">
        <v>599</v>
      </c>
      <c r="AE15">
        <v>51609</v>
      </c>
      <c r="AF15">
        <v>16725</v>
      </c>
      <c r="AG15">
        <v>23.645064810000001</v>
      </c>
      <c r="AH15">
        <v>370</v>
      </c>
      <c r="AI15">
        <v>144</v>
      </c>
      <c r="AJ15">
        <v>0</v>
      </c>
      <c r="AK15">
        <v>98</v>
      </c>
      <c r="AL15">
        <v>0.624</v>
      </c>
      <c r="AM15">
        <v>3.509615385</v>
      </c>
      <c r="AN15" t="s">
        <v>127</v>
      </c>
      <c r="AO15">
        <f t="shared" si="1"/>
        <v>1.5289256198347108</v>
      </c>
    </row>
    <row r="16" spans="1:41" ht="15.75" x14ac:dyDescent="0.25">
      <c r="A16">
        <v>44</v>
      </c>
      <c r="B16" s="2" t="s">
        <v>136</v>
      </c>
      <c r="C16">
        <v>8</v>
      </c>
      <c r="D16" t="s">
        <v>112</v>
      </c>
      <c r="E16" t="s">
        <v>88</v>
      </c>
      <c r="F16" t="s">
        <v>89</v>
      </c>
      <c r="G16">
        <v>4515</v>
      </c>
      <c r="H16">
        <v>4288</v>
      </c>
      <c r="I16">
        <v>1995</v>
      </c>
      <c r="J16">
        <v>892</v>
      </c>
      <c r="K16">
        <v>351</v>
      </c>
      <c r="L16">
        <v>12</v>
      </c>
      <c r="M16">
        <v>1</v>
      </c>
      <c r="N16">
        <v>80</v>
      </c>
      <c r="O16">
        <v>656</v>
      </c>
      <c r="P16">
        <f t="shared" si="0"/>
        <v>0.65600000000000003</v>
      </c>
      <c r="Q16">
        <v>2.02</v>
      </c>
      <c r="R16">
        <v>46.3</v>
      </c>
      <c r="S16" t="s">
        <v>113</v>
      </c>
      <c r="T16" s="1">
        <v>43409</v>
      </c>
      <c r="U16">
        <v>149.02315899999999</v>
      </c>
      <c r="V16">
        <v>-31.303521</v>
      </c>
      <c r="W16">
        <v>16.539000000000001</v>
      </c>
      <c r="X16">
        <v>749.19500000000005</v>
      </c>
      <c r="Y16">
        <v>538.43799999999999</v>
      </c>
      <c r="Z16">
        <v>230</v>
      </c>
      <c r="AA16">
        <v>136</v>
      </c>
      <c r="AB16">
        <v>61</v>
      </c>
      <c r="AC16">
        <v>10</v>
      </c>
      <c r="AD16">
        <v>1192</v>
      </c>
      <c r="AE16">
        <v>19259</v>
      </c>
      <c r="AF16">
        <v>11076</v>
      </c>
      <c r="AG16">
        <v>6.3727254550000003</v>
      </c>
      <c r="AH16">
        <v>264</v>
      </c>
      <c r="AI16">
        <v>163</v>
      </c>
      <c r="AJ16">
        <v>0</v>
      </c>
      <c r="AK16">
        <v>172</v>
      </c>
      <c r="AL16">
        <v>0.65600000000000003</v>
      </c>
      <c r="AM16">
        <v>3.0792682930000002</v>
      </c>
      <c r="AN16" t="s">
        <v>125</v>
      </c>
      <c r="AO16">
        <f t="shared" si="1"/>
        <v>0.78805970149253735</v>
      </c>
    </row>
    <row r="17" spans="1:41" ht="15.75" x14ac:dyDescent="0.25">
      <c r="A17">
        <v>3</v>
      </c>
      <c r="B17" s="2" t="s">
        <v>136</v>
      </c>
      <c r="C17">
        <v>9</v>
      </c>
      <c r="D17" t="s">
        <v>44</v>
      </c>
      <c r="E17" t="s">
        <v>36</v>
      </c>
      <c r="F17" t="s">
        <v>45</v>
      </c>
      <c r="G17">
        <v>6843</v>
      </c>
      <c r="H17">
        <v>8625</v>
      </c>
      <c r="I17">
        <v>2338</v>
      </c>
      <c r="J17">
        <v>903</v>
      </c>
      <c r="K17">
        <v>162</v>
      </c>
      <c r="L17">
        <v>60</v>
      </c>
      <c r="M17">
        <v>18</v>
      </c>
      <c r="N17">
        <v>422</v>
      </c>
      <c r="O17">
        <v>1656</v>
      </c>
      <c r="P17">
        <f t="shared" si="0"/>
        <v>1.6559999999999999</v>
      </c>
      <c r="Q17">
        <v>1.43</v>
      </c>
      <c r="R17">
        <v>45.4</v>
      </c>
      <c r="S17" t="s">
        <v>46</v>
      </c>
      <c r="T17" s="1">
        <v>43439</v>
      </c>
      <c r="U17">
        <v>148.977137</v>
      </c>
      <c r="V17">
        <v>-31.279982</v>
      </c>
      <c r="W17">
        <v>17.056000000000001</v>
      </c>
      <c r="X17">
        <v>674.48500000000001</v>
      </c>
      <c r="Y17">
        <v>433.88</v>
      </c>
      <c r="Z17">
        <v>283</v>
      </c>
      <c r="AA17">
        <v>70</v>
      </c>
      <c r="AB17">
        <v>96</v>
      </c>
      <c r="AC17">
        <v>7</v>
      </c>
      <c r="AD17">
        <v>802</v>
      </c>
      <c r="AE17">
        <v>31333</v>
      </c>
      <c r="AF17">
        <v>14896</v>
      </c>
      <c r="AG17">
        <v>4.8700519790000003</v>
      </c>
      <c r="AH17">
        <v>308</v>
      </c>
      <c r="AI17">
        <v>204</v>
      </c>
      <c r="AJ17">
        <v>911</v>
      </c>
      <c r="AK17">
        <v>38</v>
      </c>
      <c r="AL17">
        <v>1.6559999999999999</v>
      </c>
      <c r="AM17">
        <v>0.86352656999999999</v>
      </c>
      <c r="AN17" t="s">
        <v>125</v>
      </c>
      <c r="AO17">
        <f t="shared" si="1"/>
        <v>5.0371900826446279</v>
      </c>
    </row>
    <row r="18" spans="1:41" ht="15.75" x14ac:dyDescent="0.25">
      <c r="A18">
        <v>13</v>
      </c>
      <c r="B18" s="2" t="s">
        <v>136</v>
      </c>
      <c r="C18">
        <v>9</v>
      </c>
      <c r="D18" t="s">
        <v>44</v>
      </c>
      <c r="E18" t="s">
        <v>36</v>
      </c>
      <c r="F18" t="s">
        <v>45</v>
      </c>
      <c r="G18">
        <v>5780</v>
      </c>
      <c r="H18">
        <v>6761</v>
      </c>
      <c r="I18">
        <v>2623</v>
      </c>
      <c r="J18">
        <v>903</v>
      </c>
      <c r="K18">
        <v>256</v>
      </c>
      <c r="L18">
        <v>29</v>
      </c>
      <c r="M18">
        <v>3</v>
      </c>
      <c r="N18">
        <v>1038</v>
      </c>
      <c r="O18">
        <v>734</v>
      </c>
      <c r="P18">
        <f t="shared" si="0"/>
        <v>0.73399999999999999</v>
      </c>
      <c r="Q18">
        <v>1.22</v>
      </c>
      <c r="R18">
        <v>47.7</v>
      </c>
      <c r="S18" t="s">
        <v>46</v>
      </c>
      <c r="T18" s="1">
        <v>43439</v>
      </c>
      <c r="U18">
        <v>148.977137</v>
      </c>
      <c r="V18">
        <v>-31.279982</v>
      </c>
      <c r="W18">
        <v>17.056000000000001</v>
      </c>
      <c r="X18">
        <v>674.48500000000001</v>
      </c>
      <c r="Y18">
        <v>433.88</v>
      </c>
      <c r="Z18">
        <v>283</v>
      </c>
      <c r="AA18">
        <v>70</v>
      </c>
      <c r="AB18">
        <v>96</v>
      </c>
      <c r="AC18">
        <v>7</v>
      </c>
      <c r="AD18">
        <v>802</v>
      </c>
      <c r="AE18">
        <v>31333</v>
      </c>
      <c r="AF18">
        <v>14896</v>
      </c>
      <c r="AG18">
        <v>4.8700519790000003</v>
      </c>
      <c r="AH18">
        <v>268</v>
      </c>
      <c r="AI18">
        <v>194</v>
      </c>
      <c r="AJ18">
        <v>123</v>
      </c>
      <c r="AK18">
        <v>103</v>
      </c>
      <c r="AL18">
        <v>0.73399999999999999</v>
      </c>
      <c r="AM18">
        <v>1.6621253410000001</v>
      </c>
      <c r="AN18" t="s">
        <v>125</v>
      </c>
      <c r="AO18">
        <f t="shared" si="1"/>
        <v>1.3164983164983164</v>
      </c>
    </row>
    <row r="19" spans="1:41" ht="15.75" x14ac:dyDescent="0.25">
      <c r="A19">
        <v>19</v>
      </c>
      <c r="B19" s="2" t="s">
        <v>135</v>
      </c>
      <c r="C19">
        <v>9</v>
      </c>
      <c r="D19" t="s">
        <v>74</v>
      </c>
      <c r="E19" t="s">
        <v>36</v>
      </c>
      <c r="F19" t="s">
        <v>45</v>
      </c>
      <c r="G19">
        <v>8412</v>
      </c>
      <c r="H19">
        <v>8711</v>
      </c>
      <c r="I19">
        <v>1496</v>
      </c>
      <c r="J19">
        <v>1067</v>
      </c>
      <c r="K19">
        <v>297</v>
      </c>
      <c r="L19">
        <v>16</v>
      </c>
      <c r="M19">
        <v>2</v>
      </c>
      <c r="N19">
        <v>564</v>
      </c>
      <c r="O19">
        <v>978</v>
      </c>
      <c r="P19">
        <f t="shared" si="0"/>
        <v>0.97799999999999998</v>
      </c>
      <c r="Q19">
        <v>1.45</v>
      </c>
      <c r="R19">
        <v>49.7</v>
      </c>
      <c r="S19" t="s">
        <v>75</v>
      </c>
      <c r="T19" s="1">
        <v>43409</v>
      </c>
      <c r="U19">
        <v>148.97656699999999</v>
      </c>
      <c r="V19">
        <v>-31.281161999999998</v>
      </c>
      <c r="W19">
        <v>16.800999999999998</v>
      </c>
      <c r="X19">
        <v>706.47799999999995</v>
      </c>
      <c r="Y19">
        <v>485.44200000000001</v>
      </c>
      <c r="Z19">
        <v>321</v>
      </c>
      <c r="AA19">
        <v>65</v>
      </c>
      <c r="AB19">
        <v>68</v>
      </c>
      <c r="AC19">
        <v>13</v>
      </c>
      <c r="AD19">
        <v>1065</v>
      </c>
      <c r="AE19">
        <v>56519</v>
      </c>
      <c r="AF19">
        <v>18994</v>
      </c>
      <c r="AG19">
        <v>9.7061175530000003</v>
      </c>
      <c r="AH19">
        <v>423</v>
      </c>
      <c r="AI19">
        <v>244</v>
      </c>
      <c r="AJ19">
        <v>128</v>
      </c>
      <c r="AK19">
        <v>99</v>
      </c>
      <c r="AL19">
        <v>0.97799999999999998</v>
      </c>
      <c r="AM19">
        <v>1.482617587</v>
      </c>
      <c r="AN19" t="s">
        <v>125</v>
      </c>
      <c r="AO19">
        <f t="shared" si="1"/>
        <v>1.6064139941690962</v>
      </c>
    </row>
    <row r="20" spans="1:41" ht="15.75" x14ac:dyDescent="0.25">
      <c r="A20">
        <v>24</v>
      </c>
      <c r="B20" s="2" t="s">
        <v>136</v>
      </c>
      <c r="C20">
        <v>9</v>
      </c>
      <c r="D20" t="s">
        <v>87</v>
      </c>
      <c r="E20" t="s">
        <v>88</v>
      </c>
      <c r="F20" t="s">
        <v>89</v>
      </c>
      <c r="G20">
        <v>4697</v>
      </c>
      <c r="H20">
        <v>1251</v>
      </c>
      <c r="I20">
        <v>1650</v>
      </c>
      <c r="J20">
        <v>650</v>
      </c>
      <c r="K20">
        <v>473</v>
      </c>
      <c r="L20">
        <v>11</v>
      </c>
      <c r="M20">
        <v>3</v>
      </c>
      <c r="N20">
        <v>33</v>
      </c>
      <c r="O20">
        <v>578</v>
      </c>
      <c r="P20">
        <f t="shared" si="0"/>
        <v>0.57799999999999996</v>
      </c>
      <c r="Q20">
        <v>1.96</v>
      </c>
      <c r="R20">
        <v>46.2</v>
      </c>
      <c r="S20" t="s">
        <v>46</v>
      </c>
      <c r="T20" s="1">
        <v>43439</v>
      </c>
      <c r="U20">
        <v>148.97662700000001</v>
      </c>
      <c r="V20">
        <v>-31.280282</v>
      </c>
      <c r="W20">
        <v>16.800999999999998</v>
      </c>
      <c r="X20">
        <v>706.47799999999995</v>
      </c>
      <c r="Y20">
        <v>485.44200000000001</v>
      </c>
      <c r="Z20">
        <v>283</v>
      </c>
      <c r="AA20">
        <v>70</v>
      </c>
      <c r="AB20">
        <v>96</v>
      </c>
      <c r="AC20">
        <v>7</v>
      </c>
      <c r="AD20">
        <v>802</v>
      </c>
      <c r="AE20">
        <v>31333</v>
      </c>
      <c r="AF20">
        <v>14896</v>
      </c>
      <c r="AG20">
        <v>4.8700519790000003</v>
      </c>
      <c r="AH20">
        <v>237</v>
      </c>
      <c r="AI20">
        <v>157</v>
      </c>
      <c r="AJ20">
        <v>0</v>
      </c>
      <c r="AK20">
        <v>116</v>
      </c>
      <c r="AL20">
        <v>0.57799999999999996</v>
      </c>
      <c r="AM20">
        <v>3.3910034599999999</v>
      </c>
      <c r="AN20" t="s">
        <v>125</v>
      </c>
      <c r="AO20">
        <f t="shared" si="1"/>
        <v>0.86813186813186816</v>
      </c>
    </row>
    <row r="21" spans="1:41" ht="15.75" x14ac:dyDescent="0.25">
      <c r="A21">
        <v>53</v>
      </c>
      <c r="B21" s="2" t="s">
        <v>135</v>
      </c>
      <c r="C21">
        <v>9</v>
      </c>
      <c r="D21" t="s">
        <v>123</v>
      </c>
      <c r="E21" t="s">
        <v>85</v>
      </c>
      <c r="F21" t="s">
        <v>86</v>
      </c>
      <c r="G21">
        <v>48522</v>
      </c>
      <c r="H21">
        <v>10420</v>
      </c>
      <c r="I21">
        <v>4191</v>
      </c>
      <c r="J21">
        <v>1901</v>
      </c>
      <c r="K21">
        <v>639</v>
      </c>
      <c r="L21">
        <v>54</v>
      </c>
      <c r="M21">
        <v>0</v>
      </c>
      <c r="N21">
        <v>166</v>
      </c>
      <c r="O21">
        <v>2187</v>
      </c>
      <c r="P21">
        <f t="shared" si="0"/>
        <v>2.1869999999999998</v>
      </c>
      <c r="Q21">
        <v>2.0699999999999998</v>
      </c>
      <c r="R21">
        <v>45.1</v>
      </c>
      <c r="S21" t="s">
        <v>75</v>
      </c>
      <c r="T21" s="1">
        <v>43409</v>
      </c>
      <c r="U21">
        <v>148.97656699999999</v>
      </c>
      <c r="V21">
        <v>-31.281161999999998</v>
      </c>
      <c r="W21">
        <v>16.800999999999998</v>
      </c>
      <c r="X21">
        <v>706.47799999999995</v>
      </c>
      <c r="Y21">
        <v>485.44200000000001</v>
      </c>
      <c r="Z21">
        <v>321</v>
      </c>
      <c r="AA21">
        <v>65</v>
      </c>
      <c r="AB21">
        <v>68</v>
      </c>
      <c r="AC21">
        <v>13</v>
      </c>
      <c r="AD21">
        <v>1065</v>
      </c>
      <c r="AE21">
        <v>56519</v>
      </c>
      <c r="AF21">
        <v>18994</v>
      </c>
      <c r="AG21">
        <v>9.7061175530000003</v>
      </c>
      <c r="AH21">
        <v>2208</v>
      </c>
      <c r="AI21">
        <v>228</v>
      </c>
      <c r="AJ21">
        <v>0</v>
      </c>
      <c r="AK21">
        <v>147</v>
      </c>
      <c r="AL21">
        <v>2.1869999999999998</v>
      </c>
      <c r="AM21">
        <v>0.94650205799999998</v>
      </c>
      <c r="AN21" t="s">
        <v>125</v>
      </c>
      <c r="AO21">
        <f t="shared" si="1"/>
        <v>5.8879999999999999</v>
      </c>
    </row>
    <row r="22" spans="1:41" ht="15.75" x14ac:dyDescent="0.25">
      <c r="A22">
        <v>18</v>
      </c>
      <c r="B22" s="2" t="s">
        <v>135</v>
      </c>
      <c r="C22">
        <v>10</v>
      </c>
      <c r="D22" t="s">
        <v>73</v>
      </c>
      <c r="E22" t="s">
        <v>36</v>
      </c>
      <c r="F22" t="s">
        <v>45</v>
      </c>
      <c r="G22">
        <v>6970</v>
      </c>
      <c r="H22">
        <v>6130</v>
      </c>
      <c r="I22">
        <v>1588</v>
      </c>
      <c r="J22">
        <v>1018</v>
      </c>
      <c r="K22">
        <v>285</v>
      </c>
      <c r="L22">
        <v>21</v>
      </c>
      <c r="M22">
        <v>3</v>
      </c>
      <c r="N22">
        <v>1274</v>
      </c>
      <c r="O22">
        <v>852</v>
      </c>
      <c r="P22">
        <f t="shared" si="0"/>
        <v>0.85199999999999998</v>
      </c>
      <c r="Q22">
        <v>1.56</v>
      </c>
      <c r="R22">
        <v>49.3</v>
      </c>
      <c r="S22" t="s">
        <v>42</v>
      </c>
      <c r="T22" s="1">
        <v>43439</v>
      </c>
      <c r="U22">
        <v>148.992445</v>
      </c>
      <c r="V22">
        <v>-31.279436</v>
      </c>
      <c r="W22">
        <v>16.984000000000002</v>
      </c>
      <c r="X22">
        <v>687.70699999999999</v>
      </c>
      <c r="Y22">
        <v>448.87400000000002</v>
      </c>
      <c r="Z22">
        <v>441</v>
      </c>
      <c r="AA22">
        <v>192</v>
      </c>
      <c r="AB22">
        <v>123</v>
      </c>
      <c r="AC22">
        <v>14</v>
      </c>
      <c r="AD22">
        <v>1202</v>
      </c>
      <c r="AE22">
        <v>46036</v>
      </c>
      <c r="AF22">
        <v>33350</v>
      </c>
      <c r="AG22">
        <v>41.521261729999999</v>
      </c>
      <c r="AH22">
        <v>303</v>
      </c>
      <c r="AI22">
        <v>250</v>
      </c>
      <c r="AJ22">
        <v>43</v>
      </c>
      <c r="AK22">
        <v>104</v>
      </c>
      <c r="AL22">
        <v>0.85199999999999998</v>
      </c>
      <c r="AM22">
        <v>1.8309859150000001</v>
      </c>
      <c r="AN22" t="s">
        <v>125</v>
      </c>
      <c r="AO22">
        <f t="shared" si="1"/>
        <v>0.97740112994350281</v>
      </c>
    </row>
    <row r="23" spans="1:41" ht="15.75" x14ac:dyDescent="0.25">
      <c r="A23">
        <v>49</v>
      </c>
      <c r="B23" s="2" t="s">
        <v>135</v>
      </c>
      <c r="C23">
        <v>10</v>
      </c>
      <c r="D23" t="s">
        <v>119</v>
      </c>
      <c r="E23" t="s">
        <v>88</v>
      </c>
      <c r="F23" t="s">
        <v>89</v>
      </c>
      <c r="G23">
        <v>5523</v>
      </c>
      <c r="H23">
        <v>1566</v>
      </c>
      <c r="I23">
        <v>1453</v>
      </c>
      <c r="J23">
        <v>851</v>
      </c>
      <c r="K23">
        <v>351</v>
      </c>
      <c r="L23">
        <v>10</v>
      </c>
      <c r="M23">
        <v>0</v>
      </c>
      <c r="N23">
        <v>32</v>
      </c>
      <c r="O23">
        <v>655</v>
      </c>
      <c r="P23">
        <f t="shared" si="0"/>
        <v>0.65500000000000003</v>
      </c>
      <c r="Q23">
        <v>2.21</v>
      </c>
      <c r="R23">
        <v>47.6</v>
      </c>
      <c r="S23" t="s">
        <v>42</v>
      </c>
      <c r="T23" s="1">
        <v>43439</v>
      </c>
      <c r="U23">
        <v>148.992445</v>
      </c>
      <c r="V23">
        <v>-31.279436</v>
      </c>
      <c r="W23">
        <v>16.984000000000002</v>
      </c>
      <c r="X23">
        <v>687.70699999999999</v>
      </c>
      <c r="Y23">
        <v>448.87400000000002</v>
      </c>
      <c r="Z23">
        <v>496</v>
      </c>
      <c r="AA23">
        <v>198</v>
      </c>
      <c r="AB23">
        <v>75</v>
      </c>
      <c r="AC23">
        <v>47</v>
      </c>
      <c r="AD23">
        <v>1265</v>
      </c>
      <c r="AE23">
        <v>43406</v>
      </c>
      <c r="AF23">
        <v>13877</v>
      </c>
      <c r="AG23">
        <v>49.225716560000002</v>
      </c>
      <c r="AH23">
        <v>229</v>
      </c>
      <c r="AI23">
        <v>159</v>
      </c>
      <c r="AJ23">
        <v>0</v>
      </c>
      <c r="AK23">
        <v>98</v>
      </c>
      <c r="AL23">
        <v>0.65500000000000003</v>
      </c>
      <c r="AM23">
        <v>3.3740458019999999</v>
      </c>
      <c r="AN23" t="s">
        <v>125</v>
      </c>
      <c r="AO23">
        <f t="shared" si="1"/>
        <v>0.8910505836575876</v>
      </c>
    </row>
    <row r="24" spans="1:41" ht="15.75" x14ac:dyDescent="0.25">
      <c r="A24">
        <v>50</v>
      </c>
      <c r="B24" s="2" t="s">
        <v>135</v>
      </c>
      <c r="C24">
        <v>10</v>
      </c>
      <c r="D24" t="s">
        <v>120</v>
      </c>
      <c r="E24" t="s">
        <v>88</v>
      </c>
      <c r="F24" t="s">
        <v>89</v>
      </c>
      <c r="G24">
        <v>6016</v>
      </c>
      <c r="H24">
        <v>2511</v>
      </c>
      <c r="I24">
        <v>2204</v>
      </c>
      <c r="J24">
        <v>879</v>
      </c>
      <c r="K24">
        <v>403</v>
      </c>
      <c r="L24">
        <v>12</v>
      </c>
      <c r="M24">
        <v>0</v>
      </c>
      <c r="N24">
        <v>57</v>
      </c>
      <c r="O24">
        <v>655</v>
      </c>
      <c r="P24">
        <f t="shared" si="0"/>
        <v>0.65500000000000003</v>
      </c>
      <c r="Q24">
        <v>2.31</v>
      </c>
      <c r="R24">
        <v>47.1</v>
      </c>
      <c r="S24" t="s">
        <v>42</v>
      </c>
      <c r="T24" s="1">
        <v>43439</v>
      </c>
      <c r="U24">
        <v>148.992445</v>
      </c>
      <c r="V24">
        <v>-31.279436</v>
      </c>
      <c r="W24">
        <v>16.984000000000002</v>
      </c>
      <c r="X24">
        <v>687.70699999999999</v>
      </c>
      <c r="Y24">
        <v>448.87400000000002</v>
      </c>
      <c r="Z24">
        <v>662</v>
      </c>
      <c r="AA24">
        <v>241</v>
      </c>
      <c r="AB24">
        <v>89</v>
      </c>
      <c r="AC24">
        <v>24</v>
      </c>
      <c r="AD24">
        <v>2096</v>
      </c>
      <c r="AE24">
        <v>45550</v>
      </c>
      <c r="AF24">
        <v>28453</v>
      </c>
      <c r="AG24">
        <v>71.744510980000001</v>
      </c>
      <c r="AH24">
        <v>251</v>
      </c>
      <c r="AI24">
        <v>174</v>
      </c>
      <c r="AJ24">
        <v>0</v>
      </c>
      <c r="AK24">
        <v>117</v>
      </c>
      <c r="AL24">
        <v>0.65500000000000003</v>
      </c>
      <c r="AM24">
        <v>3.526717557</v>
      </c>
      <c r="AN24" t="s">
        <v>125</v>
      </c>
      <c r="AO24">
        <f t="shared" si="1"/>
        <v>0.86254295532646053</v>
      </c>
    </row>
    <row r="25" spans="1:41" ht="15.75" x14ac:dyDescent="0.25">
      <c r="A25">
        <v>51</v>
      </c>
      <c r="B25" s="2" t="s">
        <v>135</v>
      </c>
      <c r="C25">
        <v>10</v>
      </c>
      <c r="D25" t="s">
        <v>121</v>
      </c>
      <c r="E25" t="s">
        <v>85</v>
      </c>
      <c r="F25" t="s">
        <v>86</v>
      </c>
      <c r="G25">
        <v>44023</v>
      </c>
      <c r="H25">
        <v>9524</v>
      </c>
      <c r="I25">
        <v>4735</v>
      </c>
      <c r="J25">
        <v>1457</v>
      </c>
      <c r="K25">
        <v>591</v>
      </c>
      <c r="L25">
        <v>69</v>
      </c>
      <c r="M25">
        <v>0</v>
      </c>
      <c r="N25">
        <v>326</v>
      </c>
      <c r="O25">
        <v>1152</v>
      </c>
      <c r="P25">
        <f t="shared" si="0"/>
        <v>1.1519999999999999</v>
      </c>
      <c r="Q25">
        <v>2.14</v>
      </c>
      <c r="R25">
        <v>50</v>
      </c>
      <c r="S25" t="s">
        <v>42</v>
      </c>
      <c r="T25" s="1">
        <v>43439</v>
      </c>
      <c r="U25">
        <v>148.992445</v>
      </c>
      <c r="V25">
        <v>-31.279436</v>
      </c>
      <c r="W25">
        <v>16.984000000000002</v>
      </c>
      <c r="X25">
        <v>687.70699999999999</v>
      </c>
      <c r="Y25">
        <v>448.87400000000002</v>
      </c>
      <c r="Z25">
        <v>662</v>
      </c>
      <c r="AA25">
        <v>241</v>
      </c>
      <c r="AB25">
        <v>89</v>
      </c>
      <c r="AC25">
        <v>24</v>
      </c>
      <c r="AD25">
        <v>2096</v>
      </c>
      <c r="AE25">
        <v>45550</v>
      </c>
      <c r="AF25">
        <v>28453</v>
      </c>
      <c r="AG25">
        <v>71.744510980000001</v>
      </c>
      <c r="AH25">
        <v>758</v>
      </c>
      <c r="AI25">
        <v>155</v>
      </c>
      <c r="AJ25">
        <v>0</v>
      </c>
      <c r="AK25">
        <v>83</v>
      </c>
      <c r="AL25">
        <v>1.1519999999999999</v>
      </c>
      <c r="AM25">
        <v>1.857638889</v>
      </c>
      <c r="AN25" t="s">
        <v>125</v>
      </c>
      <c r="AO25">
        <f t="shared" si="1"/>
        <v>3.1848739495798317</v>
      </c>
    </row>
    <row r="26" spans="1:41" ht="15.75" x14ac:dyDescent="0.25">
      <c r="A26">
        <v>52</v>
      </c>
      <c r="B26" s="2" t="s">
        <v>135</v>
      </c>
      <c r="C26">
        <v>10</v>
      </c>
      <c r="D26" t="s">
        <v>122</v>
      </c>
      <c r="E26" t="s">
        <v>88</v>
      </c>
      <c r="F26" t="s">
        <v>89</v>
      </c>
      <c r="G26">
        <v>3354</v>
      </c>
      <c r="H26">
        <v>1931</v>
      </c>
      <c r="I26">
        <v>1536</v>
      </c>
      <c r="J26">
        <v>680</v>
      </c>
      <c r="K26">
        <v>275</v>
      </c>
      <c r="L26">
        <v>12</v>
      </c>
      <c r="M26">
        <v>1</v>
      </c>
      <c r="N26">
        <v>122</v>
      </c>
      <c r="O26">
        <v>446</v>
      </c>
      <c r="P26">
        <f t="shared" si="0"/>
        <v>0.44600000000000001</v>
      </c>
      <c r="Q26">
        <v>1.29</v>
      </c>
      <c r="R26">
        <v>47.6</v>
      </c>
      <c r="S26" t="s">
        <v>42</v>
      </c>
      <c r="T26" s="1">
        <v>43439</v>
      </c>
      <c r="U26">
        <v>148.992445</v>
      </c>
      <c r="V26">
        <v>-31.279436</v>
      </c>
      <c r="W26">
        <v>16.984000000000002</v>
      </c>
      <c r="X26">
        <v>687.70699999999999</v>
      </c>
      <c r="Y26">
        <v>448.87400000000002</v>
      </c>
      <c r="Z26">
        <v>441</v>
      </c>
      <c r="AA26">
        <v>192</v>
      </c>
      <c r="AB26">
        <v>123</v>
      </c>
      <c r="AC26">
        <v>14</v>
      </c>
      <c r="AD26">
        <v>1202</v>
      </c>
      <c r="AE26">
        <v>46036</v>
      </c>
      <c r="AF26">
        <v>33350</v>
      </c>
      <c r="AG26">
        <v>41.521261729999999</v>
      </c>
      <c r="AH26">
        <v>158</v>
      </c>
      <c r="AI26">
        <v>118</v>
      </c>
      <c r="AJ26">
        <v>0</v>
      </c>
      <c r="AK26">
        <v>67</v>
      </c>
      <c r="AL26">
        <v>0.44600000000000001</v>
      </c>
      <c r="AM26">
        <v>2.8923766820000001</v>
      </c>
      <c r="AN26" t="s">
        <v>125</v>
      </c>
      <c r="AO26">
        <f t="shared" si="1"/>
        <v>0.8540540540540541</v>
      </c>
    </row>
    <row r="27" spans="1:41" ht="15.75" x14ac:dyDescent="0.25">
      <c r="A27">
        <v>12</v>
      </c>
      <c r="B27" s="2" t="s">
        <v>136</v>
      </c>
      <c r="C27">
        <v>11</v>
      </c>
      <c r="D27" t="s">
        <v>65</v>
      </c>
      <c r="E27" t="s">
        <v>36</v>
      </c>
      <c r="F27" t="s">
        <v>56</v>
      </c>
      <c r="G27">
        <v>9913</v>
      </c>
      <c r="H27">
        <v>3258</v>
      </c>
      <c r="I27">
        <v>1808</v>
      </c>
      <c r="J27">
        <v>881</v>
      </c>
      <c r="K27">
        <v>131</v>
      </c>
      <c r="L27">
        <v>12</v>
      </c>
      <c r="M27">
        <v>6</v>
      </c>
      <c r="N27">
        <v>583</v>
      </c>
      <c r="O27">
        <v>1227</v>
      </c>
      <c r="P27">
        <f t="shared" si="0"/>
        <v>1.2270000000000001</v>
      </c>
      <c r="Q27">
        <v>1.51</v>
      </c>
      <c r="R27">
        <v>51.5</v>
      </c>
      <c r="S27" t="s">
        <v>66</v>
      </c>
      <c r="T27" t="s">
        <v>64</v>
      </c>
      <c r="U27">
        <v>149.064179</v>
      </c>
      <c r="V27">
        <v>-30.915472999999999</v>
      </c>
      <c r="W27">
        <v>17.885999999999999</v>
      </c>
      <c r="X27">
        <v>615.005</v>
      </c>
      <c r="Y27">
        <v>278.202</v>
      </c>
      <c r="Z27">
        <v>226</v>
      </c>
      <c r="AA27">
        <v>101</v>
      </c>
      <c r="AB27">
        <v>19</v>
      </c>
      <c r="AC27">
        <v>8</v>
      </c>
      <c r="AD27">
        <v>463</v>
      </c>
      <c r="AE27">
        <v>17757</v>
      </c>
      <c r="AF27">
        <v>10572</v>
      </c>
      <c r="AG27">
        <v>17.304313100000002</v>
      </c>
      <c r="AH27">
        <v>345</v>
      </c>
      <c r="AI27">
        <v>223</v>
      </c>
      <c r="AJ27">
        <v>426</v>
      </c>
      <c r="AK27">
        <v>110</v>
      </c>
      <c r="AL27">
        <v>1.2270000000000001</v>
      </c>
      <c r="AM27">
        <v>1.2306438470000001</v>
      </c>
      <c r="AN27" t="s">
        <v>126</v>
      </c>
      <c r="AO27">
        <f t="shared" si="1"/>
        <v>2.3153153153153152</v>
      </c>
    </row>
    <row r="28" spans="1:41" ht="15.75" x14ac:dyDescent="0.25">
      <c r="A28">
        <v>11</v>
      </c>
      <c r="B28" s="2" t="s">
        <v>136</v>
      </c>
      <c r="C28">
        <v>12</v>
      </c>
      <c r="D28" t="s">
        <v>62</v>
      </c>
      <c r="E28" t="s">
        <v>36</v>
      </c>
      <c r="F28" t="s">
        <v>56</v>
      </c>
      <c r="G28">
        <v>4715</v>
      </c>
      <c r="H28">
        <v>8519</v>
      </c>
      <c r="I28">
        <v>1248</v>
      </c>
      <c r="J28">
        <v>1009</v>
      </c>
      <c r="K28">
        <v>196</v>
      </c>
      <c r="L28">
        <v>35</v>
      </c>
      <c r="M28">
        <v>4</v>
      </c>
      <c r="N28">
        <v>3041</v>
      </c>
      <c r="O28">
        <v>634</v>
      </c>
      <c r="P28">
        <f t="shared" si="0"/>
        <v>0.63400000000000001</v>
      </c>
      <c r="Q28">
        <v>1.26</v>
      </c>
      <c r="R28">
        <v>49.1</v>
      </c>
      <c r="S28" t="s">
        <v>63</v>
      </c>
      <c r="T28" t="s">
        <v>64</v>
      </c>
      <c r="U28">
        <v>149.11217099999999</v>
      </c>
      <c r="V28">
        <v>-30.749200999999999</v>
      </c>
      <c r="W28">
        <v>18.141999999999999</v>
      </c>
      <c r="X28">
        <v>605.00900000000001</v>
      </c>
      <c r="Y28">
        <v>254.65700000000001</v>
      </c>
      <c r="Z28">
        <v>43</v>
      </c>
      <c r="AA28">
        <v>40</v>
      </c>
      <c r="AB28">
        <v>3</v>
      </c>
      <c r="AC28">
        <v>3</v>
      </c>
      <c r="AD28">
        <v>76</v>
      </c>
      <c r="AE28">
        <v>3311</v>
      </c>
      <c r="AF28">
        <v>1976</v>
      </c>
      <c r="AG28">
        <v>1.211273236</v>
      </c>
      <c r="AH28">
        <v>225</v>
      </c>
      <c r="AI28">
        <v>143</v>
      </c>
      <c r="AJ28">
        <v>45</v>
      </c>
      <c r="AK28">
        <v>126</v>
      </c>
      <c r="AL28">
        <v>0.63400000000000001</v>
      </c>
      <c r="AM28">
        <v>1.9873817030000001</v>
      </c>
      <c r="AN28" t="s">
        <v>126</v>
      </c>
      <c r="AO28">
        <f t="shared" si="1"/>
        <v>1.003717472118959</v>
      </c>
    </row>
    <row r="29" spans="1:41" ht="15.75" x14ac:dyDescent="0.25">
      <c r="A29">
        <v>2</v>
      </c>
      <c r="B29" s="2" t="s">
        <v>135</v>
      </c>
      <c r="C29">
        <v>13</v>
      </c>
      <c r="D29" t="s">
        <v>40</v>
      </c>
      <c r="E29" t="s">
        <v>36</v>
      </c>
      <c r="F29" t="s">
        <v>41</v>
      </c>
      <c r="G29">
        <v>4008</v>
      </c>
      <c r="H29">
        <v>9297</v>
      </c>
      <c r="I29">
        <v>2918</v>
      </c>
      <c r="J29">
        <v>1248</v>
      </c>
      <c r="K29">
        <v>159</v>
      </c>
      <c r="L29">
        <v>13</v>
      </c>
      <c r="M29">
        <v>12</v>
      </c>
      <c r="N29">
        <v>982</v>
      </c>
      <c r="O29">
        <v>586</v>
      </c>
      <c r="P29">
        <f t="shared" si="0"/>
        <v>0.58599999999999997</v>
      </c>
      <c r="Q29">
        <v>1.58</v>
      </c>
      <c r="R29">
        <v>48.7</v>
      </c>
      <c r="S29" t="s">
        <v>42</v>
      </c>
      <c r="T29" t="s">
        <v>43</v>
      </c>
      <c r="U29">
        <v>149.26729800000001</v>
      </c>
      <c r="V29">
        <v>-30.510293000000001</v>
      </c>
      <c r="W29">
        <v>18.696000000000002</v>
      </c>
      <c r="X29">
        <v>609.54899999999998</v>
      </c>
      <c r="Y29">
        <v>210.53100000000001</v>
      </c>
      <c r="Z29">
        <v>165</v>
      </c>
      <c r="AA29">
        <v>166</v>
      </c>
      <c r="AB29">
        <v>4</v>
      </c>
      <c r="AC29">
        <v>3</v>
      </c>
      <c r="AD29">
        <v>299</v>
      </c>
      <c r="AE29">
        <v>6036</v>
      </c>
      <c r="AF29">
        <v>5303</v>
      </c>
      <c r="AG29">
        <v>4.3756243760000002</v>
      </c>
      <c r="AH29">
        <v>158</v>
      </c>
      <c r="AI29">
        <v>211</v>
      </c>
      <c r="AJ29">
        <v>0</v>
      </c>
      <c r="AK29">
        <v>119</v>
      </c>
      <c r="AL29">
        <v>0.58599999999999997</v>
      </c>
      <c r="AM29">
        <v>2.6962457340000001</v>
      </c>
      <c r="AN29" t="s">
        <v>126</v>
      </c>
      <c r="AO29">
        <f t="shared" si="1"/>
        <v>0.47878787878787876</v>
      </c>
    </row>
    <row r="30" spans="1:41" ht="15.75" x14ac:dyDescent="0.25">
      <c r="A30">
        <v>26</v>
      </c>
      <c r="B30" s="2" t="s">
        <v>135</v>
      </c>
      <c r="C30">
        <v>13</v>
      </c>
      <c r="D30" t="s">
        <v>40</v>
      </c>
      <c r="E30" t="s">
        <v>82</v>
      </c>
      <c r="F30" t="s">
        <v>83</v>
      </c>
      <c r="G30">
        <v>3505</v>
      </c>
      <c r="H30">
        <v>4469</v>
      </c>
      <c r="I30">
        <v>2647</v>
      </c>
      <c r="J30">
        <v>930</v>
      </c>
      <c r="K30">
        <v>116</v>
      </c>
      <c r="L30">
        <v>16</v>
      </c>
      <c r="M30">
        <v>1</v>
      </c>
      <c r="N30">
        <v>650</v>
      </c>
      <c r="O30">
        <v>657</v>
      </c>
      <c r="P30">
        <f t="shared" si="0"/>
        <v>0.65700000000000003</v>
      </c>
      <c r="Q30">
        <v>1.1399999999999999</v>
      </c>
      <c r="R30">
        <v>49.7</v>
      </c>
      <c r="S30" t="s">
        <v>42</v>
      </c>
      <c r="T30" t="s">
        <v>43</v>
      </c>
      <c r="U30">
        <v>149.26729800000001</v>
      </c>
      <c r="V30">
        <v>-30.510293000000001</v>
      </c>
      <c r="W30">
        <v>18.696000000000002</v>
      </c>
      <c r="X30">
        <v>609.54899999999998</v>
      </c>
      <c r="Y30">
        <v>210.53100000000001</v>
      </c>
      <c r="Z30">
        <v>150</v>
      </c>
      <c r="AA30">
        <v>92</v>
      </c>
      <c r="AB30">
        <v>7</v>
      </c>
      <c r="AC30">
        <v>4</v>
      </c>
      <c r="AD30">
        <v>365</v>
      </c>
      <c r="AE30">
        <v>11945</v>
      </c>
      <c r="AF30">
        <v>11712</v>
      </c>
      <c r="AG30">
        <v>3.6673306769999998</v>
      </c>
      <c r="AH30">
        <v>201</v>
      </c>
      <c r="AI30">
        <v>145</v>
      </c>
      <c r="AJ30">
        <v>0</v>
      </c>
      <c r="AK30">
        <v>113</v>
      </c>
      <c r="AL30">
        <v>0.65700000000000003</v>
      </c>
      <c r="AM30">
        <v>1.735159817</v>
      </c>
      <c r="AN30" t="s">
        <v>126</v>
      </c>
      <c r="AO30">
        <f t="shared" si="1"/>
        <v>0.77906976744186052</v>
      </c>
    </row>
    <row r="31" spans="1:41" ht="15.75" x14ac:dyDescent="0.25">
      <c r="A31">
        <v>27</v>
      </c>
      <c r="B31" s="2" t="s">
        <v>135</v>
      </c>
      <c r="C31">
        <v>13</v>
      </c>
      <c r="D31" t="s">
        <v>91</v>
      </c>
      <c r="E31" t="s">
        <v>85</v>
      </c>
      <c r="F31" t="s">
        <v>86</v>
      </c>
      <c r="G31">
        <v>18354</v>
      </c>
      <c r="H31">
        <v>7165</v>
      </c>
      <c r="I31">
        <v>2462</v>
      </c>
      <c r="J31">
        <v>1034</v>
      </c>
      <c r="K31">
        <v>216</v>
      </c>
      <c r="L31">
        <v>14</v>
      </c>
      <c r="M31">
        <v>1</v>
      </c>
      <c r="N31">
        <v>43</v>
      </c>
      <c r="O31">
        <v>334</v>
      </c>
      <c r="P31">
        <f t="shared" si="0"/>
        <v>0.33400000000000002</v>
      </c>
      <c r="Q31">
        <v>1.21</v>
      </c>
      <c r="R31">
        <v>46</v>
      </c>
      <c r="S31" t="s">
        <v>42</v>
      </c>
      <c r="T31" t="s">
        <v>43</v>
      </c>
      <c r="U31">
        <v>149.26729800000001</v>
      </c>
      <c r="V31">
        <v>-30.510293000000001</v>
      </c>
      <c r="W31">
        <v>18.696000000000002</v>
      </c>
      <c r="X31">
        <v>609.54899999999998</v>
      </c>
      <c r="Y31">
        <v>210.53100000000001</v>
      </c>
      <c r="Z31">
        <v>176</v>
      </c>
      <c r="AA31">
        <v>324</v>
      </c>
      <c r="AB31">
        <v>14</v>
      </c>
      <c r="AC31">
        <v>7</v>
      </c>
      <c r="AD31">
        <v>449</v>
      </c>
      <c r="AE31">
        <v>14441</v>
      </c>
      <c r="AF31">
        <v>17238</v>
      </c>
      <c r="AG31">
        <v>19.434339399999999</v>
      </c>
      <c r="AH31">
        <v>93</v>
      </c>
      <c r="AI31">
        <v>79</v>
      </c>
      <c r="AJ31">
        <v>0</v>
      </c>
      <c r="AK31">
        <v>53</v>
      </c>
      <c r="AL31">
        <v>0.33400000000000002</v>
      </c>
      <c r="AM31">
        <v>3.6227544909999998</v>
      </c>
      <c r="AN31" t="s">
        <v>126</v>
      </c>
      <c r="AO31">
        <f t="shared" si="1"/>
        <v>0.70454545454545459</v>
      </c>
    </row>
    <row r="32" spans="1:41" ht="15.75" x14ac:dyDescent="0.25">
      <c r="A32">
        <v>40</v>
      </c>
      <c r="B32" s="2" t="s">
        <v>135</v>
      </c>
      <c r="C32">
        <v>13</v>
      </c>
      <c r="D32" t="s">
        <v>107</v>
      </c>
      <c r="E32" t="s">
        <v>82</v>
      </c>
      <c r="F32" t="s">
        <v>83</v>
      </c>
      <c r="G32">
        <v>3194</v>
      </c>
      <c r="H32">
        <v>6087</v>
      </c>
      <c r="I32">
        <v>2159</v>
      </c>
      <c r="J32">
        <v>820</v>
      </c>
      <c r="K32">
        <v>137</v>
      </c>
      <c r="L32">
        <v>12</v>
      </c>
      <c r="M32">
        <v>1</v>
      </c>
      <c r="N32">
        <v>292</v>
      </c>
      <c r="O32">
        <v>621</v>
      </c>
      <c r="P32">
        <f t="shared" si="0"/>
        <v>0.621</v>
      </c>
      <c r="Q32">
        <v>1.2</v>
      </c>
      <c r="R32">
        <v>48.3</v>
      </c>
      <c r="S32" t="s">
        <v>42</v>
      </c>
      <c r="T32" t="s">
        <v>43</v>
      </c>
      <c r="U32">
        <v>149.28000900000001</v>
      </c>
      <c r="V32">
        <v>-30.498761999999999</v>
      </c>
      <c r="W32">
        <v>18.721</v>
      </c>
      <c r="X32">
        <v>611.19299999999998</v>
      </c>
      <c r="Y32">
        <v>209.738</v>
      </c>
      <c r="Z32">
        <v>92</v>
      </c>
      <c r="AA32">
        <v>72</v>
      </c>
      <c r="AB32">
        <v>4</v>
      </c>
      <c r="AC32">
        <v>3</v>
      </c>
      <c r="AD32">
        <v>142</v>
      </c>
      <c r="AE32">
        <v>7578</v>
      </c>
      <c r="AF32">
        <v>6801</v>
      </c>
      <c r="AG32">
        <v>1.8103963350000001</v>
      </c>
      <c r="AH32">
        <v>163</v>
      </c>
      <c r="AI32">
        <v>153</v>
      </c>
      <c r="AJ32">
        <v>0</v>
      </c>
      <c r="AK32">
        <v>124</v>
      </c>
      <c r="AL32">
        <v>0.621</v>
      </c>
      <c r="AM32">
        <v>1.9323671499999999</v>
      </c>
      <c r="AN32" t="s">
        <v>126</v>
      </c>
      <c r="AO32">
        <f t="shared" si="1"/>
        <v>0.58844765342960292</v>
      </c>
    </row>
    <row r="33" spans="1:41" ht="15.75" x14ac:dyDescent="0.25">
      <c r="A33">
        <v>41</v>
      </c>
      <c r="B33" s="2" t="s">
        <v>135</v>
      </c>
      <c r="C33">
        <v>13</v>
      </c>
      <c r="D33" t="s">
        <v>108</v>
      </c>
      <c r="E33" t="s">
        <v>82</v>
      </c>
      <c r="F33" t="s">
        <v>83</v>
      </c>
      <c r="G33">
        <v>3490</v>
      </c>
      <c r="H33">
        <v>5779</v>
      </c>
      <c r="I33">
        <v>1666</v>
      </c>
      <c r="J33">
        <v>897</v>
      </c>
      <c r="K33">
        <v>159</v>
      </c>
      <c r="L33">
        <v>13</v>
      </c>
      <c r="M33">
        <v>1</v>
      </c>
      <c r="N33">
        <v>426</v>
      </c>
      <c r="O33">
        <v>673</v>
      </c>
      <c r="P33">
        <f t="shared" si="0"/>
        <v>0.67300000000000004</v>
      </c>
      <c r="Q33">
        <v>1.32</v>
      </c>
      <c r="R33">
        <v>49.7</v>
      </c>
      <c r="S33" t="s">
        <v>42</v>
      </c>
      <c r="T33" t="s">
        <v>43</v>
      </c>
      <c r="U33">
        <v>149.28000900000001</v>
      </c>
      <c r="V33">
        <v>-30.498761999999999</v>
      </c>
      <c r="W33">
        <v>18.721</v>
      </c>
      <c r="X33">
        <v>611.19299999999998</v>
      </c>
      <c r="Y33">
        <v>209.738</v>
      </c>
      <c r="Z33">
        <v>92</v>
      </c>
      <c r="AA33">
        <v>72</v>
      </c>
      <c r="AB33">
        <v>4</v>
      </c>
      <c r="AC33">
        <v>3</v>
      </c>
      <c r="AD33">
        <v>142</v>
      </c>
      <c r="AE33">
        <v>7578</v>
      </c>
      <c r="AF33">
        <v>6801</v>
      </c>
      <c r="AG33">
        <v>1.8103963350000001</v>
      </c>
      <c r="AH33">
        <v>202</v>
      </c>
      <c r="AI33">
        <v>202</v>
      </c>
      <c r="AJ33">
        <v>41</v>
      </c>
      <c r="AK33">
        <v>87</v>
      </c>
      <c r="AL33">
        <v>0.67300000000000004</v>
      </c>
      <c r="AM33">
        <v>1.961367013</v>
      </c>
      <c r="AN33" t="s">
        <v>126</v>
      </c>
      <c r="AO33">
        <f t="shared" si="1"/>
        <v>0.84083044982698962</v>
      </c>
    </row>
    <row r="34" spans="1:41" ht="15.75" x14ac:dyDescent="0.25">
      <c r="A34">
        <v>42</v>
      </c>
      <c r="B34" s="2" t="s">
        <v>135</v>
      </c>
      <c r="C34">
        <v>13</v>
      </c>
      <c r="D34" t="s">
        <v>109</v>
      </c>
      <c r="E34" t="s">
        <v>82</v>
      </c>
      <c r="F34" t="s">
        <v>83</v>
      </c>
      <c r="G34">
        <v>2580</v>
      </c>
      <c r="H34">
        <v>8924</v>
      </c>
      <c r="I34">
        <v>2170</v>
      </c>
      <c r="J34">
        <v>951</v>
      </c>
      <c r="K34">
        <v>511</v>
      </c>
      <c r="L34">
        <v>13</v>
      </c>
      <c r="M34">
        <v>2</v>
      </c>
      <c r="N34">
        <v>128</v>
      </c>
      <c r="O34">
        <v>655</v>
      </c>
      <c r="P34">
        <f t="shared" ref="P34:P53" si="2">O34/1000</f>
        <v>0.65500000000000003</v>
      </c>
      <c r="Q34">
        <v>1.39</v>
      </c>
      <c r="R34">
        <v>47.5</v>
      </c>
      <c r="S34" t="s">
        <v>42</v>
      </c>
      <c r="T34" t="s">
        <v>43</v>
      </c>
      <c r="U34">
        <v>149.28000900000001</v>
      </c>
      <c r="V34">
        <v>-30.498761999999999</v>
      </c>
      <c r="W34">
        <v>18.721</v>
      </c>
      <c r="X34">
        <v>611.19299999999998</v>
      </c>
      <c r="Y34">
        <v>209.738</v>
      </c>
      <c r="Z34">
        <v>101</v>
      </c>
      <c r="AA34">
        <v>70</v>
      </c>
      <c r="AB34">
        <v>5</v>
      </c>
      <c r="AC34">
        <v>3</v>
      </c>
      <c r="AD34">
        <v>141</v>
      </c>
      <c r="AE34">
        <v>7378</v>
      </c>
      <c r="AF34">
        <v>7664</v>
      </c>
      <c r="AG34">
        <v>2.281543691</v>
      </c>
      <c r="AH34">
        <v>226</v>
      </c>
      <c r="AI34">
        <v>152</v>
      </c>
      <c r="AJ34">
        <v>0</v>
      </c>
      <c r="AK34">
        <v>115</v>
      </c>
      <c r="AL34">
        <v>0.65500000000000003</v>
      </c>
      <c r="AM34">
        <v>2.1221374050000001</v>
      </c>
      <c r="AN34" t="s">
        <v>126</v>
      </c>
      <c r="AO34">
        <f t="shared" ref="AO34:AO53" si="3">(AJ34+AH34)/(AI34+AK34)</f>
        <v>0.84644194756554303</v>
      </c>
    </row>
    <row r="35" spans="1:41" ht="15.75" x14ac:dyDescent="0.25">
      <c r="A35">
        <v>43</v>
      </c>
      <c r="B35" s="2" t="s">
        <v>135</v>
      </c>
      <c r="C35">
        <v>13</v>
      </c>
      <c r="D35" t="s">
        <v>110</v>
      </c>
      <c r="E35" t="s">
        <v>82</v>
      </c>
      <c r="F35" t="s">
        <v>83</v>
      </c>
      <c r="G35">
        <v>5134</v>
      </c>
      <c r="H35">
        <v>4943</v>
      </c>
      <c r="I35">
        <v>2370</v>
      </c>
      <c r="J35">
        <v>1118</v>
      </c>
      <c r="K35">
        <v>184</v>
      </c>
      <c r="L35">
        <v>14</v>
      </c>
      <c r="M35">
        <v>1</v>
      </c>
      <c r="N35">
        <v>382</v>
      </c>
      <c r="O35">
        <v>1018</v>
      </c>
      <c r="P35">
        <f t="shared" si="2"/>
        <v>1.018</v>
      </c>
      <c r="Q35">
        <v>1.17</v>
      </c>
      <c r="R35">
        <v>49</v>
      </c>
      <c r="S35" t="s">
        <v>42</v>
      </c>
      <c r="T35" t="s">
        <v>111</v>
      </c>
      <c r="U35">
        <v>149.24693199999999</v>
      </c>
      <c r="V35">
        <v>-30.460940000000001</v>
      </c>
      <c r="W35">
        <v>18.806000000000001</v>
      </c>
      <c r="X35">
        <v>604.07000000000005</v>
      </c>
      <c r="Y35">
        <v>197.393</v>
      </c>
      <c r="Z35">
        <v>145</v>
      </c>
      <c r="AA35">
        <v>88</v>
      </c>
      <c r="AB35">
        <v>6</v>
      </c>
      <c r="AC35">
        <v>3</v>
      </c>
      <c r="AD35">
        <v>207</v>
      </c>
      <c r="AE35">
        <v>8273</v>
      </c>
      <c r="AF35">
        <v>7920</v>
      </c>
      <c r="AG35">
        <v>9.0462889069999992</v>
      </c>
      <c r="AH35">
        <v>507</v>
      </c>
      <c r="AI35">
        <v>182</v>
      </c>
      <c r="AJ35">
        <v>0</v>
      </c>
      <c r="AK35">
        <v>96</v>
      </c>
      <c r="AL35">
        <v>1.018</v>
      </c>
      <c r="AM35">
        <v>1.149312377</v>
      </c>
      <c r="AN35" t="s">
        <v>126</v>
      </c>
      <c r="AO35">
        <f t="shared" si="3"/>
        <v>1.8237410071942446</v>
      </c>
    </row>
    <row r="36" spans="1:41" ht="15.75" x14ac:dyDescent="0.25">
      <c r="A36">
        <v>1</v>
      </c>
      <c r="B36" s="2" t="s">
        <v>135</v>
      </c>
      <c r="C36">
        <v>14</v>
      </c>
      <c r="D36" t="s">
        <v>35</v>
      </c>
      <c r="E36" t="s">
        <v>36</v>
      </c>
      <c r="F36" t="s">
        <v>37</v>
      </c>
      <c r="G36">
        <v>4635</v>
      </c>
      <c r="H36">
        <v>4842</v>
      </c>
      <c r="I36">
        <v>2197</v>
      </c>
      <c r="J36">
        <v>736</v>
      </c>
      <c r="K36">
        <v>245</v>
      </c>
      <c r="L36">
        <v>8</v>
      </c>
      <c r="M36">
        <v>17</v>
      </c>
      <c r="N36">
        <v>1454</v>
      </c>
      <c r="O36">
        <v>957</v>
      </c>
      <c r="P36">
        <f t="shared" si="2"/>
        <v>0.95699999999999996</v>
      </c>
      <c r="Q36">
        <v>1.48</v>
      </c>
      <c r="R36">
        <v>52</v>
      </c>
      <c r="S36" t="s">
        <v>38</v>
      </c>
      <c r="T36" t="s">
        <v>39</v>
      </c>
      <c r="U36">
        <v>150.152671</v>
      </c>
      <c r="V36">
        <v>-30.283666</v>
      </c>
      <c r="W36">
        <v>12.000999999999999</v>
      </c>
      <c r="X36">
        <v>1207.19</v>
      </c>
      <c r="Y36">
        <v>1433.73</v>
      </c>
      <c r="Z36">
        <v>1562</v>
      </c>
      <c r="AA36">
        <v>271</v>
      </c>
      <c r="AB36">
        <v>137</v>
      </c>
      <c r="AC36">
        <v>18</v>
      </c>
      <c r="AD36">
        <v>5345</v>
      </c>
      <c r="AE36">
        <v>120483</v>
      </c>
      <c r="AF36">
        <v>55969</v>
      </c>
      <c r="AG36">
        <v>94.917248259999994</v>
      </c>
      <c r="AH36">
        <v>327</v>
      </c>
      <c r="AI36">
        <v>192</v>
      </c>
      <c r="AJ36">
        <v>94</v>
      </c>
      <c r="AK36">
        <v>86</v>
      </c>
      <c r="AL36">
        <v>0.95699999999999996</v>
      </c>
      <c r="AM36">
        <v>1.5464994780000001</v>
      </c>
      <c r="AN36" t="s">
        <v>125</v>
      </c>
      <c r="AO36">
        <f t="shared" si="3"/>
        <v>1.514388489208633</v>
      </c>
    </row>
    <row r="37" spans="1:41" ht="15.75" x14ac:dyDescent="0.25">
      <c r="A37">
        <v>7</v>
      </c>
      <c r="B37" s="2" t="s">
        <v>135</v>
      </c>
      <c r="C37">
        <v>14</v>
      </c>
      <c r="D37" t="s">
        <v>54</v>
      </c>
      <c r="E37" t="s">
        <v>36</v>
      </c>
      <c r="F37" t="s">
        <v>37</v>
      </c>
      <c r="G37">
        <v>5217</v>
      </c>
      <c r="H37">
        <v>7825</v>
      </c>
      <c r="I37">
        <v>2411</v>
      </c>
      <c r="J37">
        <v>701</v>
      </c>
      <c r="K37">
        <v>160</v>
      </c>
      <c r="L37">
        <v>9</v>
      </c>
      <c r="M37">
        <v>2</v>
      </c>
      <c r="N37">
        <v>1800</v>
      </c>
      <c r="O37">
        <v>1211</v>
      </c>
      <c r="P37">
        <f t="shared" si="2"/>
        <v>1.2110000000000001</v>
      </c>
      <c r="Q37">
        <v>1.22</v>
      </c>
      <c r="R37">
        <v>50.6</v>
      </c>
      <c r="S37" t="s">
        <v>38</v>
      </c>
      <c r="T37" t="s">
        <v>39</v>
      </c>
      <c r="U37">
        <v>150.152671</v>
      </c>
      <c r="V37">
        <v>-30.283666</v>
      </c>
      <c r="W37">
        <v>12.000999999999999</v>
      </c>
      <c r="X37">
        <v>1207.19</v>
      </c>
      <c r="Y37">
        <v>1433.73</v>
      </c>
      <c r="Z37">
        <v>1562</v>
      </c>
      <c r="AA37">
        <v>271</v>
      </c>
      <c r="AB37">
        <v>137</v>
      </c>
      <c r="AC37">
        <v>18</v>
      </c>
      <c r="AD37">
        <v>5345</v>
      </c>
      <c r="AE37">
        <v>120483</v>
      </c>
      <c r="AF37">
        <v>55969</v>
      </c>
      <c r="AG37">
        <v>94.917248259999994</v>
      </c>
      <c r="AH37">
        <v>690</v>
      </c>
      <c r="AI37">
        <v>206</v>
      </c>
      <c r="AJ37">
        <v>262</v>
      </c>
      <c r="AK37">
        <v>92</v>
      </c>
      <c r="AL37">
        <v>1.2110000000000001</v>
      </c>
      <c r="AM37">
        <v>1.0074318739999999</v>
      </c>
      <c r="AN37" t="s">
        <v>125</v>
      </c>
      <c r="AO37">
        <f t="shared" si="3"/>
        <v>3.1946308724832213</v>
      </c>
    </row>
    <row r="38" spans="1:41" ht="15.75" x14ac:dyDescent="0.25">
      <c r="A38">
        <v>34</v>
      </c>
      <c r="B38" s="2" t="s">
        <v>135</v>
      </c>
      <c r="C38">
        <v>14</v>
      </c>
      <c r="D38" t="s">
        <v>99</v>
      </c>
      <c r="E38" t="s">
        <v>36</v>
      </c>
      <c r="F38" t="s">
        <v>37</v>
      </c>
      <c r="G38">
        <v>6226</v>
      </c>
      <c r="H38">
        <v>8444</v>
      </c>
      <c r="I38">
        <v>2570</v>
      </c>
      <c r="J38">
        <v>798</v>
      </c>
      <c r="K38">
        <v>199</v>
      </c>
      <c r="L38">
        <v>13</v>
      </c>
      <c r="M38">
        <v>0</v>
      </c>
      <c r="N38">
        <v>2586</v>
      </c>
      <c r="O38">
        <v>1007</v>
      </c>
      <c r="P38">
        <f t="shared" si="2"/>
        <v>1.0069999999999999</v>
      </c>
      <c r="Q38">
        <v>1.27</v>
      </c>
      <c r="R38">
        <v>51.2</v>
      </c>
      <c r="S38" t="s">
        <v>38</v>
      </c>
      <c r="T38" t="s">
        <v>39</v>
      </c>
      <c r="U38">
        <v>150.152671</v>
      </c>
      <c r="V38">
        <v>-30.283666</v>
      </c>
      <c r="W38">
        <v>12.000999999999999</v>
      </c>
      <c r="X38">
        <v>1207.19</v>
      </c>
      <c r="Y38">
        <v>1433.73</v>
      </c>
      <c r="Z38">
        <v>1562</v>
      </c>
      <c r="AA38">
        <v>271</v>
      </c>
      <c r="AB38">
        <v>137</v>
      </c>
      <c r="AC38">
        <v>18</v>
      </c>
      <c r="AD38">
        <v>5345</v>
      </c>
      <c r="AE38">
        <v>120483</v>
      </c>
      <c r="AF38">
        <v>55969</v>
      </c>
      <c r="AG38">
        <v>94.917248259999994</v>
      </c>
      <c r="AH38">
        <v>476</v>
      </c>
      <c r="AI38">
        <v>165</v>
      </c>
      <c r="AJ38">
        <v>142</v>
      </c>
      <c r="AK38">
        <v>129</v>
      </c>
      <c r="AL38">
        <v>1.0069999999999999</v>
      </c>
      <c r="AM38">
        <v>1.261171797</v>
      </c>
      <c r="AN38" t="s">
        <v>125</v>
      </c>
      <c r="AO38">
        <f t="shared" si="3"/>
        <v>2.1020408163265305</v>
      </c>
    </row>
    <row r="39" spans="1:41" ht="15.75" x14ac:dyDescent="0.25">
      <c r="A39">
        <v>38</v>
      </c>
      <c r="B39" s="2" t="s">
        <v>136</v>
      </c>
      <c r="C39">
        <v>15</v>
      </c>
      <c r="D39" t="s">
        <v>104</v>
      </c>
      <c r="E39" t="s">
        <v>88</v>
      </c>
      <c r="F39" t="s">
        <v>89</v>
      </c>
      <c r="G39">
        <v>3498</v>
      </c>
      <c r="H39">
        <v>12602</v>
      </c>
      <c r="I39">
        <v>3838</v>
      </c>
      <c r="J39">
        <v>759</v>
      </c>
      <c r="K39">
        <v>590</v>
      </c>
      <c r="L39">
        <v>4</v>
      </c>
      <c r="M39">
        <v>1</v>
      </c>
      <c r="N39">
        <v>92</v>
      </c>
      <c r="O39">
        <v>741</v>
      </c>
      <c r="P39">
        <f t="shared" si="2"/>
        <v>0.74099999999999999</v>
      </c>
      <c r="Q39">
        <v>1.62</v>
      </c>
      <c r="R39">
        <v>41.4</v>
      </c>
      <c r="S39" t="s">
        <v>105</v>
      </c>
      <c r="T39" t="s">
        <v>53</v>
      </c>
      <c r="U39">
        <v>150.09585999999999</v>
      </c>
      <c r="V39">
        <v>-30.272981000000001</v>
      </c>
      <c r="W39">
        <v>14.708</v>
      </c>
      <c r="X39">
        <v>999.56299999999999</v>
      </c>
      <c r="Y39">
        <v>949.23900000000003</v>
      </c>
      <c r="Z39">
        <v>1860</v>
      </c>
      <c r="AA39">
        <v>215</v>
      </c>
      <c r="AB39">
        <v>76</v>
      </c>
      <c r="AC39">
        <v>21</v>
      </c>
      <c r="AD39">
        <v>931</v>
      </c>
      <c r="AE39">
        <v>79298</v>
      </c>
      <c r="AF39">
        <v>52179</v>
      </c>
      <c r="AG39">
        <v>221.19009579999999</v>
      </c>
      <c r="AH39">
        <v>345</v>
      </c>
      <c r="AI39">
        <v>109</v>
      </c>
      <c r="AJ39">
        <v>144</v>
      </c>
      <c r="AK39">
        <v>77</v>
      </c>
      <c r="AL39">
        <v>0.74099999999999999</v>
      </c>
      <c r="AM39">
        <v>2.186234818</v>
      </c>
      <c r="AN39" t="s">
        <v>125</v>
      </c>
      <c r="AO39">
        <f t="shared" si="3"/>
        <v>2.629032258064516</v>
      </c>
    </row>
    <row r="40" spans="1:41" ht="15.75" x14ac:dyDescent="0.25">
      <c r="A40">
        <v>39</v>
      </c>
      <c r="B40" s="2" t="s">
        <v>136</v>
      </c>
      <c r="C40">
        <v>15</v>
      </c>
      <c r="D40" t="s">
        <v>106</v>
      </c>
      <c r="E40" t="s">
        <v>82</v>
      </c>
      <c r="F40" t="s">
        <v>83</v>
      </c>
      <c r="G40">
        <v>3705</v>
      </c>
      <c r="H40">
        <v>14852</v>
      </c>
      <c r="I40">
        <v>1599</v>
      </c>
      <c r="J40">
        <v>680</v>
      </c>
      <c r="K40">
        <v>252</v>
      </c>
      <c r="L40">
        <v>21</v>
      </c>
      <c r="M40">
        <v>0</v>
      </c>
      <c r="N40">
        <v>35</v>
      </c>
      <c r="O40">
        <v>3053</v>
      </c>
      <c r="P40">
        <f t="shared" si="2"/>
        <v>3.0529999999999999</v>
      </c>
      <c r="Q40">
        <v>1.0900000000000001</v>
      </c>
      <c r="R40">
        <v>49.4</v>
      </c>
      <c r="S40" t="s">
        <v>105</v>
      </c>
      <c r="T40" t="s">
        <v>53</v>
      </c>
      <c r="U40">
        <v>150.09591699999999</v>
      </c>
      <c r="V40">
        <v>-30.273107</v>
      </c>
      <c r="W40">
        <v>14.708</v>
      </c>
      <c r="X40">
        <v>999.56299999999999</v>
      </c>
      <c r="Y40">
        <v>949.23900000000003</v>
      </c>
      <c r="Z40">
        <v>1860</v>
      </c>
      <c r="AA40">
        <v>215</v>
      </c>
      <c r="AB40">
        <v>76</v>
      </c>
      <c r="AC40">
        <v>21</v>
      </c>
      <c r="AD40">
        <v>931</v>
      </c>
      <c r="AE40">
        <v>79298</v>
      </c>
      <c r="AF40">
        <v>52179</v>
      </c>
      <c r="AG40">
        <v>221.19009579999999</v>
      </c>
      <c r="AH40">
        <v>3031</v>
      </c>
      <c r="AI40">
        <v>262</v>
      </c>
      <c r="AJ40">
        <v>0</v>
      </c>
      <c r="AK40">
        <v>126</v>
      </c>
      <c r="AL40">
        <v>3.0529999999999999</v>
      </c>
      <c r="AM40">
        <v>0.35702587600000002</v>
      </c>
      <c r="AN40" t="s">
        <v>125</v>
      </c>
      <c r="AO40">
        <f t="shared" si="3"/>
        <v>7.8118556701030926</v>
      </c>
    </row>
    <row r="41" spans="1:41" ht="15.75" x14ac:dyDescent="0.25">
      <c r="A41">
        <v>20</v>
      </c>
      <c r="B41" s="2" t="s">
        <v>136</v>
      </c>
      <c r="C41">
        <v>16</v>
      </c>
      <c r="D41" t="s">
        <v>76</v>
      </c>
      <c r="E41" t="s">
        <v>36</v>
      </c>
      <c r="F41" t="s">
        <v>45</v>
      </c>
      <c r="G41">
        <v>4410</v>
      </c>
      <c r="H41">
        <v>14704</v>
      </c>
      <c r="I41">
        <v>2709</v>
      </c>
      <c r="J41">
        <v>1050</v>
      </c>
      <c r="K41">
        <v>302</v>
      </c>
      <c r="L41">
        <v>26</v>
      </c>
      <c r="M41">
        <v>1</v>
      </c>
      <c r="N41">
        <v>537</v>
      </c>
      <c r="O41">
        <v>703</v>
      </c>
      <c r="P41">
        <f t="shared" si="2"/>
        <v>0.70299999999999996</v>
      </c>
      <c r="Q41">
        <v>1.51</v>
      </c>
      <c r="R41">
        <v>51.2</v>
      </c>
      <c r="S41" t="s">
        <v>77</v>
      </c>
      <c r="T41" t="s">
        <v>53</v>
      </c>
      <c r="U41">
        <v>150.02035799999999</v>
      </c>
      <c r="V41">
        <v>-30.279577</v>
      </c>
      <c r="W41">
        <v>18.167000000000002</v>
      </c>
      <c r="X41">
        <v>698.30899999999997</v>
      </c>
      <c r="Y41">
        <v>358.548</v>
      </c>
      <c r="Z41">
        <v>221</v>
      </c>
      <c r="AA41">
        <v>119</v>
      </c>
      <c r="AB41">
        <v>20</v>
      </c>
      <c r="AC41">
        <v>7</v>
      </c>
      <c r="AD41">
        <v>322</v>
      </c>
      <c r="AE41">
        <v>11975</v>
      </c>
      <c r="AF41">
        <v>8087</v>
      </c>
      <c r="AG41">
        <v>11.0871303</v>
      </c>
      <c r="AH41">
        <v>242</v>
      </c>
      <c r="AI41">
        <v>193</v>
      </c>
      <c r="AJ41">
        <v>34</v>
      </c>
      <c r="AK41">
        <v>99</v>
      </c>
      <c r="AL41">
        <v>0.70299999999999996</v>
      </c>
      <c r="AM41">
        <v>2.147937411</v>
      </c>
      <c r="AN41" t="s">
        <v>127</v>
      </c>
      <c r="AO41">
        <f t="shared" si="3"/>
        <v>0.9452054794520548</v>
      </c>
    </row>
    <row r="42" spans="1:41" ht="15.75" x14ac:dyDescent="0.25">
      <c r="A42">
        <v>37</v>
      </c>
      <c r="B42" s="2" t="s">
        <v>136</v>
      </c>
      <c r="C42">
        <v>16</v>
      </c>
      <c r="D42" t="s">
        <v>102</v>
      </c>
      <c r="E42" t="s">
        <v>82</v>
      </c>
      <c r="F42" t="s">
        <v>83</v>
      </c>
      <c r="G42">
        <v>4410</v>
      </c>
      <c r="H42">
        <v>7851</v>
      </c>
      <c r="I42">
        <v>2171</v>
      </c>
      <c r="J42">
        <v>1150</v>
      </c>
      <c r="K42">
        <v>342</v>
      </c>
      <c r="L42">
        <v>16</v>
      </c>
      <c r="M42">
        <v>3</v>
      </c>
      <c r="N42">
        <v>119</v>
      </c>
      <c r="O42">
        <v>1218</v>
      </c>
      <c r="P42">
        <f t="shared" si="2"/>
        <v>1.218</v>
      </c>
      <c r="Q42">
        <v>1.46</v>
      </c>
      <c r="R42">
        <v>48.9</v>
      </c>
      <c r="S42" t="s">
        <v>103</v>
      </c>
      <c r="T42" t="s">
        <v>53</v>
      </c>
      <c r="U42">
        <v>150.020139</v>
      </c>
      <c r="V42">
        <v>-30.280201000000002</v>
      </c>
      <c r="W42">
        <v>18.036000000000001</v>
      </c>
      <c r="X42">
        <v>709.26800000000003</v>
      </c>
      <c r="Y42">
        <v>380.78399999999999</v>
      </c>
      <c r="Z42">
        <v>221</v>
      </c>
      <c r="AA42">
        <v>119</v>
      </c>
      <c r="AB42">
        <v>20</v>
      </c>
      <c r="AC42">
        <v>7</v>
      </c>
      <c r="AD42">
        <v>322</v>
      </c>
      <c r="AE42">
        <v>11975</v>
      </c>
      <c r="AF42">
        <v>8087</v>
      </c>
      <c r="AG42">
        <v>11.0871303</v>
      </c>
      <c r="AH42">
        <v>729</v>
      </c>
      <c r="AI42">
        <v>236</v>
      </c>
      <c r="AJ42">
        <v>0</v>
      </c>
      <c r="AK42">
        <v>97</v>
      </c>
      <c r="AL42">
        <v>1.218</v>
      </c>
      <c r="AM42">
        <v>1.198686371</v>
      </c>
      <c r="AN42" t="s">
        <v>127</v>
      </c>
      <c r="AO42">
        <f t="shared" si="3"/>
        <v>2.189189189189189</v>
      </c>
    </row>
    <row r="43" spans="1:41" ht="15.75" x14ac:dyDescent="0.25">
      <c r="A43">
        <v>10</v>
      </c>
      <c r="B43" s="2" t="s">
        <v>136</v>
      </c>
      <c r="C43">
        <v>17</v>
      </c>
      <c r="D43" t="s">
        <v>60</v>
      </c>
      <c r="E43" t="s">
        <v>36</v>
      </c>
      <c r="F43" t="s">
        <v>56</v>
      </c>
      <c r="G43">
        <v>4667</v>
      </c>
      <c r="H43">
        <v>12879</v>
      </c>
      <c r="I43">
        <v>2852</v>
      </c>
      <c r="J43">
        <v>1118</v>
      </c>
      <c r="K43">
        <v>239</v>
      </c>
      <c r="L43">
        <v>16</v>
      </c>
      <c r="M43">
        <v>0</v>
      </c>
      <c r="N43">
        <v>539</v>
      </c>
      <c r="O43">
        <v>944</v>
      </c>
      <c r="P43">
        <f t="shared" si="2"/>
        <v>0.94399999999999995</v>
      </c>
      <c r="Q43">
        <v>1.25</v>
      </c>
      <c r="R43">
        <v>50.4</v>
      </c>
      <c r="S43" t="s">
        <v>61</v>
      </c>
      <c r="T43" t="s">
        <v>53</v>
      </c>
      <c r="U43">
        <v>149.92937800000001</v>
      </c>
      <c r="V43">
        <v>-30.323808</v>
      </c>
      <c r="W43">
        <v>18.687000000000001</v>
      </c>
      <c r="X43">
        <v>654.57899999999995</v>
      </c>
      <c r="Y43">
        <v>276.93900000000002</v>
      </c>
      <c r="Z43">
        <v>677</v>
      </c>
      <c r="AA43">
        <v>186</v>
      </c>
      <c r="AB43">
        <v>52</v>
      </c>
      <c r="AC43">
        <v>11</v>
      </c>
      <c r="AD43">
        <v>454</v>
      </c>
      <c r="AE43">
        <v>26769</v>
      </c>
      <c r="AF43">
        <v>11063</v>
      </c>
      <c r="AG43">
        <v>59.627415820000003</v>
      </c>
      <c r="AH43">
        <v>436</v>
      </c>
      <c r="AI43">
        <v>219</v>
      </c>
      <c r="AJ43">
        <v>116</v>
      </c>
      <c r="AK43">
        <v>70</v>
      </c>
      <c r="AL43">
        <v>0.94399999999999995</v>
      </c>
      <c r="AM43">
        <v>1.324152542</v>
      </c>
      <c r="AN43" t="s">
        <v>126</v>
      </c>
      <c r="AO43">
        <f t="shared" si="3"/>
        <v>1.9100346020761245</v>
      </c>
    </row>
    <row r="44" spans="1:41" ht="15.75" x14ac:dyDescent="0.25">
      <c r="A44">
        <v>36</v>
      </c>
      <c r="B44" s="2" t="s">
        <v>136</v>
      </c>
      <c r="C44">
        <v>17</v>
      </c>
      <c r="D44" t="s">
        <v>101</v>
      </c>
      <c r="E44" t="s">
        <v>82</v>
      </c>
      <c r="F44" t="s">
        <v>83</v>
      </c>
      <c r="G44">
        <v>4352</v>
      </c>
      <c r="H44">
        <v>10402</v>
      </c>
      <c r="I44">
        <v>2015</v>
      </c>
      <c r="J44">
        <v>760</v>
      </c>
      <c r="K44">
        <v>223</v>
      </c>
      <c r="L44">
        <v>12</v>
      </c>
      <c r="M44">
        <v>0</v>
      </c>
      <c r="N44">
        <v>64</v>
      </c>
      <c r="O44">
        <v>1408</v>
      </c>
      <c r="P44">
        <f t="shared" si="2"/>
        <v>1.4079999999999999</v>
      </c>
      <c r="Q44">
        <v>1.0900000000000001</v>
      </c>
      <c r="R44">
        <v>51.5</v>
      </c>
      <c r="S44" t="s">
        <v>61</v>
      </c>
      <c r="T44" t="s">
        <v>53</v>
      </c>
      <c r="U44">
        <v>149.92936700000001</v>
      </c>
      <c r="V44">
        <v>-30.324117000000001</v>
      </c>
      <c r="W44">
        <v>18.687000000000001</v>
      </c>
      <c r="X44">
        <v>654.57899999999995</v>
      </c>
      <c r="Y44">
        <v>276.93900000000002</v>
      </c>
      <c r="Z44">
        <v>677</v>
      </c>
      <c r="AA44">
        <v>186</v>
      </c>
      <c r="AB44">
        <v>52</v>
      </c>
      <c r="AC44">
        <v>11</v>
      </c>
      <c r="AD44">
        <v>454</v>
      </c>
      <c r="AE44">
        <v>26769</v>
      </c>
      <c r="AF44">
        <v>11063</v>
      </c>
      <c r="AG44">
        <v>59.627415820000003</v>
      </c>
      <c r="AH44">
        <v>969</v>
      </c>
      <c r="AI44">
        <v>201</v>
      </c>
      <c r="AJ44">
        <v>0</v>
      </c>
      <c r="AK44">
        <v>100</v>
      </c>
      <c r="AL44">
        <v>1.4079999999999999</v>
      </c>
      <c r="AM44">
        <v>0.77414772700000001</v>
      </c>
      <c r="AN44" t="s">
        <v>126</v>
      </c>
      <c r="AO44">
        <f t="shared" si="3"/>
        <v>3.2192691029900331</v>
      </c>
    </row>
    <row r="45" spans="1:41" ht="15.75" x14ac:dyDescent="0.25">
      <c r="A45">
        <v>9</v>
      </c>
      <c r="B45" s="2" t="s">
        <v>136</v>
      </c>
      <c r="C45">
        <v>18</v>
      </c>
      <c r="D45" t="s">
        <v>58</v>
      </c>
      <c r="E45" t="s">
        <v>36</v>
      </c>
      <c r="F45" t="s">
        <v>45</v>
      </c>
      <c r="G45">
        <v>8297</v>
      </c>
      <c r="H45">
        <v>8409</v>
      </c>
      <c r="I45">
        <v>1031</v>
      </c>
      <c r="J45">
        <v>876</v>
      </c>
      <c r="K45">
        <v>295</v>
      </c>
      <c r="L45">
        <v>15</v>
      </c>
      <c r="M45">
        <v>2</v>
      </c>
      <c r="N45">
        <v>779</v>
      </c>
      <c r="O45">
        <v>683</v>
      </c>
      <c r="P45">
        <f t="shared" si="2"/>
        <v>0.68300000000000005</v>
      </c>
      <c r="Q45">
        <v>1.1299999999999999</v>
      </c>
      <c r="R45">
        <v>48.4</v>
      </c>
      <c r="S45" t="s">
        <v>59</v>
      </c>
      <c r="T45" t="s">
        <v>53</v>
      </c>
      <c r="U45">
        <v>149.87269699999999</v>
      </c>
      <c r="V45">
        <v>-30.251787</v>
      </c>
      <c r="W45">
        <v>18.856000000000002</v>
      </c>
      <c r="X45">
        <v>649.29300000000001</v>
      </c>
      <c r="Y45">
        <v>259.02</v>
      </c>
      <c r="Z45">
        <v>153</v>
      </c>
      <c r="AA45">
        <v>80</v>
      </c>
      <c r="AB45">
        <v>6</v>
      </c>
      <c r="AC45">
        <v>5</v>
      </c>
      <c r="AD45">
        <v>341</v>
      </c>
      <c r="AE45">
        <v>4126</v>
      </c>
      <c r="AF45">
        <v>3721</v>
      </c>
      <c r="AG45">
        <v>23.818763749999999</v>
      </c>
      <c r="AH45">
        <v>247</v>
      </c>
      <c r="AI45">
        <v>109</v>
      </c>
      <c r="AJ45">
        <v>78</v>
      </c>
      <c r="AK45">
        <v>138</v>
      </c>
      <c r="AL45">
        <v>0.68300000000000005</v>
      </c>
      <c r="AM45">
        <v>1.6544655930000001</v>
      </c>
      <c r="AN45" t="s">
        <v>126</v>
      </c>
      <c r="AO45">
        <f t="shared" si="3"/>
        <v>1.3157894736842106</v>
      </c>
    </row>
    <row r="46" spans="1:41" ht="15.75" x14ac:dyDescent="0.25">
      <c r="A46">
        <v>35</v>
      </c>
      <c r="B46" s="2" t="s">
        <v>136</v>
      </c>
      <c r="C46">
        <v>18</v>
      </c>
      <c r="D46" t="s">
        <v>100</v>
      </c>
      <c r="E46" t="s">
        <v>82</v>
      </c>
      <c r="F46" t="s">
        <v>83</v>
      </c>
      <c r="G46">
        <v>6489</v>
      </c>
      <c r="H46">
        <v>9914</v>
      </c>
      <c r="I46">
        <v>2205</v>
      </c>
      <c r="J46">
        <v>898</v>
      </c>
      <c r="K46">
        <v>231</v>
      </c>
      <c r="L46">
        <v>13</v>
      </c>
      <c r="M46">
        <v>1</v>
      </c>
      <c r="N46">
        <v>232</v>
      </c>
      <c r="O46">
        <v>1712</v>
      </c>
      <c r="P46">
        <f t="shared" si="2"/>
        <v>1.712</v>
      </c>
      <c r="Q46">
        <v>1.03</v>
      </c>
      <c r="R46">
        <v>48.8</v>
      </c>
      <c r="S46" t="s">
        <v>59</v>
      </c>
      <c r="T46" t="s">
        <v>53</v>
      </c>
      <c r="U46">
        <v>149.872793</v>
      </c>
      <c r="V46">
        <v>-30.251567999999999</v>
      </c>
      <c r="W46">
        <v>18.856000000000002</v>
      </c>
      <c r="X46">
        <v>649.29300000000001</v>
      </c>
      <c r="Y46">
        <v>259.02</v>
      </c>
      <c r="Z46">
        <v>153</v>
      </c>
      <c r="AA46">
        <v>80</v>
      </c>
      <c r="AB46">
        <v>6</v>
      </c>
      <c r="AC46">
        <v>5</v>
      </c>
      <c r="AD46">
        <v>341</v>
      </c>
      <c r="AE46">
        <v>4126</v>
      </c>
      <c r="AF46">
        <v>3721</v>
      </c>
      <c r="AG46">
        <v>23.818763749999999</v>
      </c>
      <c r="AH46">
        <v>1266</v>
      </c>
      <c r="AI46">
        <v>192</v>
      </c>
      <c r="AJ46">
        <v>41</v>
      </c>
      <c r="AK46">
        <v>63</v>
      </c>
      <c r="AL46">
        <v>1.712</v>
      </c>
      <c r="AM46">
        <v>0.60163551400000004</v>
      </c>
      <c r="AN46" t="s">
        <v>126</v>
      </c>
      <c r="AO46">
        <f t="shared" si="3"/>
        <v>5.1254901960784318</v>
      </c>
    </row>
    <row r="47" spans="1:41" ht="15.75" x14ac:dyDescent="0.25">
      <c r="A47">
        <v>8</v>
      </c>
      <c r="B47" s="2" t="s">
        <v>136</v>
      </c>
      <c r="C47">
        <v>19</v>
      </c>
      <c r="D47" t="s">
        <v>55</v>
      </c>
      <c r="E47" t="s">
        <v>36</v>
      </c>
      <c r="F47" t="s">
        <v>56</v>
      </c>
      <c r="G47">
        <v>12407</v>
      </c>
      <c r="H47">
        <v>9227</v>
      </c>
      <c r="I47">
        <v>2221</v>
      </c>
      <c r="J47">
        <v>876</v>
      </c>
      <c r="K47">
        <v>259</v>
      </c>
      <c r="L47">
        <v>10</v>
      </c>
      <c r="M47">
        <v>5</v>
      </c>
      <c r="N47">
        <v>78</v>
      </c>
      <c r="O47">
        <v>940</v>
      </c>
      <c r="P47">
        <f t="shared" si="2"/>
        <v>0.94</v>
      </c>
      <c r="Q47">
        <v>1</v>
      </c>
      <c r="R47">
        <v>44.9</v>
      </c>
      <c r="S47" t="s">
        <v>57</v>
      </c>
      <c r="T47" t="s">
        <v>53</v>
      </c>
      <c r="U47">
        <v>150.02883299999999</v>
      </c>
      <c r="V47">
        <v>-30.144659999999998</v>
      </c>
      <c r="W47">
        <v>17.895</v>
      </c>
      <c r="X47">
        <v>753.14099999999996</v>
      </c>
      <c r="Y47">
        <v>414.11700000000002</v>
      </c>
      <c r="Z47">
        <v>1159</v>
      </c>
      <c r="AA47">
        <v>124</v>
      </c>
      <c r="AB47">
        <v>90</v>
      </c>
      <c r="AC47">
        <v>32</v>
      </c>
      <c r="AD47">
        <v>766</v>
      </c>
      <c r="AE47">
        <v>55960</v>
      </c>
      <c r="AF47">
        <v>23307</v>
      </c>
      <c r="AG47">
        <v>106.2278077</v>
      </c>
      <c r="AH47">
        <v>274</v>
      </c>
      <c r="AI47">
        <v>184</v>
      </c>
      <c r="AJ47">
        <v>254</v>
      </c>
      <c r="AK47">
        <v>23</v>
      </c>
      <c r="AL47">
        <v>0.94</v>
      </c>
      <c r="AM47">
        <v>1.063829787</v>
      </c>
      <c r="AN47" t="s">
        <v>128</v>
      </c>
      <c r="AO47">
        <f t="shared" si="3"/>
        <v>2.5507246376811592</v>
      </c>
    </row>
    <row r="48" spans="1:41" ht="15.75" x14ac:dyDescent="0.25">
      <c r="A48">
        <v>6</v>
      </c>
      <c r="B48" s="2" t="s">
        <v>136</v>
      </c>
      <c r="C48">
        <v>20</v>
      </c>
      <c r="D48" t="s">
        <v>51</v>
      </c>
      <c r="E48" t="s">
        <v>36</v>
      </c>
      <c r="F48" t="s">
        <v>45</v>
      </c>
      <c r="G48">
        <v>9110</v>
      </c>
      <c r="H48">
        <v>3643</v>
      </c>
      <c r="I48">
        <v>1844</v>
      </c>
      <c r="J48">
        <v>878</v>
      </c>
      <c r="K48">
        <v>266</v>
      </c>
      <c r="L48">
        <v>14</v>
      </c>
      <c r="M48">
        <v>11</v>
      </c>
      <c r="N48">
        <v>266</v>
      </c>
      <c r="O48">
        <v>1073</v>
      </c>
      <c r="P48">
        <f t="shared" si="2"/>
        <v>1.073</v>
      </c>
      <c r="Q48">
        <v>1.5</v>
      </c>
      <c r="R48">
        <v>50.7</v>
      </c>
      <c r="S48" t="s">
        <v>52</v>
      </c>
      <c r="T48" t="s">
        <v>53</v>
      </c>
      <c r="U48">
        <v>150.309776</v>
      </c>
      <c r="V48">
        <v>-30.041526999999999</v>
      </c>
      <c r="W48">
        <v>17.907</v>
      </c>
      <c r="X48">
        <v>767.63499999999999</v>
      </c>
      <c r="Y48">
        <v>379.99799999999999</v>
      </c>
      <c r="Z48">
        <v>271</v>
      </c>
      <c r="AA48">
        <v>169</v>
      </c>
      <c r="AB48">
        <v>29</v>
      </c>
      <c r="AC48">
        <v>18</v>
      </c>
      <c r="AD48">
        <v>437</v>
      </c>
      <c r="AE48">
        <v>24020</v>
      </c>
      <c r="AF48">
        <v>13282</v>
      </c>
      <c r="AG48">
        <v>12.99220468</v>
      </c>
      <c r="AH48">
        <v>466</v>
      </c>
      <c r="AI48">
        <v>235</v>
      </c>
      <c r="AJ48">
        <v>104</v>
      </c>
      <c r="AK48">
        <v>91</v>
      </c>
      <c r="AL48">
        <v>1.073</v>
      </c>
      <c r="AM48">
        <v>1.3979496739999999</v>
      </c>
      <c r="AN48" t="s">
        <v>125</v>
      </c>
      <c r="AO48">
        <f t="shared" si="3"/>
        <v>1.7484662576687116</v>
      </c>
    </row>
    <row r="49" spans="1:41" ht="15.75" x14ac:dyDescent="0.25">
      <c r="A49">
        <v>22</v>
      </c>
      <c r="B49" s="2" t="s">
        <v>136</v>
      </c>
      <c r="C49">
        <v>20</v>
      </c>
      <c r="D49" t="s">
        <v>81</v>
      </c>
      <c r="E49" t="s">
        <v>82</v>
      </c>
      <c r="F49" t="s">
        <v>83</v>
      </c>
      <c r="G49">
        <v>5247</v>
      </c>
      <c r="H49">
        <v>7228</v>
      </c>
      <c r="I49">
        <v>1543</v>
      </c>
      <c r="J49">
        <v>786</v>
      </c>
      <c r="K49">
        <v>250</v>
      </c>
      <c r="L49">
        <v>13</v>
      </c>
      <c r="M49">
        <v>2</v>
      </c>
      <c r="N49">
        <v>171</v>
      </c>
      <c r="O49">
        <v>1015</v>
      </c>
      <c r="P49">
        <f t="shared" si="2"/>
        <v>1.0149999999999999</v>
      </c>
      <c r="Q49">
        <v>1.1399999999999999</v>
      </c>
      <c r="R49">
        <v>49.8</v>
      </c>
      <c r="S49" t="s">
        <v>52</v>
      </c>
      <c r="T49" t="s">
        <v>53</v>
      </c>
      <c r="U49">
        <v>150.31050400000001</v>
      </c>
      <c r="V49">
        <v>-30.041492999999999</v>
      </c>
      <c r="W49">
        <v>17.885999999999999</v>
      </c>
      <c r="X49">
        <v>768.91899999999998</v>
      </c>
      <c r="Y49">
        <v>383.32100000000003</v>
      </c>
      <c r="Z49">
        <v>271</v>
      </c>
      <c r="AA49">
        <v>169</v>
      </c>
      <c r="AB49">
        <v>29</v>
      </c>
      <c r="AC49">
        <v>18</v>
      </c>
      <c r="AD49">
        <v>437</v>
      </c>
      <c r="AE49">
        <v>24020</v>
      </c>
      <c r="AF49">
        <v>13282</v>
      </c>
      <c r="AG49">
        <v>12.99220468</v>
      </c>
      <c r="AH49">
        <v>578</v>
      </c>
      <c r="AI49">
        <v>211</v>
      </c>
      <c r="AJ49">
        <v>0</v>
      </c>
      <c r="AK49">
        <v>117</v>
      </c>
      <c r="AL49">
        <v>1.0149999999999999</v>
      </c>
      <c r="AM49">
        <v>1.123152709</v>
      </c>
      <c r="AN49" t="s">
        <v>125</v>
      </c>
      <c r="AO49">
        <f t="shared" si="3"/>
        <v>1.7621951219512195</v>
      </c>
    </row>
    <row r="50" spans="1:41" ht="15.75" x14ac:dyDescent="0.25">
      <c r="A50">
        <v>23</v>
      </c>
      <c r="B50" s="2" t="s">
        <v>136</v>
      </c>
      <c r="C50">
        <v>20</v>
      </c>
      <c r="D50" t="s">
        <v>84</v>
      </c>
      <c r="E50" t="s">
        <v>85</v>
      </c>
      <c r="F50" t="s">
        <v>86</v>
      </c>
      <c r="G50">
        <v>39749</v>
      </c>
      <c r="H50">
        <v>7692</v>
      </c>
      <c r="I50">
        <v>2800</v>
      </c>
      <c r="J50">
        <v>1041</v>
      </c>
      <c r="K50">
        <v>580</v>
      </c>
      <c r="L50">
        <v>22</v>
      </c>
      <c r="M50">
        <v>1</v>
      </c>
      <c r="N50">
        <v>70</v>
      </c>
      <c r="O50">
        <v>753</v>
      </c>
      <c r="P50">
        <f t="shared" si="2"/>
        <v>0.753</v>
      </c>
      <c r="Q50">
        <v>1.91</v>
      </c>
      <c r="R50">
        <v>43.5</v>
      </c>
      <c r="S50" t="s">
        <v>52</v>
      </c>
      <c r="T50" t="s">
        <v>53</v>
      </c>
      <c r="U50">
        <v>150.30951200000001</v>
      </c>
      <c r="V50">
        <v>-30.041713000000001</v>
      </c>
      <c r="W50">
        <v>17.907</v>
      </c>
      <c r="X50">
        <v>767.63499999999999</v>
      </c>
      <c r="Y50">
        <v>379.99799999999999</v>
      </c>
      <c r="Z50">
        <v>271</v>
      </c>
      <c r="AA50">
        <v>169</v>
      </c>
      <c r="AB50">
        <v>29</v>
      </c>
      <c r="AC50">
        <v>18</v>
      </c>
      <c r="AD50">
        <v>437</v>
      </c>
      <c r="AE50">
        <v>24020</v>
      </c>
      <c r="AF50">
        <v>13282</v>
      </c>
      <c r="AG50">
        <v>12.99220468</v>
      </c>
      <c r="AH50">
        <v>295</v>
      </c>
      <c r="AI50">
        <v>195</v>
      </c>
      <c r="AJ50">
        <v>0</v>
      </c>
      <c r="AK50">
        <v>178</v>
      </c>
      <c r="AL50">
        <v>0.753</v>
      </c>
      <c r="AM50">
        <v>2.5365205839999998</v>
      </c>
      <c r="AN50" t="s">
        <v>125</v>
      </c>
      <c r="AO50">
        <f t="shared" si="3"/>
        <v>0.79088471849865949</v>
      </c>
    </row>
    <row r="51" spans="1:41" ht="15.75" x14ac:dyDescent="0.25">
      <c r="A51">
        <v>28</v>
      </c>
      <c r="B51" s="2" t="s">
        <v>136</v>
      </c>
      <c r="C51">
        <v>21</v>
      </c>
      <c r="D51" t="s">
        <v>92</v>
      </c>
      <c r="E51" t="s">
        <v>82</v>
      </c>
      <c r="F51" t="s">
        <v>83</v>
      </c>
      <c r="G51">
        <v>4858</v>
      </c>
      <c r="H51">
        <v>10148</v>
      </c>
      <c r="I51">
        <v>1478</v>
      </c>
      <c r="J51">
        <v>971</v>
      </c>
      <c r="K51">
        <v>161</v>
      </c>
      <c r="L51">
        <v>10</v>
      </c>
      <c r="M51">
        <v>2</v>
      </c>
      <c r="N51">
        <v>65</v>
      </c>
      <c r="O51">
        <v>1945</v>
      </c>
      <c r="P51">
        <f t="shared" si="2"/>
        <v>1.9450000000000001</v>
      </c>
      <c r="Q51">
        <v>1.17</v>
      </c>
      <c r="R51">
        <v>51.2</v>
      </c>
      <c r="S51" t="s">
        <v>93</v>
      </c>
      <c r="T51" t="s">
        <v>53</v>
      </c>
      <c r="U51">
        <v>150.580421</v>
      </c>
      <c r="V51">
        <v>-29.802859000000002</v>
      </c>
      <c r="W51">
        <v>18.091999999999999</v>
      </c>
      <c r="X51">
        <v>716.80899999999997</v>
      </c>
      <c r="Y51">
        <v>328.28399999999999</v>
      </c>
      <c r="Z51">
        <v>414</v>
      </c>
      <c r="AA51">
        <v>167</v>
      </c>
      <c r="AB51">
        <v>35</v>
      </c>
      <c r="AC51">
        <v>22</v>
      </c>
      <c r="AD51">
        <v>1031</v>
      </c>
      <c r="AE51">
        <v>31896</v>
      </c>
      <c r="AF51">
        <v>20576</v>
      </c>
      <c r="AG51">
        <v>23.79029049</v>
      </c>
      <c r="AH51">
        <v>1395</v>
      </c>
      <c r="AI51">
        <v>236</v>
      </c>
      <c r="AJ51">
        <v>0</v>
      </c>
      <c r="AK51">
        <v>90</v>
      </c>
      <c r="AL51">
        <v>1.9450000000000001</v>
      </c>
      <c r="AM51">
        <v>0.60154241600000002</v>
      </c>
      <c r="AN51" t="s">
        <v>129</v>
      </c>
      <c r="AO51">
        <f t="shared" si="3"/>
        <v>4.2791411042944789</v>
      </c>
    </row>
    <row r="52" spans="1:41" ht="15.75" x14ac:dyDescent="0.25">
      <c r="A52">
        <v>29</v>
      </c>
      <c r="B52" s="2" t="s">
        <v>136</v>
      </c>
      <c r="C52">
        <v>21</v>
      </c>
      <c r="D52" t="s">
        <v>94</v>
      </c>
      <c r="E52" t="s">
        <v>88</v>
      </c>
      <c r="F52" t="s">
        <v>89</v>
      </c>
      <c r="G52">
        <v>5620</v>
      </c>
      <c r="H52">
        <v>5792</v>
      </c>
      <c r="I52">
        <v>2846</v>
      </c>
      <c r="J52">
        <v>1195</v>
      </c>
      <c r="K52">
        <v>418</v>
      </c>
      <c r="L52">
        <v>7</v>
      </c>
      <c r="M52">
        <v>2</v>
      </c>
      <c r="N52">
        <v>50</v>
      </c>
      <c r="O52">
        <v>756</v>
      </c>
      <c r="P52">
        <f t="shared" si="2"/>
        <v>0.75600000000000001</v>
      </c>
      <c r="Q52">
        <v>2.0699999999999998</v>
      </c>
      <c r="R52">
        <v>48</v>
      </c>
      <c r="S52" t="s">
        <v>93</v>
      </c>
      <c r="T52" t="s">
        <v>53</v>
      </c>
      <c r="U52">
        <v>150.58137500000001</v>
      </c>
      <c r="V52">
        <v>-29.802793999999999</v>
      </c>
      <c r="W52">
        <v>18.091999999999999</v>
      </c>
      <c r="X52">
        <v>716.80899999999997</v>
      </c>
      <c r="Y52">
        <v>328.28399999999999</v>
      </c>
      <c r="Z52">
        <v>414</v>
      </c>
      <c r="AA52">
        <v>167</v>
      </c>
      <c r="AB52">
        <v>35</v>
      </c>
      <c r="AC52">
        <v>22</v>
      </c>
      <c r="AD52">
        <v>1031</v>
      </c>
      <c r="AE52">
        <v>31896</v>
      </c>
      <c r="AF52">
        <v>20576</v>
      </c>
      <c r="AG52">
        <v>23.79029049</v>
      </c>
      <c r="AH52">
        <v>349</v>
      </c>
      <c r="AI52">
        <v>123</v>
      </c>
      <c r="AJ52">
        <v>51</v>
      </c>
      <c r="AK52">
        <v>112</v>
      </c>
      <c r="AL52">
        <v>0.75600000000000001</v>
      </c>
      <c r="AM52">
        <v>2.7380952380000001</v>
      </c>
      <c r="AN52" t="s">
        <v>129</v>
      </c>
      <c r="AO52">
        <f t="shared" si="3"/>
        <v>1.7021276595744681</v>
      </c>
    </row>
    <row r="53" spans="1:41" ht="15.75" x14ac:dyDescent="0.25">
      <c r="A53">
        <v>30</v>
      </c>
      <c r="B53" s="2" t="s">
        <v>136</v>
      </c>
      <c r="C53">
        <v>21</v>
      </c>
      <c r="D53" t="s">
        <v>95</v>
      </c>
      <c r="E53" t="s">
        <v>85</v>
      </c>
      <c r="F53" t="s">
        <v>86</v>
      </c>
      <c r="G53">
        <v>27378</v>
      </c>
      <c r="H53">
        <v>6182</v>
      </c>
      <c r="I53">
        <v>3799</v>
      </c>
      <c r="J53">
        <v>2067</v>
      </c>
      <c r="K53">
        <v>187</v>
      </c>
      <c r="L53">
        <v>11</v>
      </c>
      <c r="M53">
        <v>2</v>
      </c>
      <c r="N53">
        <v>127</v>
      </c>
      <c r="O53">
        <v>645</v>
      </c>
      <c r="P53">
        <f t="shared" si="2"/>
        <v>0.64500000000000002</v>
      </c>
      <c r="Q53">
        <v>1.7</v>
      </c>
      <c r="R53">
        <v>48</v>
      </c>
      <c r="S53" t="s">
        <v>93</v>
      </c>
      <c r="T53" t="s">
        <v>53</v>
      </c>
      <c r="U53">
        <v>150.58220900000001</v>
      </c>
      <c r="V53">
        <v>-29.802402000000001</v>
      </c>
      <c r="W53">
        <v>18.289000000000001</v>
      </c>
      <c r="X53">
        <v>708.32500000000005</v>
      </c>
      <c r="Y53">
        <v>293.91699999999997</v>
      </c>
      <c r="Z53">
        <v>414</v>
      </c>
      <c r="AA53">
        <v>167</v>
      </c>
      <c r="AB53">
        <v>35</v>
      </c>
      <c r="AC53">
        <v>22</v>
      </c>
      <c r="AD53">
        <v>1031</v>
      </c>
      <c r="AE53">
        <v>31896</v>
      </c>
      <c r="AF53">
        <v>20576</v>
      </c>
      <c r="AG53">
        <v>23.79029049</v>
      </c>
      <c r="AH53">
        <v>320</v>
      </c>
      <c r="AI53">
        <v>200</v>
      </c>
      <c r="AJ53">
        <v>44</v>
      </c>
      <c r="AK53">
        <v>91</v>
      </c>
      <c r="AL53">
        <v>0.64500000000000002</v>
      </c>
      <c r="AM53">
        <v>2.635658915</v>
      </c>
      <c r="AN53" t="s">
        <v>129</v>
      </c>
      <c r="AO53">
        <f t="shared" si="3"/>
        <v>1.2508591065292096</v>
      </c>
    </row>
  </sheetData>
  <sortState xmlns:xlrd2="http://schemas.microsoft.com/office/spreadsheetml/2017/richdata2" ref="A2:AQ53">
    <sortCondition ref="C2:C5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tabSelected="1" topLeftCell="A28" workbookViewId="0">
      <selection activeCell="L6" sqref="L6"/>
    </sheetView>
  </sheetViews>
  <sheetFormatPr defaultColWidth="12.7109375" defaultRowHeight="27" customHeight="1" x14ac:dyDescent="0.25"/>
  <cols>
    <col min="1" max="1" width="8.42578125" style="3" bestFit="1" customWidth="1"/>
    <col min="2" max="2" width="7.28515625" style="3" bestFit="1" customWidth="1"/>
    <col min="3" max="3" width="80.7109375" style="3" bestFit="1" customWidth="1"/>
    <col min="4" max="4" width="12.140625" style="3" customWidth="1"/>
    <col min="5" max="5" width="13.7109375" style="3" bestFit="1" customWidth="1"/>
    <col min="6" max="6" width="12.5703125" style="3" bestFit="1" customWidth="1"/>
    <col min="7" max="7" width="10.7109375" style="3" bestFit="1" customWidth="1"/>
    <col min="8" max="8" width="25.28515625" style="3" bestFit="1" customWidth="1"/>
    <col min="9" max="9" width="25.140625" style="3" bestFit="1" customWidth="1"/>
    <col min="10" max="10" width="9.7109375" style="3" bestFit="1" customWidth="1"/>
    <col min="11" max="11" width="32.28515625" style="3" bestFit="1" customWidth="1"/>
    <col min="12" max="16384" width="12.7109375" style="3"/>
  </cols>
  <sheetData>
    <row r="1" spans="1:11" s="4" customFormat="1" ht="27" customHeight="1" thickBot="1" x14ac:dyDescent="0.3">
      <c r="A1" s="9" t="s">
        <v>134</v>
      </c>
      <c r="B1" s="10" t="s">
        <v>133</v>
      </c>
      <c r="C1" s="11" t="s">
        <v>14</v>
      </c>
      <c r="D1" s="11" t="s">
        <v>1</v>
      </c>
      <c r="E1" s="11" t="s">
        <v>142</v>
      </c>
      <c r="F1" s="11" t="s">
        <v>141</v>
      </c>
      <c r="G1" s="11" t="s">
        <v>140</v>
      </c>
      <c r="H1" s="11" t="s">
        <v>138</v>
      </c>
      <c r="I1" s="11" t="s">
        <v>137</v>
      </c>
      <c r="J1" s="11" t="s">
        <v>139</v>
      </c>
      <c r="K1" s="12" t="s">
        <v>144</v>
      </c>
    </row>
    <row r="2" spans="1:11" ht="27" customHeight="1" x14ac:dyDescent="0.25">
      <c r="A2" s="45">
        <v>1</v>
      </c>
      <c r="B2" s="48" t="s">
        <v>135</v>
      </c>
      <c r="C2" s="42" t="s">
        <v>71</v>
      </c>
      <c r="D2" s="13" t="s">
        <v>36</v>
      </c>
      <c r="E2" s="13" t="s">
        <v>41</v>
      </c>
      <c r="F2" s="30">
        <v>148.34747999999999</v>
      </c>
      <c r="G2" s="30">
        <v>-32.749786</v>
      </c>
      <c r="H2" s="27">
        <v>15.661</v>
      </c>
      <c r="I2" s="27">
        <v>669.67100000000005</v>
      </c>
      <c r="J2" s="33">
        <v>572.05799999999999</v>
      </c>
      <c r="K2" s="36" t="s">
        <v>127</v>
      </c>
    </row>
    <row r="3" spans="1:11" ht="27" customHeight="1" x14ac:dyDescent="0.25">
      <c r="A3" s="46"/>
      <c r="B3" s="49"/>
      <c r="C3" s="43"/>
      <c r="D3" s="14" t="s">
        <v>36</v>
      </c>
      <c r="E3" s="14" t="s">
        <v>45</v>
      </c>
      <c r="F3" s="31"/>
      <c r="G3" s="31"/>
      <c r="H3" s="28"/>
      <c r="I3" s="28"/>
      <c r="J3" s="34"/>
      <c r="K3" s="37"/>
    </row>
    <row r="4" spans="1:11" ht="27" customHeight="1" thickBot="1" x14ac:dyDescent="0.3">
      <c r="A4" s="47"/>
      <c r="B4" s="50"/>
      <c r="C4" s="44"/>
      <c r="D4" s="15" t="s">
        <v>88</v>
      </c>
      <c r="E4" s="15" t="s">
        <v>89</v>
      </c>
      <c r="F4" s="32"/>
      <c r="G4" s="32"/>
      <c r="H4" s="29"/>
      <c r="I4" s="29"/>
      <c r="J4" s="35"/>
      <c r="K4" s="38"/>
    </row>
    <row r="5" spans="1:11" ht="27" customHeight="1" thickBot="1" x14ac:dyDescent="0.3">
      <c r="A5" s="7">
        <v>2</v>
      </c>
      <c r="B5" s="8" t="s">
        <v>135</v>
      </c>
      <c r="C5" s="16" t="s">
        <v>50</v>
      </c>
      <c r="D5" s="16" t="s">
        <v>36</v>
      </c>
      <c r="E5" s="16" t="s">
        <v>45</v>
      </c>
      <c r="F5" s="17">
        <v>148.32397499999999</v>
      </c>
      <c r="G5" s="17">
        <v>-32.835231999999998</v>
      </c>
      <c r="H5" s="18">
        <v>16.600000000000001</v>
      </c>
      <c r="I5" s="18">
        <v>604.90899999999999</v>
      </c>
      <c r="J5" s="19">
        <v>406.35199999999998</v>
      </c>
      <c r="K5" s="20" t="s">
        <v>127</v>
      </c>
    </row>
    <row r="6" spans="1:11" ht="27" customHeight="1" x14ac:dyDescent="0.25">
      <c r="A6" s="45">
        <v>3</v>
      </c>
      <c r="B6" s="48" t="s">
        <v>136</v>
      </c>
      <c r="C6" s="42" t="s">
        <v>143</v>
      </c>
      <c r="D6" s="13" t="s">
        <v>36</v>
      </c>
      <c r="E6" s="13" t="s">
        <v>45</v>
      </c>
      <c r="F6" s="30">
        <v>148.238733</v>
      </c>
      <c r="G6" s="30">
        <v>-32.799644999999998</v>
      </c>
      <c r="H6" s="27">
        <v>17.341999999999999</v>
      </c>
      <c r="I6" s="27">
        <v>566.79100000000005</v>
      </c>
      <c r="J6" s="33">
        <v>303.72500000000002</v>
      </c>
      <c r="K6" s="36" t="s">
        <v>127</v>
      </c>
    </row>
    <row r="7" spans="1:11" ht="27" customHeight="1" x14ac:dyDescent="0.25">
      <c r="A7" s="46"/>
      <c r="B7" s="49"/>
      <c r="C7" s="43"/>
      <c r="D7" s="14" t="s">
        <v>88</v>
      </c>
      <c r="E7" s="14" t="s">
        <v>89</v>
      </c>
      <c r="F7" s="31"/>
      <c r="G7" s="31"/>
      <c r="H7" s="28"/>
      <c r="I7" s="28"/>
      <c r="J7" s="34"/>
      <c r="K7" s="37"/>
    </row>
    <row r="8" spans="1:11" ht="27" customHeight="1" thickBot="1" x14ac:dyDescent="0.3">
      <c r="A8" s="47"/>
      <c r="B8" s="50"/>
      <c r="C8" s="44"/>
      <c r="D8" s="15" t="s">
        <v>85</v>
      </c>
      <c r="E8" s="15" t="s">
        <v>86</v>
      </c>
      <c r="F8" s="32"/>
      <c r="G8" s="32"/>
      <c r="H8" s="29"/>
      <c r="I8" s="29"/>
      <c r="J8" s="35"/>
      <c r="K8" s="38"/>
    </row>
    <row r="9" spans="1:11" ht="27" customHeight="1" x14ac:dyDescent="0.25">
      <c r="A9" s="45">
        <v>4</v>
      </c>
      <c r="B9" s="48" t="s">
        <v>136</v>
      </c>
      <c r="C9" s="42" t="s">
        <v>143</v>
      </c>
      <c r="D9" s="13" t="s">
        <v>36</v>
      </c>
      <c r="E9" s="13" t="s">
        <v>79</v>
      </c>
      <c r="F9" s="30">
        <v>148.367118</v>
      </c>
      <c r="G9" s="30">
        <v>-32.437230999999997</v>
      </c>
      <c r="H9" s="27">
        <v>17.029</v>
      </c>
      <c r="I9" s="27">
        <v>598.39499999999998</v>
      </c>
      <c r="J9" s="33">
        <v>350.76799999999997</v>
      </c>
      <c r="K9" s="36" t="s">
        <v>126</v>
      </c>
    </row>
    <row r="10" spans="1:11" ht="27" customHeight="1" thickBot="1" x14ac:dyDescent="0.3">
      <c r="A10" s="47"/>
      <c r="B10" s="50"/>
      <c r="C10" s="44"/>
      <c r="D10" s="15" t="s">
        <v>88</v>
      </c>
      <c r="E10" s="15" t="s">
        <v>89</v>
      </c>
      <c r="F10" s="32"/>
      <c r="G10" s="32"/>
      <c r="H10" s="29"/>
      <c r="I10" s="29"/>
      <c r="J10" s="35"/>
      <c r="K10" s="38"/>
    </row>
    <row r="11" spans="1:11" ht="27" customHeight="1" thickBot="1" x14ac:dyDescent="0.3">
      <c r="A11" s="7">
        <v>5</v>
      </c>
      <c r="B11" s="8" t="s">
        <v>136</v>
      </c>
      <c r="C11" s="16" t="s">
        <v>143</v>
      </c>
      <c r="D11" s="16" t="s">
        <v>36</v>
      </c>
      <c r="E11" s="16" t="s">
        <v>56</v>
      </c>
      <c r="F11" s="17">
        <v>148.58289600000001</v>
      </c>
      <c r="G11" s="17">
        <v>-31.981822999999999</v>
      </c>
      <c r="H11" s="18">
        <v>17.398</v>
      </c>
      <c r="I11" s="18">
        <v>582.95699999999999</v>
      </c>
      <c r="J11" s="19">
        <v>288.93400000000003</v>
      </c>
      <c r="K11" s="20" t="s">
        <v>126</v>
      </c>
    </row>
    <row r="12" spans="1:11" ht="27" customHeight="1" x14ac:dyDescent="0.25">
      <c r="A12" s="45">
        <v>6</v>
      </c>
      <c r="B12" s="48" t="s">
        <v>136</v>
      </c>
      <c r="C12" s="42" t="s">
        <v>143</v>
      </c>
      <c r="D12" s="13" t="s">
        <v>36</v>
      </c>
      <c r="E12" s="13" t="s">
        <v>45</v>
      </c>
      <c r="F12" s="39">
        <v>148.650338</v>
      </c>
      <c r="G12" s="30">
        <v>-31.717113000000001</v>
      </c>
      <c r="H12" s="27">
        <v>17.667000000000002</v>
      </c>
      <c r="I12" s="27">
        <v>563.84699999999998</v>
      </c>
      <c r="J12" s="33">
        <v>275.96600000000001</v>
      </c>
      <c r="K12" s="36" t="s">
        <v>127</v>
      </c>
    </row>
    <row r="13" spans="1:11" ht="27" customHeight="1" x14ac:dyDescent="0.25">
      <c r="A13" s="46"/>
      <c r="B13" s="49"/>
      <c r="C13" s="43"/>
      <c r="D13" s="14" t="s">
        <v>36</v>
      </c>
      <c r="E13" s="14" t="s">
        <v>41</v>
      </c>
      <c r="F13" s="40"/>
      <c r="G13" s="31"/>
      <c r="H13" s="28"/>
      <c r="I13" s="28"/>
      <c r="J13" s="34"/>
      <c r="K13" s="37"/>
    </row>
    <row r="14" spans="1:11" ht="27" customHeight="1" thickBot="1" x14ac:dyDescent="0.3">
      <c r="A14" s="47"/>
      <c r="B14" s="50"/>
      <c r="C14" s="44"/>
      <c r="D14" s="15" t="s">
        <v>85</v>
      </c>
      <c r="E14" s="15" t="s">
        <v>86</v>
      </c>
      <c r="F14" s="41"/>
      <c r="G14" s="32"/>
      <c r="H14" s="29"/>
      <c r="I14" s="29"/>
      <c r="J14" s="35"/>
      <c r="K14" s="38"/>
    </row>
    <row r="15" spans="1:11" ht="27" customHeight="1" thickBot="1" x14ac:dyDescent="0.3">
      <c r="A15" s="7">
        <v>7</v>
      </c>
      <c r="B15" s="8" t="s">
        <v>136</v>
      </c>
      <c r="C15" s="16" t="s">
        <v>143</v>
      </c>
      <c r="D15" s="16" t="s">
        <v>85</v>
      </c>
      <c r="E15" s="16" t="s">
        <v>86</v>
      </c>
      <c r="F15" s="17">
        <v>148.903256</v>
      </c>
      <c r="G15" s="17">
        <v>-31.472062999999999</v>
      </c>
      <c r="H15" s="18">
        <v>17.100999999999999</v>
      </c>
      <c r="I15" s="18">
        <v>627.97799999999995</v>
      </c>
      <c r="J15" s="19">
        <v>407.50200000000001</v>
      </c>
      <c r="K15" s="20" t="s">
        <v>127</v>
      </c>
    </row>
    <row r="16" spans="1:11" ht="27" customHeight="1" thickBot="1" x14ac:dyDescent="0.3">
      <c r="A16" s="7">
        <v>8</v>
      </c>
      <c r="B16" s="8" t="s">
        <v>136</v>
      </c>
      <c r="C16" s="16" t="s">
        <v>143</v>
      </c>
      <c r="D16" s="16" t="s">
        <v>88</v>
      </c>
      <c r="E16" s="16" t="s">
        <v>89</v>
      </c>
      <c r="F16" s="17">
        <v>149.02315899999999</v>
      </c>
      <c r="G16" s="17">
        <v>-31.303521</v>
      </c>
      <c r="H16" s="18">
        <v>16.539000000000001</v>
      </c>
      <c r="I16" s="18">
        <v>749.19500000000005</v>
      </c>
      <c r="J16" s="19">
        <v>538.43799999999999</v>
      </c>
      <c r="K16" s="20" t="s">
        <v>125</v>
      </c>
    </row>
    <row r="17" spans="1:11" ht="20.25" customHeight="1" x14ac:dyDescent="0.25">
      <c r="A17" s="45">
        <v>9</v>
      </c>
      <c r="B17" s="48" t="s">
        <v>135</v>
      </c>
      <c r="C17" s="42" t="s">
        <v>75</v>
      </c>
      <c r="D17" s="42" t="s">
        <v>36</v>
      </c>
      <c r="E17" s="42" t="s">
        <v>45</v>
      </c>
      <c r="F17" s="30">
        <v>148.977137</v>
      </c>
      <c r="G17" s="30">
        <v>-31.279982</v>
      </c>
      <c r="H17" s="27">
        <v>17.056000000000001</v>
      </c>
      <c r="I17" s="27">
        <v>674.48500000000001</v>
      </c>
      <c r="J17" s="33">
        <v>433.88</v>
      </c>
      <c r="K17" s="36" t="s">
        <v>125</v>
      </c>
    </row>
    <row r="18" spans="1:11" ht="3" customHeight="1" x14ac:dyDescent="0.25">
      <c r="A18" s="46"/>
      <c r="B18" s="49"/>
      <c r="C18" s="43"/>
      <c r="D18" s="43"/>
      <c r="E18" s="43"/>
      <c r="F18" s="31"/>
      <c r="G18" s="31"/>
      <c r="H18" s="28"/>
      <c r="I18" s="28"/>
      <c r="J18" s="34"/>
      <c r="K18" s="37"/>
    </row>
    <row r="19" spans="1:11" ht="15" hidden="1" x14ac:dyDescent="0.25">
      <c r="A19" s="46"/>
      <c r="B19" s="49"/>
      <c r="C19" s="43"/>
      <c r="D19" s="51"/>
      <c r="E19" s="51"/>
      <c r="F19" s="31"/>
      <c r="G19" s="31"/>
      <c r="H19" s="28"/>
      <c r="I19" s="28"/>
      <c r="J19" s="34"/>
      <c r="K19" s="37"/>
    </row>
    <row r="20" spans="1:11" ht="27" customHeight="1" x14ac:dyDescent="0.25">
      <c r="A20" s="46"/>
      <c r="B20" s="49"/>
      <c r="C20" s="43"/>
      <c r="D20" s="14" t="s">
        <v>88</v>
      </c>
      <c r="E20" s="14" t="s">
        <v>89</v>
      </c>
      <c r="F20" s="31"/>
      <c r="G20" s="31"/>
      <c r="H20" s="28"/>
      <c r="I20" s="28"/>
      <c r="J20" s="34"/>
      <c r="K20" s="37"/>
    </row>
    <row r="21" spans="1:11" ht="27" customHeight="1" thickBot="1" x14ac:dyDescent="0.3">
      <c r="A21" s="47"/>
      <c r="B21" s="50"/>
      <c r="C21" s="44"/>
      <c r="D21" s="15" t="s">
        <v>85</v>
      </c>
      <c r="E21" s="15" t="s">
        <v>86</v>
      </c>
      <c r="F21" s="32"/>
      <c r="G21" s="32"/>
      <c r="H21" s="29"/>
      <c r="I21" s="29"/>
      <c r="J21" s="35"/>
      <c r="K21" s="38"/>
    </row>
    <row r="22" spans="1:11" ht="27" customHeight="1" x14ac:dyDescent="0.25">
      <c r="A22" s="45">
        <v>10</v>
      </c>
      <c r="B22" s="48" t="s">
        <v>135</v>
      </c>
      <c r="C22" s="42" t="s">
        <v>42</v>
      </c>
      <c r="D22" s="13" t="s">
        <v>36</v>
      </c>
      <c r="E22" s="13" t="s">
        <v>45</v>
      </c>
      <c r="F22" s="30">
        <v>148.992445</v>
      </c>
      <c r="G22" s="30">
        <v>-31.279436</v>
      </c>
      <c r="H22" s="27">
        <v>16.984000000000002</v>
      </c>
      <c r="I22" s="27">
        <v>687.70699999999999</v>
      </c>
      <c r="J22" s="33">
        <v>448.87400000000002</v>
      </c>
      <c r="K22" s="36" t="s">
        <v>125</v>
      </c>
    </row>
    <row r="23" spans="1:11" ht="21" customHeight="1" x14ac:dyDescent="0.25">
      <c r="A23" s="46"/>
      <c r="B23" s="49"/>
      <c r="C23" s="43"/>
      <c r="D23" s="52" t="s">
        <v>88</v>
      </c>
      <c r="E23" s="52" t="s">
        <v>89</v>
      </c>
      <c r="F23" s="31"/>
      <c r="G23" s="31"/>
      <c r="H23" s="28"/>
      <c r="I23" s="28"/>
      <c r="J23" s="34"/>
      <c r="K23" s="37"/>
    </row>
    <row r="24" spans="1:11" ht="27" hidden="1" customHeight="1" x14ac:dyDescent="0.25">
      <c r="A24" s="46"/>
      <c r="B24" s="49"/>
      <c r="C24" s="43"/>
      <c r="D24" s="51"/>
      <c r="E24" s="51"/>
      <c r="F24" s="31"/>
      <c r="G24" s="31"/>
      <c r="H24" s="28"/>
      <c r="I24" s="28"/>
      <c r="J24" s="34"/>
      <c r="K24" s="37"/>
    </row>
    <row r="25" spans="1:11" ht="27" customHeight="1" x14ac:dyDescent="0.25">
      <c r="A25" s="46"/>
      <c r="B25" s="49"/>
      <c r="C25" s="43"/>
      <c r="D25" s="14" t="s">
        <v>85</v>
      </c>
      <c r="E25" s="14" t="s">
        <v>86</v>
      </c>
      <c r="F25" s="31"/>
      <c r="G25" s="31"/>
      <c r="H25" s="28"/>
      <c r="I25" s="28"/>
      <c r="J25" s="34"/>
      <c r="K25" s="37"/>
    </row>
    <row r="26" spans="1:11" ht="27" customHeight="1" thickBot="1" x14ac:dyDescent="0.3">
      <c r="A26" s="47"/>
      <c r="B26" s="50"/>
      <c r="C26" s="44"/>
      <c r="D26" s="15" t="s">
        <v>88</v>
      </c>
      <c r="E26" s="15" t="s">
        <v>89</v>
      </c>
      <c r="F26" s="32"/>
      <c r="G26" s="32"/>
      <c r="H26" s="29"/>
      <c r="I26" s="29"/>
      <c r="J26" s="35"/>
      <c r="K26" s="38"/>
    </row>
    <row r="27" spans="1:11" ht="27" customHeight="1" thickBot="1" x14ac:dyDescent="0.3">
      <c r="A27" s="7">
        <v>11</v>
      </c>
      <c r="B27" s="8" t="s">
        <v>136</v>
      </c>
      <c r="C27" s="16" t="s">
        <v>143</v>
      </c>
      <c r="D27" s="16" t="s">
        <v>36</v>
      </c>
      <c r="E27" s="16" t="s">
        <v>56</v>
      </c>
      <c r="F27" s="17">
        <v>149.064179</v>
      </c>
      <c r="G27" s="17">
        <v>-30.915472999999999</v>
      </c>
      <c r="H27" s="18">
        <v>17.885999999999999</v>
      </c>
      <c r="I27" s="18">
        <v>615.005</v>
      </c>
      <c r="J27" s="19">
        <v>278.202</v>
      </c>
      <c r="K27" s="20" t="s">
        <v>126</v>
      </c>
    </row>
    <row r="28" spans="1:11" ht="27" customHeight="1" thickBot="1" x14ac:dyDescent="0.3">
      <c r="A28" s="7">
        <v>12</v>
      </c>
      <c r="B28" s="8" t="s">
        <v>136</v>
      </c>
      <c r="C28" s="16" t="s">
        <v>143</v>
      </c>
      <c r="D28" s="16" t="s">
        <v>36</v>
      </c>
      <c r="E28" s="16" t="s">
        <v>56</v>
      </c>
      <c r="F28" s="17">
        <v>149.11217099999999</v>
      </c>
      <c r="G28" s="17">
        <v>-30.749200999999999</v>
      </c>
      <c r="H28" s="18">
        <v>18.141999999999999</v>
      </c>
      <c r="I28" s="18">
        <v>605.00900000000001</v>
      </c>
      <c r="J28" s="19">
        <v>254.65700000000001</v>
      </c>
      <c r="K28" s="20" t="s">
        <v>126</v>
      </c>
    </row>
    <row r="29" spans="1:11" ht="27" customHeight="1" x14ac:dyDescent="0.25">
      <c r="A29" s="45">
        <v>13</v>
      </c>
      <c r="B29" s="48" t="s">
        <v>135</v>
      </c>
      <c r="C29" s="42" t="s">
        <v>42</v>
      </c>
      <c r="D29" s="13" t="s">
        <v>36</v>
      </c>
      <c r="E29" s="13" t="s">
        <v>41</v>
      </c>
      <c r="F29" s="30">
        <v>149.26729800000001</v>
      </c>
      <c r="G29" s="30">
        <v>-30.510293000000001</v>
      </c>
      <c r="H29" s="27">
        <v>18.696000000000002</v>
      </c>
      <c r="I29" s="27">
        <v>609.54899999999998</v>
      </c>
      <c r="J29" s="33">
        <v>210.53100000000001</v>
      </c>
      <c r="K29" s="36" t="s">
        <v>126</v>
      </c>
    </row>
    <row r="30" spans="1:11" ht="27" customHeight="1" x14ac:dyDescent="0.25">
      <c r="A30" s="46"/>
      <c r="B30" s="49"/>
      <c r="C30" s="43"/>
      <c r="D30" s="14" t="s">
        <v>85</v>
      </c>
      <c r="E30" s="14" t="s">
        <v>86</v>
      </c>
      <c r="F30" s="31"/>
      <c r="G30" s="31"/>
      <c r="H30" s="28"/>
      <c r="I30" s="28"/>
      <c r="J30" s="34"/>
      <c r="K30" s="37"/>
    </row>
    <row r="31" spans="1:11" ht="25.5" customHeight="1" thickBot="1" x14ac:dyDescent="0.3">
      <c r="A31" s="46"/>
      <c r="B31" s="49"/>
      <c r="C31" s="43"/>
      <c r="D31" s="52" t="s">
        <v>82</v>
      </c>
      <c r="E31" s="52" t="s">
        <v>83</v>
      </c>
      <c r="F31" s="31"/>
      <c r="G31" s="31"/>
      <c r="H31" s="28"/>
      <c r="I31" s="28"/>
      <c r="J31" s="34"/>
      <c r="K31" s="37"/>
    </row>
    <row r="32" spans="1:11" ht="27" hidden="1" customHeight="1" x14ac:dyDescent="0.25">
      <c r="A32" s="46"/>
      <c r="B32" s="49"/>
      <c r="C32" s="43"/>
      <c r="D32" s="43"/>
      <c r="E32" s="43"/>
      <c r="F32" s="31"/>
      <c r="G32" s="31"/>
      <c r="H32" s="28"/>
      <c r="I32" s="28"/>
      <c r="J32" s="34"/>
      <c r="K32" s="37"/>
    </row>
    <row r="33" spans="1:11" ht="27" hidden="1" customHeight="1" x14ac:dyDescent="0.25">
      <c r="A33" s="46"/>
      <c r="B33" s="49"/>
      <c r="C33" s="43"/>
      <c r="D33" s="43"/>
      <c r="E33" s="43"/>
      <c r="F33" s="31"/>
      <c r="G33" s="31"/>
      <c r="H33" s="28"/>
      <c r="I33" s="28"/>
      <c r="J33" s="34"/>
      <c r="K33" s="37"/>
    </row>
    <row r="34" spans="1:11" ht="27" hidden="1" customHeight="1" x14ac:dyDescent="0.25">
      <c r="A34" s="46"/>
      <c r="B34" s="49"/>
      <c r="C34" s="43"/>
      <c r="D34" s="43"/>
      <c r="E34" s="43"/>
      <c r="F34" s="31"/>
      <c r="G34" s="31"/>
      <c r="H34" s="28"/>
      <c r="I34" s="28"/>
      <c r="J34" s="34"/>
      <c r="K34" s="37"/>
    </row>
    <row r="35" spans="1:11" ht="27" hidden="1" customHeight="1" x14ac:dyDescent="0.25">
      <c r="A35" s="47"/>
      <c r="B35" s="50"/>
      <c r="C35" s="44"/>
      <c r="D35" s="44"/>
      <c r="E35" s="44"/>
      <c r="F35" s="32"/>
      <c r="G35" s="32"/>
      <c r="H35" s="29"/>
      <c r="I35" s="29"/>
      <c r="J35" s="35"/>
      <c r="K35" s="38"/>
    </row>
    <row r="36" spans="1:11" ht="24" customHeight="1" thickBot="1" x14ac:dyDescent="0.3">
      <c r="A36" s="45">
        <v>14</v>
      </c>
      <c r="B36" s="48" t="s">
        <v>135</v>
      </c>
      <c r="C36" s="42" t="s">
        <v>38</v>
      </c>
      <c r="D36" s="42" t="s">
        <v>36</v>
      </c>
      <c r="E36" s="42" t="s">
        <v>37</v>
      </c>
      <c r="F36" s="30">
        <v>150.152671</v>
      </c>
      <c r="G36" s="30">
        <v>-30.283666</v>
      </c>
      <c r="H36" s="27">
        <v>12.000999999999999</v>
      </c>
      <c r="I36" s="27">
        <v>1207.19</v>
      </c>
      <c r="J36" s="33">
        <v>1433.73</v>
      </c>
      <c r="K36" s="36" t="s">
        <v>125</v>
      </c>
    </row>
    <row r="37" spans="1:11" ht="27" hidden="1" customHeight="1" x14ac:dyDescent="0.25">
      <c r="A37" s="46"/>
      <c r="B37" s="49"/>
      <c r="C37" s="43"/>
      <c r="D37" s="43"/>
      <c r="E37" s="43"/>
      <c r="F37" s="31"/>
      <c r="G37" s="31"/>
      <c r="H37" s="28"/>
      <c r="I37" s="28"/>
      <c r="J37" s="34"/>
      <c r="K37" s="37"/>
    </row>
    <row r="38" spans="1:11" ht="27" hidden="1" customHeight="1" x14ac:dyDescent="0.25">
      <c r="A38" s="47"/>
      <c r="B38" s="50"/>
      <c r="C38" s="44"/>
      <c r="D38" s="44"/>
      <c r="E38" s="44"/>
      <c r="F38" s="32"/>
      <c r="G38" s="32"/>
      <c r="H38" s="29"/>
      <c r="I38" s="29"/>
      <c r="J38" s="35"/>
      <c r="K38" s="38"/>
    </row>
    <row r="39" spans="1:11" ht="21.75" customHeight="1" x14ac:dyDescent="0.25">
      <c r="A39" s="45">
        <v>15</v>
      </c>
      <c r="B39" s="48" t="s">
        <v>136</v>
      </c>
      <c r="C39" s="42" t="s">
        <v>143</v>
      </c>
      <c r="D39" s="13" t="s">
        <v>88</v>
      </c>
      <c r="E39" s="13" t="s">
        <v>89</v>
      </c>
      <c r="F39" s="30">
        <v>150.09585999999999</v>
      </c>
      <c r="G39" s="30">
        <v>-30.272981000000001</v>
      </c>
      <c r="H39" s="27">
        <v>14.708</v>
      </c>
      <c r="I39" s="27">
        <v>999.56299999999999</v>
      </c>
      <c r="J39" s="33">
        <v>949.23900000000003</v>
      </c>
      <c r="K39" s="36" t="s">
        <v>125</v>
      </c>
    </row>
    <row r="40" spans="1:11" ht="21" customHeight="1" thickBot="1" x14ac:dyDescent="0.3">
      <c r="A40" s="47"/>
      <c r="B40" s="50"/>
      <c r="C40" s="44"/>
      <c r="D40" s="15" t="s">
        <v>82</v>
      </c>
      <c r="E40" s="15" t="s">
        <v>83</v>
      </c>
      <c r="F40" s="32"/>
      <c r="G40" s="32"/>
      <c r="H40" s="29"/>
      <c r="I40" s="29"/>
      <c r="J40" s="35"/>
      <c r="K40" s="38"/>
    </row>
    <row r="41" spans="1:11" ht="23.25" customHeight="1" x14ac:dyDescent="0.25">
      <c r="A41" s="45">
        <v>16</v>
      </c>
      <c r="B41" s="48" t="s">
        <v>136</v>
      </c>
      <c r="C41" s="42" t="s">
        <v>143</v>
      </c>
      <c r="D41" s="13" t="s">
        <v>36</v>
      </c>
      <c r="E41" s="13" t="s">
        <v>45</v>
      </c>
      <c r="F41" s="30">
        <v>150.02035799999999</v>
      </c>
      <c r="G41" s="30">
        <v>-30.279577</v>
      </c>
      <c r="H41" s="27">
        <v>18.167000000000002</v>
      </c>
      <c r="I41" s="27">
        <v>698.30899999999997</v>
      </c>
      <c r="J41" s="33">
        <v>358.548</v>
      </c>
      <c r="K41" s="36" t="s">
        <v>127</v>
      </c>
    </row>
    <row r="42" spans="1:11" ht="20.25" customHeight="1" thickBot="1" x14ac:dyDescent="0.3">
      <c r="A42" s="47"/>
      <c r="B42" s="50"/>
      <c r="C42" s="44"/>
      <c r="D42" s="15" t="s">
        <v>82</v>
      </c>
      <c r="E42" s="15" t="s">
        <v>83</v>
      </c>
      <c r="F42" s="32"/>
      <c r="G42" s="32"/>
      <c r="H42" s="29"/>
      <c r="I42" s="29"/>
      <c r="J42" s="35"/>
      <c r="K42" s="38"/>
    </row>
    <row r="43" spans="1:11" ht="27" customHeight="1" x14ac:dyDescent="0.25">
      <c r="A43" s="45">
        <v>17</v>
      </c>
      <c r="B43" s="48" t="s">
        <v>136</v>
      </c>
      <c r="C43" s="42" t="s">
        <v>143</v>
      </c>
      <c r="D43" s="13" t="s">
        <v>36</v>
      </c>
      <c r="E43" s="13" t="s">
        <v>56</v>
      </c>
      <c r="F43" s="30">
        <v>149.92937800000001</v>
      </c>
      <c r="G43" s="30">
        <v>-30.323808</v>
      </c>
      <c r="H43" s="27">
        <v>18.687000000000001</v>
      </c>
      <c r="I43" s="27">
        <v>654.57899999999995</v>
      </c>
      <c r="J43" s="33">
        <v>276.93900000000002</v>
      </c>
      <c r="K43" s="36" t="s">
        <v>126</v>
      </c>
    </row>
    <row r="44" spans="1:11" ht="27" customHeight="1" thickBot="1" x14ac:dyDescent="0.3">
      <c r="A44" s="47"/>
      <c r="B44" s="50"/>
      <c r="C44" s="44"/>
      <c r="D44" s="15" t="s">
        <v>82</v>
      </c>
      <c r="E44" s="15" t="s">
        <v>83</v>
      </c>
      <c r="F44" s="32"/>
      <c r="G44" s="32"/>
      <c r="H44" s="29"/>
      <c r="I44" s="29"/>
      <c r="J44" s="35"/>
      <c r="K44" s="38"/>
    </row>
    <row r="45" spans="1:11" ht="27" customHeight="1" x14ac:dyDescent="0.25">
      <c r="A45" s="45">
        <v>18</v>
      </c>
      <c r="B45" s="48" t="s">
        <v>136</v>
      </c>
      <c r="C45" s="42" t="s">
        <v>143</v>
      </c>
      <c r="D45" s="13" t="s">
        <v>36</v>
      </c>
      <c r="E45" s="13" t="s">
        <v>45</v>
      </c>
      <c r="F45" s="30">
        <v>149.87269699999999</v>
      </c>
      <c r="G45" s="30">
        <v>-30.251787</v>
      </c>
      <c r="H45" s="27">
        <v>18.856000000000002</v>
      </c>
      <c r="I45" s="27">
        <v>649.29300000000001</v>
      </c>
      <c r="J45" s="33">
        <v>259.02</v>
      </c>
      <c r="K45" s="36" t="s">
        <v>126</v>
      </c>
    </row>
    <row r="46" spans="1:11" ht="27" customHeight="1" thickBot="1" x14ac:dyDescent="0.3">
      <c r="A46" s="47"/>
      <c r="B46" s="50"/>
      <c r="C46" s="44"/>
      <c r="D46" s="15" t="s">
        <v>82</v>
      </c>
      <c r="E46" s="15" t="s">
        <v>83</v>
      </c>
      <c r="F46" s="32"/>
      <c r="G46" s="32"/>
      <c r="H46" s="29"/>
      <c r="I46" s="29"/>
      <c r="J46" s="35"/>
      <c r="K46" s="38"/>
    </row>
    <row r="47" spans="1:11" ht="27" customHeight="1" thickBot="1" x14ac:dyDescent="0.3">
      <c r="A47" s="7">
        <v>19</v>
      </c>
      <c r="B47" s="8" t="s">
        <v>136</v>
      </c>
      <c r="C47" s="16" t="s">
        <v>143</v>
      </c>
      <c r="D47" s="16" t="s">
        <v>36</v>
      </c>
      <c r="E47" s="16" t="s">
        <v>56</v>
      </c>
      <c r="F47" s="17">
        <v>150.02883299999999</v>
      </c>
      <c r="G47" s="21">
        <v>-30.144659999999998</v>
      </c>
      <c r="H47" s="18">
        <v>17.895</v>
      </c>
      <c r="I47" s="18">
        <v>753.14099999999996</v>
      </c>
      <c r="J47" s="19">
        <v>414.11700000000002</v>
      </c>
      <c r="K47" s="20" t="s">
        <v>128</v>
      </c>
    </row>
    <row r="48" spans="1:11" ht="27" customHeight="1" x14ac:dyDescent="0.25">
      <c r="A48" s="45">
        <v>20</v>
      </c>
      <c r="B48" s="48" t="s">
        <v>136</v>
      </c>
      <c r="C48" s="42" t="s">
        <v>143</v>
      </c>
      <c r="D48" s="13" t="s">
        <v>36</v>
      </c>
      <c r="E48" s="13" t="s">
        <v>45</v>
      </c>
      <c r="F48" s="30">
        <v>150.309776</v>
      </c>
      <c r="G48" s="30">
        <v>-30.041526999999999</v>
      </c>
      <c r="H48" s="27">
        <v>17.907</v>
      </c>
      <c r="I48" s="27">
        <v>767.63499999999999</v>
      </c>
      <c r="J48" s="33">
        <v>379.99799999999999</v>
      </c>
      <c r="K48" s="36" t="s">
        <v>125</v>
      </c>
    </row>
    <row r="49" spans="1:11" ht="27" customHeight="1" x14ac:dyDescent="0.25">
      <c r="A49" s="46"/>
      <c r="B49" s="49"/>
      <c r="C49" s="43"/>
      <c r="D49" s="14" t="s">
        <v>82</v>
      </c>
      <c r="E49" s="14" t="s">
        <v>83</v>
      </c>
      <c r="F49" s="31"/>
      <c r="G49" s="31"/>
      <c r="H49" s="28"/>
      <c r="I49" s="28"/>
      <c r="J49" s="34"/>
      <c r="K49" s="37"/>
    </row>
    <row r="50" spans="1:11" ht="27" customHeight="1" thickBot="1" x14ac:dyDescent="0.3">
      <c r="A50" s="47"/>
      <c r="B50" s="50"/>
      <c r="C50" s="44"/>
      <c r="D50" s="15" t="s">
        <v>85</v>
      </c>
      <c r="E50" s="15" t="s">
        <v>86</v>
      </c>
      <c r="F50" s="32"/>
      <c r="G50" s="32"/>
      <c r="H50" s="29"/>
      <c r="I50" s="29"/>
      <c r="J50" s="35"/>
      <c r="K50" s="38"/>
    </row>
    <row r="51" spans="1:11" ht="27" customHeight="1" x14ac:dyDescent="0.25">
      <c r="A51" s="45">
        <v>21</v>
      </c>
      <c r="B51" s="48" t="s">
        <v>136</v>
      </c>
      <c r="C51" s="42" t="s">
        <v>143</v>
      </c>
      <c r="D51" s="13" t="s">
        <v>82</v>
      </c>
      <c r="E51" s="13" t="s">
        <v>83</v>
      </c>
      <c r="F51" s="30">
        <v>150.580421</v>
      </c>
      <c r="G51" s="30">
        <v>-29.802859000000002</v>
      </c>
      <c r="H51" s="27">
        <v>18.091999999999999</v>
      </c>
      <c r="I51" s="27">
        <v>716.80899999999997</v>
      </c>
      <c r="J51" s="33">
        <v>328.28399999999999</v>
      </c>
      <c r="K51" s="36" t="s">
        <v>129</v>
      </c>
    </row>
    <row r="52" spans="1:11" ht="27" customHeight="1" x14ac:dyDescent="0.25">
      <c r="A52" s="46"/>
      <c r="B52" s="49"/>
      <c r="C52" s="43"/>
      <c r="D52" s="14" t="s">
        <v>88</v>
      </c>
      <c r="E52" s="14" t="s">
        <v>89</v>
      </c>
      <c r="F52" s="31"/>
      <c r="G52" s="31"/>
      <c r="H52" s="28"/>
      <c r="I52" s="28"/>
      <c r="J52" s="34"/>
      <c r="K52" s="37"/>
    </row>
    <row r="53" spans="1:11" ht="27" customHeight="1" thickBot="1" x14ac:dyDescent="0.3">
      <c r="A53" s="47"/>
      <c r="B53" s="50"/>
      <c r="C53" s="44"/>
      <c r="D53" s="15" t="s">
        <v>85</v>
      </c>
      <c r="E53" s="15" t="s">
        <v>86</v>
      </c>
      <c r="F53" s="32"/>
      <c r="G53" s="32"/>
      <c r="H53" s="29"/>
      <c r="I53" s="29"/>
      <c r="J53" s="35"/>
      <c r="K53" s="38"/>
    </row>
  </sheetData>
  <mergeCells count="134">
    <mergeCell ref="A22:A26"/>
    <mergeCell ref="C17:C21"/>
    <mergeCell ref="B29:B35"/>
    <mergeCell ref="C29:C35"/>
    <mergeCell ref="A48:A50"/>
    <mergeCell ref="A51:A53"/>
    <mergeCell ref="B2:B4"/>
    <mergeCell ref="C2:C4"/>
    <mergeCell ref="B6:B8"/>
    <mergeCell ref="C6:C8"/>
    <mergeCell ref="B9:B10"/>
    <mergeCell ref="C9:C10"/>
    <mergeCell ref="B12:B14"/>
    <mergeCell ref="C12:C14"/>
    <mergeCell ref="A29:A35"/>
    <mergeCell ref="A36:A38"/>
    <mergeCell ref="A39:A40"/>
    <mergeCell ref="A41:A42"/>
    <mergeCell ref="A43:A44"/>
    <mergeCell ref="A45:A46"/>
    <mergeCell ref="A2:A4"/>
    <mergeCell ref="A6:A8"/>
    <mergeCell ref="A9:A10"/>
    <mergeCell ref="A12:A14"/>
    <mergeCell ref="A17:A21"/>
    <mergeCell ref="B51:B53"/>
    <mergeCell ref="C51:C53"/>
    <mergeCell ref="D17:D19"/>
    <mergeCell ref="E17:E19"/>
    <mergeCell ref="D23:D24"/>
    <mergeCell ref="E23:E24"/>
    <mergeCell ref="D31:D35"/>
    <mergeCell ref="E31:E35"/>
    <mergeCell ref="D36:D38"/>
    <mergeCell ref="B43:B44"/>
    <mergeCell ref="C43:C44"/>
    <mergeCell ref="B45:B46"/>
    <mergeCell ref="C45:C46"/>
    <mergeCell ref="B48:B50"/>
    <mergeCell ref="C48:C50"/>
    <mergeCell ref="B36:B38"/>
    <mergeCell ref="C36:C38"/>
    <mergeCell ref="B39:B40"/>
    <mergeCell ref="C39:C40"/>
    <mergeCell ref="C41:C42"/>
    <mergeCell ref="B41:B42"/>
    <mergeCell ref="B17:B21"/>
    <mergeCell ref="B22:B26"/>
    <mergeCell ref="C22:C26"/>
    <mergeCell ref="E36:E38"/>
    <mergeCell ref="F2:F4"/>
    <mergeCell ref="G2:G4"/>
    <mergeCell ref="H2:H4"/>
    <mergeCell ref="I2:I4"/>
    <mergeCell ref="J2:J4"/>
    <mergeCell ref="F9:F10"/>
    <mergeCell ref="G9:G10"/>
    <mergeCell ref="H9:H10"/>
    <mergeCell ref="I9:I10"/>
    <mergeCell ref="J9:J10"/>
    <mergeCell ref="J17:J21"/>
    <mergeCell ref="F36:F38"/>
    <mergeCell ref="G36:G38"/>
    <mergeCell ref="H36:H38"/>
    <mergeCell ref="I36:I38"/>
    <mergeCell ref="J36:J38"/>
    <mergeCell ref="K9:K10"/>
    <mergeCell ref="F12:F14"/>
    <mergeCell ref="G12:G14"/>
    <mergeCell ref="H12:H14"/>
    <mergeCell ref="I12:I14"/>
    <mergeCell ref="J12:J14"/>
    <mergeCell ref="K12:K14"/>
    <mergeCell ref="K2:K4"/>
    <mergeCell ref="F6:F8"/>
    <mergeCell ref="G6:G8"/>
    <mergeCell ref="H6:H8"/>
    <mergeCell ref="I6:I8"/>
    <mergeCell ref="J6:J8"/>
    <mergeCell ref="K6:K8"/>
    <mergeCell ref="K17:K21"/>
    <mergeCell ref="F22:F26"/>
    <mergeCell ref="G22:G26"/>
    <mergeCell ref="H22:H26"/>
    <mergeCell ref="I22:I26"/>
    <mergeCell ref="J22:J26"/>
    <mergeCell ref="K22:K26"/>
    <mergeCell ref="H17:H21"/>
    <mergeCell ref="F17:F21"/>
    <mergeCell ref="G17:G21"/>
    <mergeCell ref="I17:I21"/>
    <mergeCell ref="K36:K38"/>
    <mergeCell ref="F29:F35"/>
    <mergeCell ref="G29:G35"/>
    <mergeCell ref="H29:H35"/>
    <mergeCell ref="I29:I35"/>
    <mergeCell ref="J29:J35"/>
    <mergeCell ref="K29:K35"/>
    <mergeCell ref="F41:F42"/>
    <mergeCell ref="G41:G42"/>
    <mergeCell ref="H41:H42"/>
    <mergeCell ref="I41:I42"/>
    <mergeCell ref="J41:J42"/>
    <mergeCell ref="K41:K42"/>
    <mergeCell ref="F39:F40"/>
    <mergeCell ref="G39:G40"/>
    <mergeCell ref="H39:H40"/>
    <mergeCell ref="I39:I40"/>
    <mergeCell ref="J39:J40"/>
    <mergeCell ref="K39:K40"/>
    <mergeCell ref="F45:F46"/>
    <mergeCell ref="G45:G46"/>
    <mergeCell ref="H45:H46"/>
    <mergeCell ref="I45:I46"/>
    <mergeCell ref="J45:J46"/>
    <mergeCell ref="K45:K46"/>
    <mergeCell ref="F43:F44"/>
    <mergeCell ref="G43:G44"/>
    <mergeCell ref="H43:H44"/>
    <mergeCell ref="I43:I44"/>
    <mergeCell ref="J43:J44"/>
    <mergeCell ref="K43:K44"/>
    <mergeCell ref="H51:H53"/>
    <mergeCell ref="F51:F53"/>
    <mergeCell ref="G51:G53"/>
    <mergeCell ref="I51:I53"/>
    <mergeCell ref="J51:J53"/>
    <mergeCell ref="K51:K53"/>
    <mergeCell ref="F48:F50"/>
    <mergeCell ref="G48:G50"/>
    <mergeCell ref="H48:H50"/>
    <mergeCell ref="I48:I50"/>
    <mergeCell ref="J48:J50"/>
    <mergeCell ref="K48:K5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"/>
  <sheetViews>
    <sheetView topLeftCell="A9" workbookViewId="0">
      <selection activeCell="M16" sqref="M16"/>
    </sheetView>
  </sheetViews>
  <sheetFormatPr defaultRowHeight="15" x14ac:dyDescent="0.25"/>
  <cols>
    <col min="2" max="2" width="7.28515625" bestFit="1" customWidth="1"/>
    <col min="3" max="3" width="10.42578125" bestFit="1" customWidth="1"/>
    <col min="4" max="4" width="13.7109375" bestFit="1" customWidth="1"/>
    <col min="5" max="5" width="5.42578125" bestFit="1" customWidth="1"/>
    <col min="6" max="6" width="7.5703125" bestFit="1" customWidth="1"/>
    <col min="7" max="7" width="12" bestFit="1" customWidth="1"/>
  </cols>
  <sheetData>
    <row r="1" spans="1:7" s="26" customFormat="1" ht="15.75" x14ac:dyDescent="0.25">
      <c r="A1" s="22" t="s">
        <v>134</v>
      </c>
      <c r="B1" s="22" t="s">
        <v>133</v>
      </c>
      <c r="C1" s="23" t="s">
        <v>1</v>
      </c>
      <c r="D1" s="23" t="s">
        <v>142</v>
      </c>
      <c r="E1" s="25" t="s">
        <v>145</v>
      </c>
      <c r="F1" s="25" t="s">
        <v>33</v>
      </c>
      <c r="G1" s="25" t="s">
        <v>34</v>
      </c>
    </row>
    <row r="2" spans="1:7" x14ac:dyDescent="0.25">
      <c r="A2" s="43">
        <v>1</v>
      </c>
      <c r="B2" s="49" t="s">
        <v>135</v>
      </c>
      <c r="C2" s="6" t="s">
        <v>36</v>
      </c>
      <c r="D2" s="6" t="s">
        <v>41</v>
      </c>
      <c r="E2" s="24">
        <v>1.19</v>
      </c>
      <c r="F2" s="24">
        <v>0.56000000000000005</v>
      </c>
      <c r="G2" s="24">
        <v>2.125</v>
      </c>
    </row>
    <row r="3" spans="1:7" x14ac:dyDescent="0.25">
      <c r="A3" s="43"/>
      <c r="B3" s="49"/>
      <c r="C3" s="6" t="s">
        <v>36</v>
      </c>
      <c r="D3" s="6" t="s">
        <v>45</v>
      </c>
      <c r="E3" s="24">
        <v>1.21</v>
      </c>
      <c r="F3" s="24">
        <v>0.753</v>
      </c>
      <c r="G3" s="24">
        <v>1.6069057099999999</v>
      </c>
    </row>
    <row r="4" spans="1:7" x14ac:dyDescent="0.25">
      <c r="A4" s="43"/>
      <c r="B4" s="49"/>
      <c r="C4" s="6" t="s">
        <v>88</v>
      </c>
      <c r="D4" s="6" t="s">
        <v>89</v>
      </c>
      <c r="E4" s="24">
        <v>1.77</v>
      </c>
      <c r="F4" s="24">
        <v>0.49</v>
      </c>
      <c r="G4" s="24">
        <v>3.6122448980000001</v>
      </c>
    </row>
    <row r="5" spans="1:7" ht="15.75" x14ac:dyDescent="0.25">
      <c r="A5" s="6">
        <v>2</v>
      </c>
      <c r="B5" s="5" t="s">
        <v>135</v>
      </c>
      <c r="C5" s="6" t="s">
        <v>36</v>
      </c>
      <c r="D5" s="6" t="s">
        <v>45</v>
      </c>
      <c r="E5" s="24">
        <v>1.2</v>
      </c>
      <c r="F5" s="24">
        <v>0.74399999999999999</v>
      </c>
      <c r="G5" s="24">
        <v>1.612903226</v>
      </c>
    </row>
    <row r="6" spans="1:7" x14ac:dyDescent="0.25">
      <c r="A6" s="43">
        <v>3</v>
      </c>
      <c r="B6" s="49" t="s">
        <v>136</v>
      </c>
      <c r="C6" s="6" t="s">
        <v>36</v>
      </c>
      <c r="D6" s="6" t="s">
        <v>45</v>
      </c>
      <c r="E6" s="24">
        <v>1.7</v>
      </c>
      <c r="F6" s="24">
        <v>0.81200000000000006</v>
      </c>
      <c r="G6" s="24">
        <v>2.0935960589999998</v>
      </c>
    </row>
    <row r="7" spans="1:7" x14ac:dyDescent="0.25">
      <c r="A7" s="43"/>
      <c r="B7" s="49"/>
      <c r="C7" s="6" t="s">
        <v>88</v>
      </c>
      <c r="D7" s="6" t="s">
        <v>89</v>
      </c>
      <c r="E7" s="24">
        <v>1.75</v>
      </c>
      <c r="F7" s="24">
        <v>0.69299999999999995</v>
      </c>
      <c r="G7" s="24">
        <v>2.525252525</v>
      </c>
    </row>
    <row r="8" spans="1:7" x14ac:dyDescent="0.25">
      <c r="A8" s="43"/>
      <c r="B8" s="49"/>
      <c r="C8" s="6" t="s">
        <v>85</v>
      </c>
      <c r="D8" s="6" t="s">
        <v>86</v>
      </c>
      <c r="E8" s="24">
        <v>2.38</v>
      </c>
      <c r="F8" s="24">
        <v>1.083</v>
      </c>
      <c r="G8" s="24">
        <v>2.1975992610000001</v>
      </c>
    </row>
    <row r="9" spans="1:7" x14ac:dyDescent="0.25">
      <c r="A9" s="43">
        <v>4</v>
      </c>
      <c r="B9" s="49" t="s">
        <v>136</v>
      </c>
      <c r="C9" s="6" t="s">
        <v>36</v>
      </c>
      <c r="D9" s="6" t="s">
        <v>79</v>
      </c>
      <c r="E9" s="24">
        <v>1.54</v>
      </c>
      <c r="F9" s="24">
        <v>0.746</v>
      </c>
      <c r="G9" s="24">
        <v>2.0643431639999998</v>
      </c>
    </row>
    <row r="10" spans="1:7" x14ac:dyDescent="0.25">
      <c r="A10" s="43"/>
      <c r="B10" s="49"/>
      <c r="C10" s="6" t="s">
        <v>88</v>
      </c>
      <c r="D10" s="6" t="s">
        <v>89</v>
      </c>
      <c r="E10" s="24">
        <v>2.15</v>
      </c>
      <c r="F10" s="24">
        <v>0.53200000000000003</v>
      </c>
      <c r="G10" s="24">
        <v>4.0413533829999997</v>
      </c>
    </row>
    <row r="11" spans="1:7" ht="15.75" x14ac:dyDescent="0.25">
      <c r="A11" s="6">
        <v>5</v>
      </c>
      <c r="B11" s="5" t="s">
        <v>136</v>
      </c>
      <c r="C11" s="6" t="s">
        <v>36</v>
      </c>
      <c r="D11" s="6" t="s">
        <v>56</v>
      </c>
      <c r="E11" s="24">
        <v>1.31</v>
      </c>
      <c r="F11" s="24">
        <v>0.81699999999999995</v>
      </c>
      <c r="G11" s="24">
        <v>1.603427173</v>
      </c>
    </row>
    <row r="12" spans="1:7" x14ac:dyDescent="0.25">
      <c r="A12" s="43">
        <v>6</v>
      </c>
      <c r="B12" s="49" t="s">
        <v>136</v>
      </c>
      <c r="C12" s="6" t="s">
        <v>36</v>
      </c>
      <c r="D12" s="6" t="s">
        <v>45</v>
      </c>
      <c r="E12" s="24">
        <v>1.46</v>
      </c>
      <c r="F12" s="24">
        <v>0.73599999999999999</v>
      </c>
      <c r="G12" s="24">
        <v>1.983695652</v>
      </c>
    </row>
    <row r="13" spans="1:7" x14ac:dyDescent="0.25">
      <c r="A13" s="43"/>
      <c r="B13" s="49"/>
      <c r="C13" s="6" t="s">
        <v>36</v>
      </c>
      <c r="D13" s="6" t="s">
        <v>41</v>
      </c>
      <c r="E13" s="24">
        <v>1.26</v>
      </c>
      <c r="F13" s="24">
        <v>0.70399999999999996</v>
      </c>
      <c r="G13" s="24">
        <v>1.7897727269999999</v>
      </c>
    </row>
    <row r="14" spans="1:7" x14ac:dyDescent="0.25">
      <c r="A14" s="43"/>
      <c r="B14" s="49"/>
      <c r="C14" s="6" t="s">
        <v>85</v>
      </c>
      <c r="D14" s="6" t="s">
        <v>86</v>
      </c>
      <c r="E14" s="24">
        <v>1.46</v>
      </c>
      <c r="F14" s="24">
        <v>0.54400000000000004</v>
      </c>
      <c r="G14" s="24">
        <v>2.6838235290000001</v>
      </c>
    </row>
    <row r="15" spans="1:7" ht="15.75" x14ac:dyDescent="0.25">
      <c r="A15" s="6">
        <v>7</v>
      </c>
      <c r="B15" s="5" t="s">
        <v>136</v>
      </c>
      <c r="C15" s="6" t="s">
        <v>85</v>
      </c>
      <c r="D15" s="6" t="s">
        <v>86</v>
      </c>
      <c r="E15" s="24">
        <v>2.19</v>
      </c>
      <c r="F15" s="24">
        <v>0.624</v>
      </c>
      <c r="G15" s="24">
        <v>3.509615385</v>
      </c>
    </row>
    <row r="16" spans="1:7" ht="15.75" x14ac:dyDescent="0.25">
      <c r="A16" s="6">
        <v>8</v>
      </c>
      <c r="B16" s="5" t="s">
        <v>136</v>
      </c>
      <c r="C16" s="6" t="s">
        <v>88</v>
      </c>
      <c r="D16" s="6" t="s">
        <v>89</v>
      </c>
      <c r="E16" s="24">
        <v>2.02</v>
      </c>
      <c r="F16" s="24">
        <v>0.65600000000000003</v>
      </c>
      <c r="G16" s="24">
        <v>3.0792682930000002</v>
      </c>
    </row>
    <row r="17" spans="1:7" x14ac:dyDescent="0.25">
      <c r="A17" s="43">
        <v>9</v>
      </c>
      <c r="B17" s="49" t="s">
        <v>135</v>
      </c>
      <c r="C17" s="43" t="s">
        <v>36</v>
      </c>
      <c r="D17" s="43" t="s">
        <v>45</v>
      </c>
      <c r="E17" s="24">
        <v>1.43</v>
      </c>
      <c r="F17" s="24">
        <v>1.6559999999999999</v>
      </c>
      <c r="G17" s="24">
        <v>0.86352656999999999</v>
      </c>
    </row>
    <row r="18" spans="1:7" x14ac:dyDescent="0.25">
      <c r="A18" s="43"/>
      <c r="B18" s="49"/>
      <c r="C18" s="43"/>
      <c r="D18" s="43"/>
      <c r="E18" s="24">
        <v>1.22</v>
      </c>
      <c r="F18" s="24">
        <v>0.73399999999999999</v>
      </c>
      <c r="G18" s="24">
        <v>1.6621253410000001</v>
      </c>
    </row>
    <row r="19" spans="1:7" x14ac:dyDescent="0.25">
      <c r="A19" s="43"/>
      <c r="B19" s="49"/>
      <c r="C19" s="43"/>
      <c r="D19" s="43"/>
      <c r="E19" s="24">
        <v>1.45</v>
      </c>
      <c r="F19" s="24">
        <v>0.97799999999999998</v>
      </c>
      <c r="G19" s="24">
        <v>1.482617587</v>
      </c>
    </row>
    <row r="20" spans="1:7" x14ac:dyDescent="0.25">
      <c r="A20" s="43"/>
      <c r="B20" s="49"/>
      <c r="C20" s="6" t="s">
        <v>88</v>
      </c>
      <c r="D20" s="6" t="s">
        <v>89</v>
      </c>
      <c r="E20" s="24">
        <v>1.96</v>
      </c>
      <c r="F20" s="24">
        <v>0.57799999999999996</v>
      </c>
      <c r="G20" s="24">
        <v>3.3910034599999999</v>
      </c>
    </row>
    <row r="21" spans="1:7" x14ac:dyDescent="0.25">
      <c r="A21" s="43"/>
      <c r="B21" s="49"/>
      <c r="C21" s="6" t="s">
        <v>85</v>
      </c>
      <c r="D21" s="6" t="s">
        <v>86</v>
      </c>
      <c r="E21" s="24">
        <v>2.0699999999999998</v>
      </c>
      <c r="F21" s="24">
        <v>2.1869999999999998</v>
      </c>
      <c r="G21" s="24">
        <v>0.94650205799999998</v>
      </c>
    </row>
    <row r="22" spans="1:7" x14ac:dyDescent="0.25">
      <c r="A22" s="43">
        <v>10</v>
      </c>
      <c r="B22" s="49" t="s">
        <v>135</v>
      </c>
      <c r="C22" s="6" t="s">
        <v>36</v>
      </c>
      <c r="D22" s="6" t="s">
        <v>45</v>
      </c>
      <c r="E22" s="24">
        <v>1.56</v>
      </c>
      <c r="F22" s="24">
        <v>0.85199999999999998</v>
      </c>
      <c r="G22" s="24">
        <v>1.8309859150000001</v>
      </c>
    </row>
    <row r="23" spans="1:7" x14ac:dyDescent="0.25">
      <c r="A23" s="43"/>
      <c r="B23" s="49"/>
      <c r="C23" s="43" t="s">
        <v>88</v>
      </c>
      <c r="D23" s="43" t="s">
        <v>89</v>
      </c>
      <c r="E23" s="24">
        <v>2.21</v>
      </c>
      <c r="F23" s="24">
        <v>0.65500000000000003</v>
      </c>
      <c r="G23" s="24">
        <v>3.3740458019999999</v>
      </c>
    </row>
    <row r="24" spans="1:7" x14ac:dyDescent="0.25">
      <c r="A24" s="43"/>
      <c r="B24" s="49"/>
      <c r="C24" s="43"/>
      <c r="D24" s="43"/>
      <c r="E24" s="24">
        <v>2.31</v>
      </c>
      <c r="F24" s="24">
        <v>0.65500000000000003</v>
      </c>
      <c r="G24" s="24">
        <v>3.526717557</v>
      </c>
    </row>
    <row r="25" spans="1:7" x14ac:dyDescent="0.25">
      <c r="A25" s="43"/>
      <c r="B25" s="49"/>
      <c r="C25" s="6" t="s">
        <v>85</v>
      </c>
      <c r="D25" s="6" t="s">
        <v>86</v>
      </c>
      <c r="E25" s="24">
        <v>2.14</v>
      </c>
      <c r="F25" s="24">
        <v>1.1519999999999999</v>
      </c>
      <c r="G25" s="24">
        <v>1.857638889</v>
      </c>
    </row>
    <row r="26" spans="1:7" x14ac:dyDescent="0.25">
      <c r="A26" s="43"/>
      <c r="B26" s="49"/>
      <c r="C26" s="6" t="s">
        <v>88</v>
      </c>
      <c r="D26" s="6" t="s">
        <v>89</v>
      </c>
      <c r="E26" s="24">
        <v>1.29</v>
      </c>
      <c r="F26" s="24">
        <v>0.44600000000000001</v>
      </c>
      <c r="G26" s="24">
        <v>2.8923766820000001</v>
      </c>
    </row>
    <row r="27" spans="1:7" ht="15.75" x14ac:dyDescent="0.25">
      <c r="A27" s="6">
        <v>11</v>
      </c>
      <c r="B27" s="5" t="s">
        <v>136</v>
      </c>
      <c r="C27" s="6" t="s">
        <v>36</v>
      </c>
      <c r="D27" s="6" t="s">
        <v>56</v>
      </c>
      <c r="E27" s="24">
        <v>1.51</v>
      </c>
      <c r="F27" s="24">
        <v>1.2270000000000001</v>
      </c>
      <c r="G27" s="24">
        <v>1.2306438470000001</v>
      </c>
    </row>
    <row r="28" spans="1:7" ht="15.75" x14ac:dyDescent="0.25">
      <c r="A28" s="6">
        <v>12</v>
      </c>
      <c r="B28" s="5" t="s">
        <v>136</v>
      </c>
      <c r="C28" s="6" t="s">
        <v>36</v>
      </c>
      <c r="D28" s="6" t="s">
        <v>56</v>
      </c>
      <c r="E28" s="24">
        <v>1.26</v>
      </c>
      <c r="F28" s="24">
        <v>0.63400000000000001</v>
      </c>
      <c r="G28" s="24">
        <v>1.9873817030000001</v>
      </c>
    </row>
    <row r="29" spans="1:7" x14ac:dyDescent="0.25">
      <c r="A29" s="43">
        <v>13</v>
      </c>
      <c r="B29" s="49" t="s">
        <v>135</v>
      </c>
      <c r="C29" s="6" t="s">
        <v>36</v>
      </c>
      <c r="D29" s="6" t="s">
        <v>41</v>
      </c>
      <c r="E29" s="24">
        <v>1.58</v>
      </c>
      <c r="F29" s="24">
        <v>0.58599999999999997</v>
      </c>
      <c r="G29" s="24">
        <v>2.6962457340000001</v>
      </c>
    </row>
    <row r="30" spans="1:7" x14ac:dyDescent="0.25">
      <c r="A30" s="43"/>
      <c r="B30" s="49"/>
      <c r="C30" s="6" t="s">
        <v>85</v>
      </c>
      <c r="D30" s="6" t="s">
        <v>86</v>
      </c>
      <c r="E30" s="24">
        <v>1.1399999999999999</v>
      </c>
      <c r="F30" s="24">
        <v>0.65700000000000003</v>
      </c>
      <c r="G30" s="24">
        <v>1.735159817</v>
      </c>
    </row>
    <row r="31" spans="1:7" x14ac:dyDescent="0.25">
      <c r="A31" s="43"/>
      <c r="B31" s="49"/>
      <c r="C31" s="43" t="s">
        <v>82</v>
      </c>
      <c r="D31" s="43" t="s">
        <v>83</v>
      </c>
      <c r="E31" s="24">
        <v>1.21</v>
      </c>
      <c r="F31" s="24">
        <v>0.33400000000000002</v>
      </c>
      <c r="G31" s="24">
        <v>3.6227544909999998</v>
      </c>
    </row>
    <row r="32" spans="1:7" x14ac:dyDescent="0.25">
      <c r="A32" s="43"/>
      <c r="B32" s="49"/>
      <c r="C32" s="43"/>
      <c r="D32" s="43"/>
      <c r="E32" s="24">
        <v>1.2</v>
      </c>
      <c r="F32" s="24">
        <v>0.621</v>
      </c>
      <c r="G32" s="24">
        <v>1.9323671499999999</v>
      </c>
    </row>
    <row r="33" spans="1:7" x14ac:dyDescent="0.25">
      <c r="A33" s="43"/>
      <c r="B33" s="49"/>
      <c r="C33" s="43"/>
      <c r="D33" s="43"/>
      <c r="E33" s="24">
        <v>1.32</v>
      </c>
      <c r="F33" s="24">
        <v>0.67300000000000004</v>
      </c>
      <c r="G33" s="24">
        <v>1.961367013</v>
      </c>
    </row>
    <row r="34" spans="1:7" x14ac:dyDescent="0.25">
      <c r="A34" s="43"/>
      <c r="B34" s="49"/>
      <c r="C34" s="43"/>
      <c r="D34" s="43"/>
      <c r="E34" s="24">
        <v>1.39</v>
      </c>
      <c r="F34" s="24">
        <v>0.65500000000000003</v>
      </c>
      <c r="G34" s="24">
        <v>2.1221374050000001</v>
      </c>
    </row>
    <row r="35" spans="1:7" x14ac:dyDescent="0.25">
      <c r="A35" s="43"/>
      <c r="B35" s="49"/>
      <c r="C35" s="43"/>
      <c r="D35" s="43"/>
      <c r="E35" s="24">
        <v>1.17</v>
      </c>
      <c r="F35" s="24">
        <v>1.018</v>
      </c>
      <c r="G35" s="24">
        <v>1.149312377</v>
      </c>
    </row>
    <row r="36" spans="1:7" x14ac:dyDescent="0.25">
      <c r="A36" s="43">
        <v>14</v>
      </c>
      <c r="B36" s="49" t="s">
        <v>135</v>
      </c>
      <c r="C36" s="43" t="s">
        <v>36</v>
      </c>
      <c r="D36" s="43" t="s">
        <v>37</v>
      </c>
      <c r="E36" s="24">
        <v>1.48</v>
      </c>
      <c r="F36" s="24">
        <v>0.95699999999999996</v>
      </c>
      <c r="G36" s="24">
        <v>1.5464994780000001</v>
      </c>
    </row>
    <row r="37" spans="1:7" x14ac:dyDescent="0.25">
      <c r="A37" s="43"/>
      <c r="B37" s="49"/>
      <c r="C37" s="43"/>
      <c r="D37" s="43"/>
      <c r="E37" s="24">
        <v>1.22</v>
      </c>
      <c r="F37" s="24">
        <v>1.2110000000000001</v>
      </c>
      <c r="G37" s="24">
        <v>1.0074318739999999</v>
      </c>
    </row>
    <row r="38" spans="1:7" x14ac:dyDescent="0.25">
      <c r="A38" s="43"/>
      <c r="B38" s="49"/>
      <c r="C38" s="43"/>
      <c r="D38" s="43"/>
      <c r="E38" s="24">
        <v>1.27</v>
      </c>
      <c r="F38" s="24">
        <v>1.0069999999999999</v>
      </c>
      <c r="G38" s="24">
        <v>1.261171797</v>
      </c>
    </row>
    <row r="39" spans="1:7" x14ac:dyDescent="0.25">
      <c r="A39" s="43">
        <v>15</v>
      </c>
      <c r="B39" s="49" t="s">
        <v>136</v>
      </c>
      <c r="C39" s="6" t="s">
        <v>88</v>
      </c>
      <c r="D39" s="6" t="s">
        <v>89</v>
      </c>
      <c r="E39" s="24">
        <v>1.62</v>
      </c>
      <c r="F39" s="24">
        <v>0.74099999999999999</v>
      </c>
      <c r="G39" s="24">
        <v>2.186234818</v>
      </c>
    </row>
    <row r="40" spans="1:7" x14ac:dyDescent="0.25">
      <c r="A40" s="43"/>
      <c r="B40" s="49"/>
      <c r="C40" s="6" t="s">
        <v>82</v>
      </c>
      <c r="D40" s="6" t="s">
        <v>83</v>
      </c>
      <c r="E40" s="24">
        <v>1.0900000000000001</v>
      </c>
      <c r="F40" s="24">
        <v>3.0529999999999999</v>
      </c>
      <c r="G40" s="24">
        <v>0.35702587600000002</v>
      </c>
    </row>
    <row r="41" spans="1:7" x14ac:dyDescent="0.25">
      <c r="A41" s="43">
        <v>16</v>
      </c>
      <c r="B41" s="49" t="s">
        <v>136</v>
      </c>
      <c r="C41" s="6" t="s">
        <v>36</v>
      </c>
      <c r="D41" s="6" t="s">
        <v>45</v>
      </c>
      <c r="E41" s="24">
        <v>1.51</v>
      </c>
      <c r="F41" s="24">
        <v>0.70299999999999996</v>
      </c>
      <c r="G41" s="24">
        <v>2.147937411</v>
      </c>
    </row>
    <row r="42" spans="1:7" x14ac:dyDescent="0.25">
      <c r="A42" s="43"/>
      <c r="B42" s="49"/>
      <c r="C42" s="6" t="s">
        <v>82</v>
      </c>
      <c r="D42" s="6" t="s">
        <v>83</v>
      </c>
      <c r="E42" s="24">
        <v>1.46</v>
      </c>
      <c r="F42" s="24">
        <v>1.218</v>
      </c>
      <c r="G42" s="24">
        <v>1.198686371</v>
      </c>
    </row>
    <row r="43" spans="1:7" x14ac:dyDescent="0.25">
      <c r="A43" s="43">
        <v>17</v>
      </c>
      <c r="B43" s="49" t="s">
        <v>136</v>
      </c>
      <c r="C43" s="6" t="s">
        <v>36</v>
      </c>
      <c r="D43" s="6" t="s">
        <v>56</v>
      </c>
      <c r="E43" s="24">
        <v>1.25</v>
      </c>
      <c r="F43" s="24">
        <v>0.94399999999999995</v>
      </c>
      <c r="G43" s="24">
        <v>1.324152542</v>
      </c>
    </row>
    <row r="44" spans="1:7" x14ac:dyDescent="0.25">
      <c r="A44" s="43"/>
      <c r="B44" s="49"/>
      <c r="C44" s="6" t="s">
        <v>82</v>
      </c>
      <c r="D44" s="6" t="s">
        <v>83</v>
      </c>
      <c r="E44" s="24">
        <v>1.0900000000000001</v>
      </c>
      <c r="F44" s="24">
        <v>1.4079999999999999</v>
      </c>
      <c r="G44" s="24">
        <v>0.77414772700000001</v>
      </c>
    </row>
    <row r="45" spans="1:7" x14ac:dyDescent="0.25">
      <c r="A45" s="43">
        <v>18</v>
      </c>
      <c r="B45" s="49" t="s">
        <v>136</v>
      </c>
      <c r="C45" s="6" t="s">
        <v>36</v>
      </c>
      <c r="D45" s="6" t="s">
        <v>45</v>
      </c>
      <c r="E45" s="24">
        <v>1.1299999999999999</v>
      </c>
      <c r="F45" s="24">
        <v>0.68300000000000005</v>
      </c>
      <c r="G45" s="24">
        <v>1.6544655930000001</v>
      </c>
    </row>
    <row r="46" spans="1:7" x14ac:dyDescent="0.25">
      <c r="A46" s="43"/>
      <c r="B46" s="49"/>
      <c r="C46" s="6" t="s">
        <v>82</v>
      </c>
      <c r="D46" s="6" t="s">
        <v>83</v>
      </c>
      <c r="E46" s="24">
        <v>1.03</v>
      </c>
      <c r="F46" s="24">
        <v>1.712</v>
      </c>
      <c r="G46" s="24">
        <v>0.60163551400000004</v>
      </c>
    </row>
    <row r="47" spans="1:7" ht="15.75" x14ac:dyDescent="0.25">
      <c r="A47" s="6">
        <v>19</v>
      </c>
      <c r="B47" s="5" t="s">
        <v>136</v>
      </c>
      <c r="C47" s="6" t="s">
        <v>36</v>
      </c>
      <c r="D47" s="6" t="s">
        <v>56</v>
      </c>
      <c r="E47" s="24">
        <v>1</v>
      </c>
      <c r="F47" s="24">
        <v>0.94</v>
      </c>
      <c r="G47" s="24">
        <v>1.063829787</v>
      </c>
    </row>
    <row r="48" spans="1:7" x14ac:dyDescent="0.25">
      <c r="A48" s="43">
        <v>20</v>
      </c>
      <c r="B48" s="49" t="s">
        <v>136</v>
      </c>
      <c r="C48" s="6" t="s">
        <v>36</v>
      </c>
      <c r="D48" s="6" t="s">
        <v>45</v>
      </c>
      <c r="E48" s="24">
        <v>1.5</v>
      </c>
      <c r="F48" s="24">
        <v>1.073</v>
      </c>
      <c r="G48" s="24">
        <v>1.3979496739999999</v>
      </c>
    </row>
    <row r="49" spans="1:7" x14ac:dyDescent="0.25">
      <c r="A49" s="43"/>
      <c r="B49" s="49"/>
      <c r="C49" s="6" t="s">
        <v>82</v>
      </c>
      <c r="D49" s="6" t="s">
        <v>83</v>
      </c>
      <c r="E49" s="24">
        <v>1.1399999999999999</v>
      </c>
      <c r="F49" s="24">
        <v>1.0149999999999999</v>
      </c>
      <c r="G49" s="24">
        <v>1.123152709</v>
      </c>
    </row>
    <row r="50" spans="1:7" x14ac:dyDescent="0.25">
      <c r="A50" s="43"/>
      <c r="B50" s="49"/>
      <c r="C50" s="6" t="s">
        <v>85</v>
      </c>
      <c r="D50" s="6" t="s">
        <v>86</v>
      </c>
      <c r="E50" s="24">
        <v>1.91</v>
      </c>
      <c r="F50" s="24">
        <v>0.753</v>
      </c>
      <c r="G50" s="24">
        <v>2.5365205839999998</v>
      </c>
    </row>
    <row r="51" spans="1:7" x14ac:dyDescent="0.25">
      <c r="A51" s="43">
        <v>21</v>
      </c>
      <c r="B51" s="49" t="s">
        <v>136</v>
      </c>
      <c r="C51" s="6" t="s">
        <v>82</v>
      </c>
      <c r="D51" s="6" t="s">
        <v>83</v>
      </c>
      <c r="E51" s="24">
        <v>1.17</v>
      </c>
      <c r="F51" s="24">
        <v>1.9450000000000001</v>
      </c>
      <c r="G51" s="24">
        <v>0.60154241600000002</v>
      </c>
    </row>
    <row r="52" spans="1:7" x14ac:dyDescent="0.25">
      <c r="A52" s="43"/>
      <c r="B52" s="49"/>
      <c r="C52" s="6" t="s">
        <v>88</v>
      </c>
      <c r="D52" s="6" t="s">
        <v>89</v>
      </c>
      <c r="E52" s="24">
        <v>2.0699999999999998</v>
      </c>
      <c r="F52" s="24">
        <v>0.75600000000000001</v>
      </c>
      <c r="G52" s="24">
        <v>2.7380952380000001</v>
      </c>
    </row>
    <row r="53" spans="1:7" x14ac:dyDescent="0.25">
      <c r="A53" s="43"/>
      <c r="B53" s="49"/>
      <c r="C53" s="6" t="s">
        <v>85</v>
      </c>
      <c r="D53" s="6" t="s">
        <v>86</v>
      </c>
      <c r="E53" s="24">
        <v>1.7</v>
      </c>
      <c r="F53" s="24">
        <v>0.64500000000000002</v>
      </c>
      <c r="G53" s="24">
        <v>2.635658915</v>
      </c>
    </row>
  </sheetData>
  <mergeCells count="36">
    <mergeCell ref="A51:A53"/>
    <mergeCell ref="B51:B53"/>
    <mergeCell ref="A48:A50"/>
    <mergeCell ref="B48:B50"/>
    <mergeCell ref="A45:A46"/>
    <mergeCell ref="B45:B46"/>
    <mergeCell ref="A43:A44"/>
    <mergeCell ref="B43:B44"/>
    <mergeCell ref="A41:A42"/>
    <mergeCell ref="B41:B42"/>
    <mergeCell ref="A39:A40"/>
    <mergeCell ref="B39:B40"/>
    <mergeCell ref="C31:C35"/>
    <mergeCell ref="D31:D35"/>
    <mergeCell ref="A36:A38"/>
    <mergeCell ref="B36:B38"/>
    <mergeCell ref="C36:C38"/>
    <mergeCell ref="D36:D38"/>
    <mergeCell ref="A29:A35"/>
    <mergeCell ref="B29:B35"/>
    <mergeCell ref="C23:C24"/>
    <mergeCell ref="D23:D24"/>
    <mergeCell ref="A22:A26"/>
    <mergeCell ref="B22:B26"/>
    <mergeCell ref="A17:A21"/>
    <mergeCell ref="B17:B21"/>
    <mergeCell ref="C17:C19"/>
    <mergeCell ref="D17:D19"/>
    <mergeCell ref="A2:A4"/>
    <mergeCell ref="B2:B4"/>
    <mergeCell ref="A12:A14"/>
    <mergeCell ref="B12:B14"/>
    <mergeCell ref="A9:A10"/>
    <mergeCell ref="B9:B10"/>
    <mergeCell ref="A6:A8"/>
    <mergeCell ref="B6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site description table</vt:lpstr>
      <vt:lpstr>Plant 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Dirk McQuillan</dc:creator>
  <cp:lastModifiedBy>Maximilian Dirk McQuillan</cp:lastModifiedBy>
  <dcterms:created xsi:type="dcterms:W3CDTF">2019-03-20T03:17:26Z</dcterms:created>
  <dcterms:modified xsi:type="dcterms:W3CDTF">2025-06-30T05:17:43Z</dcterms:modified>
</cp:coreProperties>
</file>